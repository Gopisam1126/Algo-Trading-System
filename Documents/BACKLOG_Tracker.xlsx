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xmlns:r="http://schemas.openxmlformats.org/officeDocument/2006/relationships" name="Dashboard" sheetId="1" state="visible" r:id="rId1"/>
    <sheet xmlns:r="http://schemas.openxmlformats.org/officeDocument/2006/relationships" name="Backlog" sheetId="2" state="visible" r:id="rId2"/>
    <sheet xmlns:r="http://schemas.openxmlformats.org/officeDocument/2006/relationships" name="Blockers" sheetId="3" state="visible" r:id="rId3"/>
    <sheet xmlns:r="http://schemas.openxmlformats.org/officeDocument/2006/relationships" name="E01 Blockers" sheetId="4" state="visible" r:id="rId4"/>
    <sheet xmlns:r="http://schemas.openxmlformats.org/officeDocument/2006/relationships" name="Sprint Plan" sheetId="5" state="visible" r:id="rId5"/>
    <sheet xmlns:r="http://schemas.openxmlformats.org/officeDocument/2006/relationships" name="Reference" sheetId="6" state="visible" r:id="rId6"/>
  </sheets>
  <definedNames>
    <definedName name="_xlnm._FilterDatabase" localSheetId="1" hidden="1">'Backlog'!$A$4:$W$195</definedName>
    <definedName name="_xlnm._FilterDatabase" localSheetId="2" hidden="1">'Blockers'!$A$4:$H$11</definedName>
    <definedName name="_xlnm._FilterDatabase" localSheetId="3" hidden="1">'E01 Blockers'!$A$4:$H$5</definedName>
    <definedName name="_xlnm._FilterDatabase" localSheetId="4"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29">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s>
  <fills count="21">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s>
  <borders count="2">
    <border>
      <left/>
      <right/>
      <top/>
      <bottom/>
      <diagonal/>
    </border>
    <border>
      <left style="thin">
        <color rgb="FFD0D5DB"/>
      </left>
      <right style="thin">
        <color rgb="FFD0D5DB"/>
      </right>
      <top style="thin">
        <color rgb="FFD0D5DB"/>
      </top>
      <bottom style="thin">
        <color rgb="FFD0D5DB"/>
      </bottom>
      <diagonal/>
    </border>
  </borders>
  <cellStyleXfs count="1">
    <xf numFmtId="0" fontId="0" fillId="0" borderId="0"/>
  </cellStyleXfs>
  <cellXfs count="6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4"/>
  <sheetViews>
    <sheetView zoomScaleNormal="100" workbookViewId="0">
      <pane ySplit="3" topLeftCell="A30" activePane="bottomLeft" state="frozen"/>
      <selection pane="bottomLeft" activeCell="A1" sqref="A1"/>
    </sheetView>
  </sheetViews>
  <sheetFormatPr baseColWidth="8" defaultColWidth="8.6640625" defaultRowHeight="14.4"/>
  <cols>
    <col width="24" customWidth="1" style="59" min="1" max="1"/>
    <col width="12" customWidth="1" style="59" min="2" max="4"/>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COUNTA(Backlog!$A$5:$A$195)</f>
        <v/>
      </c>
      <c r="F6" s="7" t="inlineStr">
        <is>
          <t>E00</t>
        </is>
      </c>
      <c r="G6" s="5" t="inlineStr">
        <is>
          <t>FOUNDATION</t>
        </is>
      </c>
      <c r="H6" s="8" t="inlineStr">
        <is>
          <t>0</t>
        </is>
      </c>
      <c r="I6" s="8">
        <f>COUNTIF(Backlog!$B$5:$B$195,$F6)</f>
        <v/>
      </c>
      <c r="J6" s="9">
        <f>SUMIF(Backlog!$B$5:$B$195,$F6,Backlog!$J$5:$J$195)</f>
        <v/>
      </c>
      <c r="K6" s="8">
        <f>COUNTIFS(Backlog!$B$5:$B$195,$F6,Backlog!$E$5:$E$195,"Closed")</f>
        <v/>
      </c>
      <c r="L6" s="10">
        <f>IFERROR($K6/$I6,0)</f>
        <v/>
      </c>
    </row>
    <row r="7">
      <c r="A7" s="5" t="inlineStr">
        <is>
          <t>Total estimated days</t>
        </is>
      </c>
      <c r="B7" s="11">
        <f>SUM(Backlog!$J$5:$J$195)</f>
        <v/>
      </c>
      <c r="F7" s="7" t="inlineStr">
        <is>
          <t>E01</t>
        </is>
      </c>
      <c r="G7" s="5" t="inlineStr">
        <is>
          <t>PERSISTENCE &amp; DATA LAYER</t>
        </is>
      </c>
      <c r="H7" s="8" t="inlineStr">
        <is>
          <t>1</t>
        </is>
      </c>
      <c r="I7" s="8">
        <f>COUNTIF(Backlog!$B$5:$B$195,$F7)</f>
        <v/>
      </c>
      <c r="J7" s="9">
        <f>SUMIF(Backlog!$B$5:$B$195,$F7,Backlog!$J$5:$J$195)</f>
        <v/>
      </c>
      <c r="K7" s="8">
        <f>COUNTIFS(Backlog!$B$5:$B$195,$F7,Backlog!$E$5:$E$195,"Closed")</f>
        <v/>
      </c>
      <c r="L7" s="10">
        <f>IFERROR($K7/$I7,0)</f>
        <v/>
      </c>
    </row>
    <row r="8">
      <c r="A8" s="5" t="inlineStr">
        <is>
          <t>Closed</t>
        </is>
      </c>
      <c r="B8" s="6">
        <f>COUNTIF(Backlog!$E$5:$E$195,"Closed")</f>
        <v/>
      </c>
      <c r="F8" s="7" t="inlineStr">
        <is>
          <t>E02</t>
        </is>
      </c>
      <c r="G8" s="5" t="inlineStr">
        <is>
          <t>BROKER INTEGRATION</t>
        </is>
      </c>
      <c r="H8" s="8" t="inlineStr">
        <is>
          <t>1</t>
        </is>
      </c>
      <c r="I8" s="8">
        <f>COUNTIF(Backlog!$B$5:$B$195,$F8)</f>
        <v/>
      </c>
      <c r="J8" s="9">
        <f>SUMIF(Backlog!$B$5:$B$195,$F8,Backlog!$J$5:$J$195)</f>
        <v/>
      </c>
      <c r="K8" s="8">
        <f>COUNTIFS(Backlog!$B$5:$B$195,$F8,Backlog!$E$5:$E$195,"Closed")</f>
        <v/>
      </c>
      <c r="L8" s="10">
        <f>IFERROR($K8/$I8,0)</f>
        <v/>
      </c>
    </row>
    <row r="9">
      <c r="A9" s="5" t="inlineStr">
        <is>
          <t>In flight (Active→QA)</t>
        </is>
      </c>
      <c r="B9" s="6">
        <f>SUMPRODUCT(COUNTIF(Backlog!$E$5:$E$195,{"Active","Development In-Progress","Development Completed","QA In-Progress","QA-Success"}))</f>
        <v/>
      </c>
      <c r="F9" s="7" t="inlineStr">
        <is>
          <t>E03</t>
        </is>
      </c>
      <c r="G9" s="5" t="inlineStr">
        <is>
          <t>HISTORICAL DATA</t>
        </is>
      </c>
      <c r="H9" s="8" t="inlineStr">
        <is>
          <t>1</t>
        </is>
      </c>
      <c r="I9" s="8">
        <f>COUNTIF(Backlog!$B$5:$B$195,$F9)</f>
        <v/>
      </c>
      <c r="J9" s="9">
        <f>SUMIF(Backlog!$B$5:$B$195,$F9,Backlog!$J$5:$J$195)</f>
        <v/>
      </c>
      <c r="K9" s="8">
        <f>COUNTIFS(Backlog!$B$5:$B$195,$F9,Backlog!$E$5:$E$195,"Closed")</f>
        <v/>
      </c>
      <c r="L9" s="10">
        <f>IFERROR($K9/$I9,0)</f>
        <v/>
      </c>
    </row>
    <row r="10">
      <c r="A10" s="5" t="inlineStr">
        <is>
          <t>Not started (New)</t>
        </is>
      </c>
      <c r="B10" s="6">
        <f>COUNTIF(Backlog!$E$5:$E$195,"New")</f>
        <v/>
      </c>
      <c r="F10" s="7" t="inlineStr">
        <is>
          <t>E04</t>
        </is>
      </c>
      <c r="G10" s="5" t="inlineStr">
        <is>
          <t>INDIA HAZARD LISTS</t>
        </is>
      </c>
      <c r="H10" s="8" t="inlineStr">
        <is>
          <t>1</t>
        </is>
      </c>
      <c r="I10" s="8">
        <f>COUNTIF(Backlog!$B$5:$B$195,$F10)</f>
        <v/>
      </c>
      <c r="J10" s="9">
        <f>SUMIF(Backlog!$B$5:$B$195,$F10,Backlog!$J$5:$J$195)</f>
        <v/>
      </c>
      <c r="K10" s="8">
        <f>COUNTIFS(Backlog!$B$5:$B$195,$F10,Backlog!$E$5:$E$195,"Closed")</f>
        <v/>
      </c>
      <c r="L10" s="10">
        <f>IFERROR($K10/$I10,0)</f>
        <v/>
      </c>
    </row>
    <row r="11">
      <c r="A11" s="5" t="inlineStr">
        <is>
          <t>Blocked / On Hold</t>
        </is>
      </c>
      <c r="B11" s="6">
        <f>COUNTIF(Backlog!$E$5:$E$195,"Blocked")+COUNTIF(Backlog!$E$5:$E$195,"On Hold")</f>
        <v/>
      </c>
      <c r="F11" s="7" t="inlineStr">
        <is>
          <t>E05</t>
        </is>
      </c>
      <c r="G11" s="5" t="inlineStr">
        <is>
          <t>MARKET DATA INGESTION</t>
        </is>
      </c>
      <c r="H11" s="8" t="inlineStr">
        <is>
          <t>1</t>
        </is>
      </c>
      <c r="I11" s="8">
        <f>COUNTIF(Backlog!$B$5:$B$195,$F11)</f>
        <v/>
      </c>
      <c r="J11" s="9">
        <f>SUMIF(Backlog!$B$5:$B$195,$F11,Backlog!$J$5:$J$195)</f>
        <v/>
      </c>
      <c r="K11" s="8">
        <f>COUNTIFS(Backlog!$B$5:$B$195,$F11,Backlog!$E$5:$E$195,"Closed")</f>
        <v/>
      </c>
      <c r="L11" s="10">
        <f>IFERROR($K11/$I11,0)</f>
        <v/>
      </c>
    </row>
    <row r="12">
      <c r="A12" s="5" t="inlineStr">
        <is>
          <t>% Complete</t>
        </is>
      </c>
      <c r="B12" s="12">
        <f>IFERROR(COUNTIF(Backlog!$E$5:$E$195,"Closed")/COUNTA(Backlog!$A$5:$A$195),0)</f>
        <v/>
      </c>
      <c r="F12" s="7" t="inlineStr">
        <is>
          <t>E06</t>
        </is>
      </c>
      <c r="G12" s="5" t="inlineStr">
        <is>
          <t>TECHNICAL ANALYSIS ENGINE</t>
        </is>
      </c>
      <c r="H12" s="8" t="inlineStr">
        <is>
          <t>2</t>
        </is>
      </c>
      <c r="I12" s="8">
        <f>COUNTIF(Backlog!$B$5:$B$195,$F12)</f>
        <v/>
      </c>
      <c r="J12" s="9">
        <f>SUMIF(Backlog!$B$5:$B$195,$F12,Backlog!$J$5:$J$195)</f>
        <v/>
      </c>
      <c r="K12" s="8">
        <f>COUNTIFS(Backlog!$B$5:$B$195,$F12,Backlog!$E$5:$E$195,"Closed")</f>
        <v/>
      </c>
      <c r="L12" s="10">
        <f>IFERROR($K12/$I12,0)</f>
        <v/>
      </c>
    </row>
    <row r="13">
      <c r="A13" s="5" t="inlineStr">
        <is>
          <t>Days closed</t>
        </is>
      </c>
      <c r="B13" s="11">
        <f>SUMIF(Backlog!$E$5:$E$195,"Closed",Backlog!$J$5:$J$195)</f>
        <v/>
      </c>
      <c r="F13" s="7" t="inlineStr">
        <is>
          <t>E07</t>
        </is>
      </c>
      <c r="G13" s="5" t="inlineStr">
        <is>
          <t>UNIVERSE &amp; SCORING</t>
        </is>
      </c>
      <c r="H13" s="8" t="inlineStr">
        <is>
          <t>2</t>
        </is>
      </c>
      <c r="I13" s="8">
        <f>COUNTIF(Backlog!$B$5:$B$195,$F13)</f>
        <v/>
      </c>
      <c r="J13" s="9">
        <f>SUMIF(Backlog!$B$5:$B$195,$F13,Backlog!$J$5:$J$195)</f>
        <v/>
      </c>
      <c r="K13" s="8">
        <f>COUNTIFS(Backlog!$B$5:$B$195,$F13,Backlog!$E$5:$E$195,"Closed")</f>
        <v/>
      </c>
      <c r="L13" s="10">
        <f>IFERROR($K13/$I13,0)</f>
        <v/>
      </c>
    </row>
    <row r="14">
      <c r="A14" s="5" t="inlineStr">
        <is>
          <t>Days remaining</t>
        </is>
      </c>
      <c r="B14" s="11">
        <f>SUM(Backlog!$J$5:$J$195)-SUMIF(Backlog!$E$5:$E$195,"Closed",Backlog!$J$5:$J$195)</f>
        <v/>
      </c>
      <c r="F14" s="7" t="inlineStr">
        <is>
          <t>E08</t>
        </is>
      </c>
      <c r="G14" s="5" t="inlineStr">
        <is>
          <t>NEWS INTELLIGENCE</t>
        </is>
      </c>
      <c r="H14" s="8" t="inlineStr">
        <is>
          <t>3</t>
        </is>
      </c>
      <c r="I14" s="8">
        <f>COUNTIF(Backlog!$B$5:$B$195,$F14)</f>
        <v/>
      </c>
      <c r="J14" s="9">
        <f>SUMIF(Backlog!$B$5:$B$195,$F14,Backlog!$J$5:$J$195)</f>
        <v/>
      </c>
      <c r="K14" s="8">
        <f>COUNTIFS(Backlog!$B$5:$B$195,$F14,Backlog!$E$5:$E$195,"Closed")</f>
        <v/>
      </c>
      <c r="L14" s="10">
        <f>IFERROR($K14/$I14,0)</f>
        <v/>
      </c>
    </row>
    <row r="15">
      <c r="F15" s="7" t="inlineStr">
        <is>
          <t>E09</t>
        </is>
      </c>
      <c r="G15" s="5" t="inlineStr">
        <is>
          <t>MACRO CONTEXT</t>
        </is>
      </c>
      <c r="H15" s="8" t="inlineStr">
        <is>
          <t>3</t>
        </is>
      </c>
      <c r="I15" s="8">
        <f>COUNTIF(Backlog!$B$5:$B$195,$F15)</f>
        <v/>
      </c>
      <c r="J15" s="9">
        <f>SUMIF(Backlog!$B$5:$B$195,$F15,Backlog!$J$5:$J$195)</f>
        <v/>
      </c>
      <c r="K15" s="8">
        <f>COUNTIFS(Backlog!$B$5:$B$195,$F15,Backlog!$E$5:$E$195,"Closed")</f>
        <v/>
      </c>
      <c r="L15" s="10">
        <f>IFERROR($K15/$I15,0)</f>
        <v/>
      </c>
    </row>
    <row r="16">
      <c r="A16" s="3" t="inlineStr">
        <is>
          <t>BY STATUS</t>
        </is>
      </c>
      <c r="F16" s="7" t="inlineStr">
        <is>
          <t>E10</t>
        </is>
      </c>
      <c r="G16" s="5" t="inlineStr">
        <is>
          <t>AI LAYER</t>
        </is>
      </c>
      <c r="H16" s="8" t="inlineStr">
        <is>
          <t>3</t>
        </is>
      </c>
      <c r="I16" s="8">
        <f>COUNTIF(Backlog!$B$5:$B$195,$F16)</f>
        <v/>
      </c>
      <c r="J16" s="9">
        <f>SUMIF(Backlog!$B$5:$B$195,$F16,Backlog!$J$5:$J$195)</f>
        <v/>
      </c>
      <c r="K16" s="8">
        <f>COUNTIFS(Backlog!$B$5:$B$195,$F16,Backlog!$E$5:$E$195,"Closed")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COUNTIF(Backlog!$B$5:$B$195,$F17)</f>
        <v/>
      </c>
      <c r="J17" s="9">
        <f>SUMIF(Backlog!$B$5:$B$195,$F17,Backlog!$J$5:$J$195)</f>
        <v/>
      </c>
      <c r="K17" s="8">
        <f>COUNTIFS(Backlog!$B$5:$B$195,$F17,Backlog!$E$5:$E$195,"Closed")</f>
        <v/>
      </c>
      <c r="L17" s="10">
        <f>IFERROR($K17/$I17,0)</f>
        <v/>
      </c>
    </row>
    <row r="18">
      <c r="A18" s="13" t="inlineStr">
        <is>
          <t>New</t>
        </is>
      </c>
      <c r="B18" s="8">
        <f>COUNTIF(Backlog!$E$5:$E$195,$A18)</f>
        <v/>
      </c>
      <c r="C18" s="14">
        <f>IFERROR($B18/COUNTA(Backlog!$A$5:$A$195),0)</f>
        <v/>
      </c>
      <c r="D18" s="9">
        <f>SUMIF(Backlog!$E$5:$E$195,$A18,Backlog!$J$5:$J$195)</f>
        <v/>
      </c>
      <c r="F18" s="7" t="inlineStr">
        <is>
          <t>E12</t>
        </is>
      </c>
      <c r="G18" s="5" t="inlineStr">
        <is>
          <t>STRATEGY ENGINE</t>
        </is>
      </c>
      <c r="H18" s="8" t="inlineStr">
        <is>
          <t>5</t>
        </is>
      </c>
      <c r="I18" s="8">
        <f>COUNTIF(Backlog!$B$5:$B$195,$F18)</f>
        <v/>
      </c>
      <c r="J18" s="9">
        <f>SUMIF(Backlog!$B$5:$B$195,$F18,Backlog!$J$5:$J$195)</f>
        <v/>
      </c>
      <c r="K18" s="8">
        <f>COUNTIFS(Backlog!$B$5:$B$195,$F18,Backlog!$E$5:$E$195,"Closed")</f>
        <v/>
      </c>
      <c r="L18" s="10">
        <f>IFERROR($K18/$I18,0)</f>
        <v/>
      </c>
    </row>
    <row r="19">
      <c r="A19" s="15" t="inlineStr">
        <is>
          <t>Business Review</t>
        </is>
      </c>
      <c r="B19" s="8">
        <f>COUNTIF(Backlog!$E$5:$E$195,$A19)</f>
        <v/>
      </c>
      <c r="C19" s="14">
        <f>IFERROR($B19/COUNTA(Backlog!$A$5:$A$195),0)</f>
        <v/>
      </c>
      <c r="D19" s="9">
        <f>SUMIF(Backlog!$E$5:$E$195,$A19,Backlog!$J$5:$J$195)</f>
        <v/>
      </c>
      <c r="F19" s="7" t="inlineStr">
        <is>
          <t>E13</t>
        </is>
      </c>
      <c r="G19" s="5" t="inlineStr">
        <is>
          <t>SIGNAL ENGINE</t>
        </is>
      </c>
      <c r="H19" s="8" t="inlineStr">
        <is>
          <t>4</t>
        </is>
      </c>
      <c r="I19" s="8">
        <f>COUNTIF(Backlog!$B$5:$B$195,$F19)</f>
        <v/>
      </c>
      <c r="J19" s="9">
        <f>SUMIF(Backlog!$B$5:$B$195,$F19,Backlog!$J$5:$J$195)</f>
        <v/>
      </c>
      <c r="K19" s="8">
        <f>COUNTIFS(Backlog!$B$5:$B$195,$F19,Backlog!$E$5:$E$195,"Closed")</f>
        <v/>
      </c>
      <c r="L19" s="10">
        <f>IFERROR($K19/$I19,0)</f>
        <v/>
      </c>
    </row>
    <row r="20">
      <c r="A20" s="16" t="inlineStr">
        <is>
          <t>Business Approved</t>
        </is>
      </c>
      <c r="B20" s="8">
        <f>COUNTIF(Backlog!$E$5:$E$195,$A20)</f>
        <v/>
      </c>
      <c r="C20" s="14">
        <f>IFERROR($B20/COUNTA(Backlog!$A$5:$A$195),0)</f>
        <v/>
      </c>
      <c r="D20" s="9">
        <f>SUMIF(Backlog!$E$5:$E$195,$A20,Backlog!$J$5:$J$195)</f>
        <v/>
      </c>
      <c r="F20" s="7" t="inlineStr">
        <is>
          <t>E14</t>
        </is>
      </c>
      <c r="G20" s="5" t="inlineStr">
        <is>
          <t>RISK ENGINE</t>
        </is>
      </c>
      <c r="H20" s="8" t="inlineStr">
        <is>
          <t>5</t>
        </is>
      </c>
      <c r="I20" s="8">
        <f>COUNTIF(Backlog!$B$5:$B$195,$F20)</f>
        <v/>
      </c>
      <c r="J20" s="9">
        <f>SUMIF(Backlog!$B$5:$B$195,$F20,Backlog!$J$5:$J$195)</f>
        <v/>
      </c>
      <c r="K20" s="8">
        <f>COUNTIFS(Backlog!$B$5:$B$195,$F20,Backlog!$E$5:$E$195,"Closed")</f>
        <v/>
      </c>
      <c r="L20" s="10">
        <f>IFERROR($K20/$I20,0)</f>
        <v/>
      </c>
    </row>
    <row r="21">
      <c r="A21" s="17" t="inlineStr">
        <is>
          <t>Active</t>
        </is>
      </c>
      <c r="B21" s="8">
        <f>COUNTIF(Backlog!$E$5:$E$195,$A21)</f>
        <v/>
      </c>
      <c r="C21" s="14">
        <f>IFERROR($B21/COUNTA(Backlog!$A$5:$A$195),0)</f>
        <v/>
      </c>
      <c r="D21" s="9">
        <f>SUMIF(Backlog!$E$5:$E$195,$A21,Backlog!$J$5:$J$195)</f>
        <v/>
      </c>
      <c r="F21" s="7" t="inlineStr">
        <is>
          <t>E15</t>
        </is>
      </c>
      <c r="G21" s="5" t="inlineStr">
        <is>
          <t>EXECUTION &amp; POSITIONS</t>
        </is>
      </c>
      <c r="H21" s="8" t="inlineStr">
        <is>
          <t>5</t>
        </is>
      </c>
      <c r="I21" s="8">
        <f>COUNTIF(Backlog!$B$5:$B$195,$F21)</f>
        <v/>
      </c>
      <c r="J21" s="9">
        <f>SUMIF(Backlog!$B$5:$B$195,$F21,Backlog!$J$5:$J$195)</f>
        <v/>
      </c>
      <c r="K21" s="8">
        <f>COUNTIFS(Backlog!$B$5:$B$195,$F21,Backlog!$E$5:$E$195,"Closed")</f>
        <v/>
      </c>
      <c r="L21" s="10">
        <f>IFERROR($K21/$I21,0)</f>
        <v/>
      </c>
    </row>
    <row r="22">
      <c r="A22" s="18" t="inlineStr">
        <is>
          <t>Development In-Progress</t>
        </is>
      </c>
      <c r="B22" s="8">
        <f>COUNTIF(Backlog!$E$5:$E$195,$A22)</f>
        <v/>
      </c>
      <c r="C22" s="14">
        <f>IFERROR($B22/COUNTA(Backlog!$A$5:$A$195),0)</f>
        <v/>
      </c>
      <c r="D22" s="9">
        <f>SUMIF(Backlog!$E$5:$E$195,$A22,Backlog!$J$5:$J$195)</f>
        <v/>
      </c>
      <c r="F22" s="7" t="inlineStr">
        <is>
          <t>E16</t>
        </is>
      </c>
      <c r="G22" s="5" t="inlineStr">
        <is>
          <t>AUTONOMY &amp; APPROVAL</t>
        </is>
      </c>
      <c r="H22" s="8" t="inlineStr">
        <is>
          <t>5</t>
        </is>
      </c>
      <c r="I22" s="8">
        <f>COUNTIF(Backlog!$B$5:$B$195,$F22)</f>
        <v/>
      </c>
      <c r="J22" s="9">
        <f>SUMIF(Backlog!$B$5:$B$195,$F22,Backlog!$J$5:$J$195)</f>
        <v/>
      </c>
      <c r="K22" s="8">
        <f>COUNTIFS(Backlog!$B$5:$B$195,$F22,Backlog!$E$5:$E$195,"Closed")</f>
        <v/>
      </c>
      <c r="L22" s="10">
        <f>IFERROR($K22/$I22,0)</f>
        <v/>
      </c>
    </row>
    <row r="23">
      <c r="A23" s="19" t="inlineStr">
        <is>
          <t>Development Completed</t>
        </is>
      </c>
      <c r="B23" s="8">
        <f>COUNTIF(Backlog!$E$5:$E$195,$A23)</f>
        <v/>
      </c>
      <c r="C23" s="14">
        <f>IFERROR($B23/COUNTA(Backlog!$A$5:$A$195),0)</f>
        <v/>
      </c>
      <c r="D23" s="9">
        <f>SUMIF(Backlog!$E$5:$E$195,$A23,Backlog!$J$5:$J$195)</f>
        <v/>
      </c>
      <c r="F23" s="7" t="inlineStr">
        <is>
          <t>E17</t>
        </is>
      </c>
      <c r="G23" s="5" t="inlineStr">
        <is>
          <t>DASHBOARD UI</t>
        </is>
      </c>
      <c r="H23" s="8" t="inlineStr">
        <is>
          <t>4/6</t>
        </is>
      </c>
      <c r="I23" s="8">
        <f>COUNTIF(Backlog!$B$5:$B$195,$F23)</f>
        <v/>
      </c>
      <c r="J23" s="9">
        <f>SUMIF(Backlog!$B$5:$B$195,$F23,Backlog!$J$5:$J$195)</f>
        <v/>
      </c>
      <c r="K23" s="8">
        <f>COUNTIFS(Backlog!$B$5:$B$195,$F23,Backlog!$E$5:$E$195,"Closed")</f>
        <v/>
      </c>
      <c r="L23" s="10">
        <f>IFERROR($K23/$I23,0)</f>
        <v/>
      </c>
    </row>
    <row r="24">
      <c r="A24" s="20" t="inlineStr">
        <is>
          <t>QA In-Progress</t>
        </is>
      </c>
      <c r="B24" s="8">
        <f>COUNTIF(Backlog!$E$5:$E$195,$A24)</f>
        <v/>
      </c>
      <c r="C24" s="14">
        <f>IFERROR($B24/COUNTA(Backlog!$A$5:$A$195),0)</f>
        <v/>
      </c>
      <c r="D24" s="9">
        <f>SUMIF(Backlog!$E$5:$E$195,$A24,Backlog!$J$5:$J$195)</f>
        <v/>
      </c>
      <c r="F24" s="7" t="inlineStr">
        <is>
          <t>E18</t>
        </is>
      </c>
      <c r="G24" s="5" t="inlineStr">
        <is>
          <t>ADMIN UI</t>
        </is>
      </c>
      <c r="H24" s="8" t="inlineStr">
        <is>
          <t>6</t>
        </is>
      </c>
      <c r="I24" s="8">
        <f>COUNTIF(Backlog!$B$5:$B$195,$F24)</f>
        <v/>
      </c>
      <c r="J24" s="9">
        <f>SUMIF(Backlog!$B$5:$B$195,$F24,Backlog!$J$5:$J$195)</f>
        <v/>
      </c>
      <c r="K24" s="8">
        <f>COUNTIFS(Backlog!$B$5:$B$195,$F24,Backlog!$E$5:$E$195,"Closed")</f>
        <v/>
      </c>
      <c r="L24" s="10">
        <f>IFERROR($K24/$I24,0)</f>
        <v/>
      </c>
    </row>
    <row r="25">
      <c r="A25" s="21" t="inlineStr">
        <is>
          <t>QA-Success</t>
        </is>
      </c>
      <c r="B25" s="8">
        <f>COUNTIF(Backlog!$E$5:$E$195,$A25)</f>
        <v/>
      </c>
      <c r="C25" s="14">
        <f>IFERROR($B25/COUNTA(Backlog!$A$5:$A$195),0)</f>
        <v/>
      </c>
      <c r="D25" s="9">
        <f>SUMIF(Backlog!$E$5:$E$195,$A25,Backlog!$J$5:$J$195)</f>
        <v/>
      </c>
      <c r="F25" s="7" t="inlineStr">
        <is>
          <t>E19</t>
        </is>
      </c>
      <c r="G25" s="5" t="inlineStr">
        <is>
          <t>NOTIFICATIONS</t>
        </is>
      </c>
      <c r="H25" s="8" t="inlineStr">
        <is>
          <t>3/4</t>
        </is>
      </c>
      <c r="I25" s="8">
        <f>COUNTIF(Backlog!$B$5:$B$195,$F25)</f>
        <v/>
      </c>
      <c r="J25" s="9">
        <f>SUMIF(Backlog!$B$5:$B$195,$F25,Backlog!$J$5:$J$195)</f>
        <v/>
      </c>
      <c r="K25" s="8">
        <f>COUNTIFS(Backlog!$B$5:$B$195,$F25,Backlog!$E$5:$E$195,"Closed")</f>
        <v/>
      </c>
      <c r="L25" s="10">
        <f>IFERROR($K25/$I25,0)</f>
        <v/>
      </c>
    </row>
    <row r="26">
      <c r="A26" s="22" t="inlineStr">
        <is>
          <t>QA-Fail</t>
        </is>
      </c>
      <c r="B26" s="8">
        <f>COUNTIF(Backlog!$E$5:$E$195,$A26)</f>
        <v/>
      </c>
      <c r="C26" s="14">
        <f>IFERROR($B26/COUNTA(Backlog!$A$5:$A$195),0)</f>
        <v/>
      </c>
      <c r="D26" s="9">
        <f>SUMIF(Backlog!$E$5:$E$195,$A26,Backlog!$J$5:$J$195)</f>
        <v/>
      </c>
      <c r="F26" s="7" t="inlineStr">
        <is>
          <t>E20</t>
        </is>
      </c>
      <c r="G26" s="5" t="inlineStr">
        <is>
          <t>OBSERVABILITY</t>
        </is>
      </c>
      <c r="H26" s="8" t="inlineStr">
        <is>
          <t>6</t>
        </is>
      </c>
      <c r="I26" s="8">
        <f>COUNTIF(Backlog!$B$5:$B$195,$F26)</f>
        <v/>
      </c>
      <c r="J26" s="9">
        <f>SUMIF(Backlog!$B$5:$B$195,$F26,Backlog!$J$5:$J$195)</f>
        <v/>
      </c>
      <c r="K26" s="8">
        <f>COUNTIFS(Backlog!$B$5:$B$195,$F26,Backlog!$E$5:$E$195,"Closed")</f>
        <v/>
      </c>
      <c r="L26" s="10">
        <f>IFERROR($K26/$I26,0)</f>
        <v/>
      </c>
    </row>
    <row r="27">
      <c r="A27" s="23" t="inlineStr">
        <is>
          <t>Closed</t>
        </is>
      </c>
      <c r="B27" s="8">
        <f>COUNTIF(Backlog!$E$5:$E$195,$A27)</f>
        <v/>
      </c>
      <c r="C27" s="14">
        <f>IFERROR($B27/COUNTA(Backlog!$A$5:$A$195),0)</f>
        <v/>
      </c>
      <c r="D27" s="9">
        <f>SUMIF(Backlog!$E$5:$E$195,$A27,Backlog!$J$5:$J$195)</f>
        <v/>
      </c>
      <c r="F27" s="7" t="inlineStr">
        <is>
          <t>E21</t>
        </is>
      </c>
      <c r="G27" s="5" t="inlineStr">
        <is>
          <t>COMPLIANCE &amp; TAX</t>
        </is>
      </c>
      <c r="H27" s="8" t="inlineStr">
        <is>
          <t>6</t>
        </is>
      </c>
      <c r="I27" s="8">
        <f>COUNTIF(Backlog!$B$5:$B$195,$F27)</f>
        <v/>
      </c>
      <c r="J27" s="9">
        <f>SUMIF(Backlog!$B$5:$B$195,$F27,Backlog!$J$5:$J$195)</f>
        <v/>
      </c>
      <c r="K27" s="8">
        <f>COUNTIFS(Backlog!$B$5:$B$195,$F27,Backlog!$E$5:$E$195,"Closed")</f>
        <v/>
      </c>
      <c r="L27" s="10">
        <f>IFERROR($K27/$I27,0)</f>
        <v/>
      </c>
    </row>
    <row r="28">
      <c r="A28" s="24" t="inlineStr">
        <is>
          <t>Removed</t>
        </is>
      </c>
      <c r="B28" s="8">
        <f>COUNTIF(Backlog!$E$5:$E$195,$A28)</f>
        <v/>
      </c>
      <c r="C28" s="14">
        <f>IFERROR($B28/COUNTA(Backlog!$A$5:$A$195),0)</f>
        <v/>
      </c>
      <c r="D28" s="9">
        <f>SUMIF(Backlog!$E$5:$E$195,$A28,Backlog!$J$5:$J$195)</f>
        <v/>
      </c>
      <c r="F28" s="7" t="inlineStr">
        <is>
          <t>E22</t>
        </is>
      </c>
      <c r="G28" s="5" t="inlineStr">
        <is>
          <t>TESTING &amp; VALIDATION</t>
        </is>
      </c>
      <c r="H28" s="8" t="inlineStr">
        <is>
          <t>7</t>
        </is>
      </c>
      <c r="I28" s="8">
        <f>COUNTIF(Backlog!$B$5:$B$195,$F28)</f>
        <v/>
      </c>
      <c r="J28" s="9">
        <f>SUMIF(Backlog!$B$5:$B$195,$F28,Backlog!$J$5:$J$195)</f>
        <v/>
      </c>
      <c r="K28" s="8">
        <f>COUNTIFS(Backlog!$B$5:$B$195,$F28,Backlog!$E$5:$E$195,"Closed")</f>
        <v/>
      </c>
      <c r="L28" s="10">
        <f>IFERROR($K28/$I28,0)</f>
        <v/>
      </c>
    </row>
    <row r="29">
      <c r="A29" s="25" t="inlineStr">
        <is>
          <t>Moved to Backlog</t>
        </is>
      </c>
      <c r="B29" s="8">
        <f>COUNTIF(Backlog!$E$5:$E$195,$A29)</f>
        <v/>
      </c>
      <c r="C29" s="14">
        <f>IFERROR($B29/COUNTA(Backlog!$A$5:$A$195),0)</f>
        <v/>
      </c>
      <c r="D29" s="9">
        <f>SUMIF(Backlog!$E$5:$E$195,$A29,Backlog!$J$5:$J$195)</f>
        <v/>
      </c>
      <c r="F29" s="7" t="inlineStr">
        <is>
          <t>E23</t>
        </is>
      </c>
      <c r="G29" s="5" t="inlineStr">
        <is>
          <t>DEPLOYMENT &amp; OPS</t>
        </is>
      </c>
      <c r="H29" s="8" t="inlineStr">
        <is>
          <t>7/8</t>
        </is>
      </c>
      <c r="I29" s="8">
        <f>COUNTIF(Backlog!$B$5:$B$195,$F29)</f>
        <v/>
      </c>
      <c r="J29" s="9">
        <f>SUMIF(Backlog!$B$5:$B$195,$F29,Backlog!$J$5:$J$195)</f>
        <v/>
      </c>
      <c r="K29" s="8">
        <f>COUNTIFS(Backlog!$B$5:$B$195,$F29,Backlog!$E$5:$E$195,"Closed")</f>
        <v/>
      </c>
      <c r="L29" s="10">
        <f>IFERROR($K29/$I29,0)</f>
        <v/>
      </c>
    </row>
    <row r="30">
      <c r="A30" s="26" t="inlineStr">
        <is>
          <t>Blocked</t>
        </is>
      </c>
      <c r="B30" s="8">
        <f>COUNTIF(Backlog!$E$5:$E$195,$A30)</f>
        <v/>
      </c>
      <c r="C30" s="14">
        <f>IFERROR($B30/COUNTA(Backlog!$A$5:$A$195),0)</f>
        <v/>
      </c>
      <c r="D30" s="9">
        <f>SUMIF(Backlog!$E$5:$E$195,$A30,Backlog!$J$5:$J$195)</f>
        <v/>
      </c>
      <c r="F30" s="7" t="inlineStr">
        <is>
          <t>TOTAL</t>
        </is>
      </c>
      <c r="G30" s="27" t="n"/>
      <c r="H30" s="27" t="n"/>
      <c r="I30" s="28">
        <f>SUM(I6:I29)</f>
        <v/>
      </c>
      <c r="J30" s="11">
        <f>SUM(J6:J29)</f>
        <v/>
      </c>
      <c r="K30" s="28">
        <f>SUM(K6:K29)</f>
        <v/>
      </c>
      <c r="L30" s="29">
        <f>IFERROR(K30/I30,0)</f>
        <v/>
      </c>
    </row>
    <row r="31">
      <c r="A31" s="30" t="inlineStr">
        <is>
          <t>On Hold</t>
        </is>
      </c>
      <c r="B31" s="8">
        <f>COUNTIF(Backlog!$E$5:$E$195,$A31)</f>
        <v/>
      </c>
      <c r="C31" s="14">
        <f>IFERROR($B31/COUNTA(Backlog!$A$5:$A$195),0)</f>
        <v/>
      </c>
      <c r="D31" s="9">
        <f>SUMIF(Backlog!$E$5:$E$195,$A31,Backlog!$J$5:$J$195)</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COUNTIF(Backlog!$F$5:$F$195,$A36)</f>
        <v/>
      </c>
      <c r="C36" s="9">
        <f>SUMIF(Backlog!$F$5:$F$195,$A36,Backlog!$J$5:$J$195)</f>
        <v/>
      </c>
      <c r="D36" s="31">
        <f>COUNTIFS(Backlog!$F$5:$F$195,$A36,Backlog!$E$5:$E$195,"Closed")</f>
        <v/>
      </c>
    </row>
    <row r="37">
      <c r="A37" s="15" t="inlineStr">
        <is>
          <t>P1</t>
        </is>
      </c>
      <c r="B37" s="31">
        <f>COUNTIF(Backlog!$F$5:$F$195,$A37)</f>
        <v/>
      </c>
      <c r="C37" s="9">
        <f>SUMIF(Backlog!$F$5:$F$195,$A37,Backlog!$J$5:$J$195)</f>
        <v/>
      </c>
      <c r="D37" s="31">
        <f>COUNTIFS(Backlog!$F$5:$F$195,$A37,Backlog!$E$5:$E$195,"Closed")</f>
        <v/>
      </c>
    </row>
    <row r="38">
      <c r="A38" s="21" t="inlineStr">
        <is>
          <t>P2</t>
        </is>
      </c>
      <c r="B38" s="31">
        <f>COUNTIF(Backlog!$F$5:$F$195,$A38)</f>
        <v/>
      </c>
      <c r="C38" s="9">
        <f>SUMIF(Backlog!$F$5:$F$195,$A38,Backlog!$J$5:$J$195)</f>
        <v/>
      </c>
      <c r="D38" s="31">
        <f>COUNTIFS(Backlog!$F$5:$F$195,$A38,Backlog!$E$5:$E$195,"Closed")</f>
        <v/>
      </c>
    </row>
    <row r="39">
      <c r="A39" s="32" t="inlineStr">
        <is>
          <t>P3</t>
        </is>
      </c>
      <c r="B39" s="31">
        <f>COUNTIF(Backlog!$F$5:$F$195,$A39)</f>
        <v/>
      </c>
      <c r="C39" s="9">
        <f>SUMIF(Backlog!$F$5:$F$195,$A39,Backlog!$J$5:$J$195)</f>
        <v/>
      </c>
      <c r="D39" s="31">
        <f>COUNTIFS(Backlog!$F$5:$F$195,$A39,Backlog!$E$5:$E$195,"Closed")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COUNTIF(Backlog!$H$5:$H$195,$A43)</f>
        <v/>
      </c>
      <c r="C43" s="9">
        <f>SUMIF(Backlog!$H$5:$H$195,$A43,Backlog!$J$5:$J$195)</f>
        <v/>
      </c>
      <c r="D43" s="31">
        <f>COUNTIFS(Backlog!$H$5:$H$195,$A43,Backlog!$E$5:$E$195,"Closed")</f>
        <v/>
      </c>
    </row>
    <row r="44">
      <c r="A44" s="34" t="inlineStr">
        <is>
          <t>Correctness-critical</t>
        </is>
      </c>
      <c r="B44" s="31">
        <f>COUNTIF(Backlog!$H$5:$H$195,$A44)</f>
        <v/>
      </c>
      <c r="C44" s="9">
        <f>SUMIF(Backlog!$H$5:$H$195,$A44,Backlog!$J$5:$J$195)</f>
        <v/>
      </c>
      <c r="D44" s="31">
        <f>COUNTIFS(Backlog!$H$5:$H$195,$A44,Backlog!$E$5:$E$195,"Closed")</f>
        <v/>
      </c>
    </row>
    <row r="45">
      <c r="A45" s="35" t="inlineStr">
        <is>
          <t>Low</t>
        </is>
      </c>
      <c r="B45" s="31">
        <f>COUNTIF(Backlog!$H$5:$H$195,$A45)</f>
        <v/>
      </c>
      <c r="C45" s="9">
        <f>SUMIF(Backlog!$H$5:$H$195,$A45,Backlog!$J$5:$J$195)</f>
        <v/>
      </c>
      <c r="D45" s="31">
        <f>COUNTIFS(Backlog!$H$5:$H$195,$A45,Backlog!$E$5:$E$195,"Closed")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COUNTIF(Backlog!$I$5:$I$195,$A49)</f>
        <v/>
      </c>
      <c r="C49" s="9">
        <f>SUMIF(Backlog!$I$5:$I$195,$A49,Backlog!$J$5:$J$195)</f>
        <v/>
      </c>
      <c r="D49" s="31">
        <f>COUNTIFS(Backlog!$I$5:$I$195,$A49,Backlog!$E$5:$E$195,"Closed")</f>
        <v/>
      </c>
    </row>
    <row r="50">
      <c r="A50" s="7" t="inlineStr">
        <is>
          <t>INFRA</t>
        </is>
      </c>
      <c r="B50" s="31">
        <f>COUNTIF(Backlog!$I$5:$I$195,$A50)</f>
        <v/>
      </c>
      <c r="C50" s="9">
        <f>SUMIF(Backlog!$I$5:$I$195,$A50,Backlog!$J$5:$J$195)</f>
        <v/>
      </c>
      <c r="D50" s="31">
        <f>COUNTIFS(Backlog!$I$5:$I$195,$A50,Backlog!$E$5:$E$195,"Closed")</f>
        <v/>
      </c>
    </row>
    <row r="51">
      <c r="A51" s="7" t="inlineStr">
        <is>
          <t>SEC</t>
        </is>
      </c>
      <c r="B51" s="31">
        <f>COUNTIF(Backlog!$I$5:$I$195,$A51)</f>
        <v/>
      </c>
      <c r="C51" s="9">
        <f>SUMIF(Backlog!$I$5:$I$195,$A51,Backlog!$J$5:$J$195)</f>
        <v/>
      </c>
      <c r="D51" s="31">
        <f>COUNTIFS(Backlog!$I$5:$I$195,$A51,Backlog!$E$5:$E$195,"Closed")</f>
        <v/>
      </c>
    </row>
    <row r="52">
      <c r="A52" s="7" t="inlineStr">
        <is>
          <t>TEST</t>
        </is>
      </c>
      <c r="B52" s="31">
        <f>COUNTIF(Backlog!$I$5:$I$195,$A52)</f>
        <v/>
      </c>
      <c r="C52" s="9">
        <f>SUMIF(Backlog!$I$5:$I$195,$A52,Backlog!$J$5:$J$195)</f>
        <v/>
      </c>
      <c r="D52" s="31">
        <f>COUNTIFS(Backlog!$I$5:$I$195,$A52,Backlog!$E$5:$E$195,"Closed")</f>
        <v/>
      </c>
    </row>
    <row r="53">
      <c r="A53" s="7" t="inlineStr">
        <is>
          <t>OPS</t>
        </is>
      </c>
      <c r="B53" s="31">
        <f>COUNTIF(Backlog!$I$5:$I$195,$A53)</f>
        <v/>
      </c>
      <c r="C53" s="9">
        <f>SUMIF(Backlog!$I$5:$I$195,$A53,Backlog!$J$5:$J$195)</f>
        <v/>
      </c>
      <c r="D53" s="31">
        <f>COUNTIFS(Backlog!$I$5:$I$195,$A53,Backlog!$E$5:$E$195,"Closed")</f>
        <v/>
      </c>
    </row>
    <row r="54">
      <c r="A54" s="7" t="inlineStr">
        <is>
          <t>DOC</t>
        </is>
      </c>
      <c r="B54" s="31">
        <f>COUNTIF(Backlog!$I$5:$I$195,$A54)</f>
        <v/>
      </c>
      <c r="C54" s="9">
        <f>SUMIF(Backlog!$I$5:$I$195,$A54,Backlog!$J$5:$J$195)</f>
        <v/>
      </c>
      <c r="D54" s="31">
        <f>COUNTIFS(Backlog!$I$5:$I$195,$A54,Backlog!$E$5:$E$195,"Closed")</f>
        <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W195"/>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New</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n"/>
      <c r="W23" s="49" t="n"/>
    </row>
    <row r="24" ht="30" customHeight="1" s="59">
      <c r="A24" s="38" t="inlineStr">
        <is>
          <t>E02-S02</t>
        </is>
      </c>
      <c r="B24" s="39" t="inlineStr">
        <is>
          <t>E02</t>
        </is>
      </c>
      <c r="C24" s="40" t="inlineStr">
        <is>
          <t>BROKER INTEGRATION</t>
        </is>
      </c>
      <c r="D24" s="40" t="inlineStr">
        <is>
          <t>Session lifecycle and daily re-auth scheduling</t>
        </is>
      </c>
      <c r="E24" s="40" t="inlineStr">
        <is>
          <t>New</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n"/>
      <c r="W24" s="49" t="n"/>
    </row>
    <row r="25" ht="30" customHeight="1" s="59">
      <c r="A25" s="38" t="inlineStr">
        <is>
          <t>E02-S03</t>
        </is>
      </c>
      <c r="B25" s="39" t="inlineStr">
        <is>
          <t>E02</t>
        </is>
      </c>
      <c r="C25" s="40" t="inlineStr">
        <is>
          <t>BROKER INTEGRATION</t>
        </is>
      </c>
      <c r="D25" s="40" t="inlineStr">
        <is>
          <t>Read-only market data adapter</t>
        </is>
      </c>
      <c r="E25" s="40" t="inlineStr">
        <is>
          <t>New</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n"/>
      <c r="W25" s="49" t="n"/>
    </row>
    <row r="26" ht="30" customHeight="1" s="59">
      <c r="A26" s="38" t="inlineStr">
        <is>
          <t>E02-S04</t>
        </is>
      </c>
      <c r="B26" s="39" t="inlineStr">
        <is>
          <t>E02</t>
        </is>
      </c>
      <c r="C26" s="40" t="inlineStr">
        <is>
          <t>BROKER INTEGRATION</t>
        </is>
      </c>
      <c r="D26" s="40" t="inlineStr">
        <is>
          <t>Trading adapter with market protection</t>
        </is>
      </c>
      <c r="E26" s="40" t="inlineStr">
        <is>
          <t>New</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n"/>
      <c r="W26" s="49" t="n"/>
    </row>
    <row r="27" ht="30" customHeight="1" s="59">
      <c r="A27" s="38" t="inlineStr">
        <is>
          <t>E02-S05</t>
        </is>
      </c>
      <c r="B27" s="39" t="inlineStr">
        <is>
          <t>E02</t>
        </is>
      </c>
      <c r="C27" s="40" t="inlineStr">
        <is>
          <t>BROKER INTEGRATION</t>
        </is>
      </c>
      <c r="D27" s="40" t="inlineStr">
        <is>
          <t>Order rate limiting</t>
        </is>
      </c>
      <c r="E27" s="40" t="inlineStr">
        <is>
          <t>New</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n"/>
      <c r="W27" s="49" t="n"/>
    </row>
    <row r="28" ht="30" customHeight="1" s="59">
      <c r="A28" s="38" t="inlineStr">
        <is>
          <t>E02-S06</t>
        </is>
      </c>
      <c r="B28" s="39" t="inlineStr">
        <is>
          <t>E02</t>
        </is>
      </c>
      <c r="C28" s="40" t="inlineStr">
        <is>
          <t>BROKER INTEGRATION</t>
        </is>
      </c>
      <c r="D28" s="40" t="inlineStr">
        <is>
          <t>Instrument master synchronisation</t>
        </is>
      </c>
      <c r="E28" s="40" t="inlineStr">
        <is>
          <t>New</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n"/>
      <c r="W28" s="49" t="n"/>
    </row>
    <row r="29" ht="30" customHeight="1" s="59">
      <c r="A29" s="38" t="inlineStr">
        <is>
          <t>E02-S07</t>
        </is>
      </c>
      <c r="B29" s="39" t="inlineStr">
        <is>
          <t>E02</t>
        </is>
      </c>
      <c r="C29" s="40" t="inlineStr">
        <is>
          <t>BROKER INTEGRATION</t>
        </is>
      </c>
      <c r="D29" s="40" t="inlineStr">
        <is>
          <t>Live margin retrieval</t>
        </is>
      </c>
      <c r="E29" s="40" t="inlineStr">
        <is>
          <t>New</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n"/>
      <c r="W29" s="49" t="n"/>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n"/>
      <c r="W30" s="49" t="n"/>
    </row>
    <row r="31" ht="30" customHeight="1" s="59">
      <c r="A31" s="38" t="inlineStr">
        <is>
          <t>E02-S09</t>
        </is>
      </c>
      <c r="B31" s="39" t="inlineStr">
        <is>
          <t>E02</t>
        </is>
      </c>
      <c r="C31" s="40" t="inlineStr">
        <is>
          <t>BROKER INTEGRATION</t>
        </is>
      </c>
      <c r="D31" s="40" t="inlineStr">
        <is>
          <t>Broker error taxonomy handling</t>
        </is>
      </c>
      <c r="E31" s="40" t="inlineStr">
        <is>
          <t>New</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n"/>
      <c r="W31" s="49" t="n"/>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row>
    <row r="33" ht="30" customHeight="1" s="59">
      <c r="A33" s="38" t="inlineStr">
        <is>
          <t>E03-S02</t>
        </is>
      </c>
      <c r="B33" s="39" t="inlineStr">
        <is>
          <t>E03</t>
        </is>
      </c>
      <c r="C33" s="40" t="inlineStr">
        <is>
          <t>HISTORICAL DATA</t>
        </is>
      </c>
      <c r="D33" s="40" t="inlineStr">
        <is>
          <t>Corporate action adjustment</t>
        </is>
      </c>
      <c r="E33" s="40" t="inlineStr">
        <is>
          <t>New</t>
        </is>
      </c>
      <c r="F33" s="41" t="inlineStr">
        <is>
          <t>P0</t>
        </is>
      </c>
      <c r="G33" s="39" t="inlineStr">
        <is>
          <t>1</t>
        </is>
      </c>
      <c r="H33" s="51" t="inlineStr">
        <is>
          <t>Safety-critical</t>
        </is>
      </c>
      <c r="I33" s="39" t="inlineStr">
        <is>
          <t>FEAT</t>
        </is>
      </c>
      <c r="J33" s="43" t="n">
        <v>2</v>
      </c>
      <c r="K33" s="40" t="inlineStr">
        <is>
          <t>E03-S01</t>
        </is>
      </c>
      <c r="L33" s="40" t="n"/>
      <c r="M33" s="44" t="n"/>
      <c r="N33" s="45" t="n"/>
      <c r="O33" s="46" t="n"/>
      <c r="P33" s="46" t="n"/>
      <c r="Q33" s="47" t="n"/>
      <c r="R33" s="39" t="n">
        <v>5</v>
      </c>
      <c r="S33" s="48" t="inlineStr">
        <is>
          <t>As an analyst, I want historical prices adjusted for splits and bonuses, so that moving averages do not show phantom breakouts.</t>
        </is>
      </c>
      <c r="T33" s="48" t="inlineStr">
        <is>
          <t>1. Fetch corporate action data
2. Apply split/bonus adjustment factors to historical series
3. Mark `is_adjusted` on affected rows
4. Re-adjustment when a new action is announced
5. Verify against a known historical split</t>
        </is>
      </c>
      <c r="U33" s="48" t="inlineStr">
        <is>
          <t>• A known 1:5 split produces a continuous price series across the event
• 🔴 Unadjusted data can never reach the indicator engine</t>
        </is>
      </c>
      <c r="V33" s="48" t="n"/>
      <c r="W33" s="49" t="n"/>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row>
    <row r="45" ht="30" customHeight="1" s="59">
      <c r="A45" s="38" t="inlineStr">
        <is>
          <t>E05-S01</t>
        </is>
      </c>
      <c r="B45" s="39" t="inlineStr">
        <is>
          <t>E05</t>
        </is>
      </c>
      <c r="C45" s="40" t="inlineStr">
        <is>
          <t>MARKET DATA INGESTION</t>
        </is>
      </c>
      <c r="D45" s="40" t="inlineStr">
        <is>
          <t>WebSocket client with reconnection</t>
        </is>
      </c>
      <c r="E45" s="40" t="inlineStr">
        <is>
          <t>New</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n"/>
      <c r="W45" s="49" t="n"/>
    </row>
    <row r="46" ht="30" customHeight="1" s="59">
      <c r="A46" s="38" t="inlineStr">
        <is>
          <t>E05-S02</t>
        </is>
      </c>
      <c r="B46" s="39" t="inlineStr">
        <is>
          <t>E05</t>
        </is>
      </c>
      <c r="C46" s="40" t="inlineStr">
        <is>
          <t>MARKET DATA INGESTION</t>
        </is>
      </c>
      <c r="D46" s="40" t="inlineStr">
        <is>
          <t>Tick validation</t>
        </is>
      </c>
      <c r="E46" s="40" t="inlineStr">
        <is>
          <t>New</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n"/>
      <c r="W46" s="49" t="n"/>
    </row>
    <row r="47" ht="30" customHeight="1" s="59">
      <c r="A47" s="38" t="inlineStr">
        <is>
          <t>E05-S03</t>
        </is>
      </c>
      <c r="B47" s="39" t="inlineStr">
        <is>
          <t>E05</t>
        </is>
      </c>
      <c r="C47" s="40" t="inlineStr">
        <is>
          <t>MARKET DATA INGESTION</t>
        </is>
      </c>
      <c r="D47" s="40" t="inlineStr">
        <is>
          <t>Deduplication</t>
        </is>
      </c>
      <c r="E47" s="40" t="inlineStr">
        <is>
          <t>New</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n"/>
      <c r="W47" s="49" t="n"/>
    </row>
    <row r="48" ht="30" customHeight="1" s="59">
      <c r="A48" s="38" t="inlineStr">
        <is>
          <t>E05-S04</t>
        </is>
      </c>
      <c r="B48" s="39" t="inlineStr">
        <is>
          <t>E05</t>
        </is>
      </c>
      <c r="C48" s="40" t="inlineStr">
        <is>
          <t>MARKET DATA INGESTION</t>
        </is>
      </c>
      <c r="D48" s="40" t="inlineStr">
        <is>
          <t>Outlier filtering</t>
        </is>
      </c>
      <c r="E48" s="40" t="inlineStr">
        <is>
          <t>New</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n"/>
      <c r="W48" s="49" t="n"/>
    </row>
    <row r="49" ht="30" customHeight="1" s="59">
      <c r="A49" s="38" t="inlineStr">
        <is>
          <t>E05-S05</t>
        </is>
      </c>
      <c r="B49" s="39" t="inlineStr">
        <is>
          <t>E05</t>
        </is>
      </c>
      <c r="C49" s="40" t="inlineStr">
        <is>
          <t>MARKET DATA INGESTION</t>
        </is>
      </c>
      <c r="D49" s="40" t="inlineStr">
        <is>
          <t>Normalisation</t>
        </is>
      </c>
      <c r="E49" s="40" t="inlineStr">
        <is>
          <t>New</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n"/>
      <c r="W49" s="49" t="n"/>
    </row>
    <row r="50" ht="30" customHeight="1" s="59">
      <c r="A50" s="38" t="inlineStr">
        <is>
          <t>E05-S06</t>
        </is>
      </c>
      <c r="B50" s="39" t="inlineStr">
        <is>
          <t>E05</t>
        </is>
      </c>
      <c r="C50" s="40" t="inlineStr">
        <is>
          <t>MARKET DATA INGESTION</t>
        </is>
      </c>
      <c r="D50" s="40" t="inlineStr">
        <is>
          <t>Bar builder with session alignment</t>
        </is>
      </c>
      <c r="E50" s="40" t="inlineStr">
        <is>
          <t>New</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n"/>
      <c r="W50" s="49" t="n"/>
    </row>
    <row r="51" ht="30" customHeight="1" s="59">
      <c r="A51" s="38" t="inlineStr">
        <is>
          <t>E05-S07</t>
        </is>
      </c>
      <c r="B51" s="39" t="inlineStr">
        <is>
          <t>E05</t>
        </is>
      </c>
      <c r="C51" s="40" t="inlineStr">
        <is>
          <t>MARKET DATA INGESTION</t>
        </is>
      </c>
      <c r="D51" s="40" t="inlineStr">
        <is>
          <t>Synthetic bar handling</t>
        </is>
      </c>
      <c r="E51" s="40" t="inlineStr">
        <is>
          <t>New</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n"/>
      <c r="W51" s="49" t="n"/>
    </row>
    <row r="52" ht="30" customHeight="1" s="59">
      <c r="A52" s="38" t="inlineStr">
        <is>
          <t>E05-S08</t>
        </is>
      </c>
      <c r="B52" s="39" t="inlineStr">
        <is>
          <t>E05</t>
        </is>
      </c>
      <c r="C52" s="40" t="inlineStr">
        <is>
          <t>MARKET DATA INGESTION</t>
        </is>
      </c>
      <c r="D52" s="40" t="inlineStr">
        <is>
          <t>Quote state publishing</t>
        </is>
      </c>
      <c r="E52" s="40" t="inlineStr">
        <is>
          <t>New</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n"/>
      <c r="W52" s="49" t="n"/>
    </row>
    <row r="53" ht="30" customHeight="1" s="59">
      <c r="A53" s="38" t="inlineStr">
        <is>
          <t>E06-S01</t>
        </is>
      </c>
      <c r="B53" s="39" t="inlineStr">
        <is>
          <t>E06</t>
        </is>
      </c>
      <c r="C53" s="40" t="inlineStr">
        <is>
          <t>TECHNICAL ANALYSIS ENGINE</t>
        </is>
      </c>
      <c r="D53" s="40" t="inlineStr">
        <is>
          <t>Incremental indicator framework</t>
        </is>
      </c>
      <c r="E53" s="40" t="inlineStr">
        <is>
          <t>New</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n"/>
      <c r="W53" s="49" t="n"/>
    </row>
    <row r="54" ht="30" customHeight="1" s="59">
      <c r="A54" s="38" t="inlineStr">
        <is>
          <t>E06-S02</t>
        </is>
      </c>
      <c r="B54" s="39" t="inlineStr">
        <is>
          <t>E06</t>
        </is>
      </c>
      <c r="C54" s="40" t="inlineStr">
        <is>
          <t>TECHNICAL ANALYSIS ENGINE</t>
        </is>
      </c>
      <c r="D54" s="40" t="inlineStr">
        <is>
          <t>Core indicator implementations</t>
        </is>
      </c>
      <c r="E54" s="40" t="inlineStr">
        <is>
          <t>New</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n"/>
      <c r="W54" s="49" t="n"/>
    </row>
    <row r="55" ht="30" customHeight="1" s="59">
      <c r="A55" s="38" t="inlineStr">
        <is>
          <t>E06-S03</t>
        </is>
      </c>
      <c r="B55" s="39" t="inlineStr">
        <is>
          <t>E06</t>
        </is>
      </c>
      <c r="C55" s="40" t="inlineStr">
        <is>
          <t>TECHNICAL ANALYSIS ENGINE</t>
        </is>
      </c>
      <c r="D55" s="40" t="inlineStr">
        <is>
          <t>Warm-up orchestration</t>
        </is>
      </c>
      <c r="E55" s="40" t="inlineStr">
        <is>
          <t>New</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n"/>
      <c r="W55" s="49" t="n"/>
    </row>
    <row r="56" ht="30" customHeight="1" s="59">
      <c r="A56" s="38" t="inlineStr">
        <is>
          <t>E06-S04</t>
        </is>
      </c>
      <c r="B56" s="39" t="inlineStr">
        <is>
          <t>E06</t>
        </is>
      </c>
      <c r="C56" s="40" t="inlineStr">
        <is>
          <t>TECHNICAL ANALYSIS ENGINE</t>
        </is>
      </c>
      <c r="D56" s="40" t="inlineStr">
        <is>
          <t>Multi-timeframe snapshot assembly</t>
        </is>
      </c>
      <c r="E56" s="40" t="inlineStr">
        <is>
          <t>New</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c r="R56" s="39" t="n">
        <v>3</v>
      </c>
      <c r="S56" s="48" t="n"/>
      <c r="T56" s="48" t="inlineStr">
        <is>
          <t>1. Assemble `MultiTimeframeSnapshot` from per-timeframe state
2. `all_ready` gate
3. Publish to Redis for `signal-engine` to read without IPC</t>
        </is>
      </c>
      <c r="U56" s="48" t="n"/>
      <c r="V56" s="48" t="n"/>
      <c r="W56" s="49" t="n"/>
    </row>
    <row r="57" ht="30" customHeight="1" s="59">
      <c r="A57" s="38" t="inlineStr">
        <is>
          <t>E06-S05</t>
        </is>
      </c>
      <c r="B57" s="39" t="inlineStr">
        <is>
          <t>E06</t>
        </is>
      </c>
      <c r="C57" s="40" t="inlineStr">
        <is>
          <t>TECHNICAL ANALYSIS ENGINE</t>
        </is>
      </c>
      <c r="D57" s="40" t="inlineStr">
        <is>
          <t>Support/resistance and pivot detection</t>
        </is>
      </c>
      <c r="E57" s="40" t="inlineStr">
        <is>
          <t>New</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n"/>
      <c r="W57" s="49" t="n"/>
    </row>
    <row r="58" ht="30" customHeight="1" s="59">
      <c r="A58" s="38" t="inlineStr">
        <is>
          <t>E06-S06</t>
        </is>
      </c>
      <c r="B58" s="39" t="inlineStr">
        <is>
          <t>E06</t>
        </is>
      </c>
      <c r="C58" s="40" t="inlineStr">
        <is>
          <t>TECHNICAL ANALYSIS ENGINE</t>
        </is>
      </c>
      <c r="D58" s="40" t="inlineStr">
        <is>
          <t>Opening range computation</t>
        </is>
      </c>
      <c r="E58" s="40" t="inlineStr">
        <is>
          <t>New</t>
        </is>
      </c>
      <c r="F58" s="41" t="inlineStr">
        <is>
          <t>P0</t>
        </is>
      </c>
      <c r="G58" s="39" t="inlineStr">
        <is>
          <t>2</t>
        </is>
      </c>
      <c r="H58" s="51" t="inlineStr">
        <is>
          <t>Safety-critical</t>
        </is>
      </c>
      <c r="I58" s="39" t="inlineStr">
        <is>
          <t>FEAT</t>
        </is>
      </c>
      <c r="J58" s="43" t="n">
        <v>1</v>
      </c>
      <c r="K58" s="40" t="inlineStr">
        <is>
          <t>E06-S02</t>
        </is>
      </c>
      <c r="L58" s="40" t="n"/>
      <c r="M58" s="44" t="n"/>
      <c r="N58" s="45" t="n"/>
      <c r="O58" s="46" t="n"/>
      <c r="P58" s="46" t="n"/>
      <c r="Q58" s="47" t="n"/>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n"/>
      <c r="W58" s="49" t="n"/>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n"/>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Flags, triangles, double tops/bottoms; TA-Lib candlestick recognition.</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30" customHeight="1" s="59">
      <c r="A118" s="38" t="inlineStr">
        <is>
          <t>E14-S01</t>
        </is>
      </c>
      <c r="B118" s="39" t="inlineStr">
        <is>
          <t>E14</t>
        </is>
      </c>
      <c r="C118" s="40" t="inlineStr">
        <is>
          <t>RISK ENGINE</t>
        </is>
      </c>
      <c r="D118" s="40" t="inlineStr">
        <is>
          <t>Risk check framework</t>
        </is>
      </c>
      <c r="E118" s="40" t="inlineStr">
        <is>
          <t>New</t>
        </is>
      </c>
      <c r="F118" s="41" t="inlineStr">
        <is>
          <t>P0</t>
        </is>
      </c>
      <c r="G118" s="39" t="inlineStr">
        <is>
          <t>5</t>
        </is>
      </c>
      <c r="H118" s="51" t="inlineStr">
        <is>
          <t>Safety-critical</t>
        </is>
      </c>
      <c r="I118" s="39" t="inlineStr">
        <is>
          <t>FEAT</t>
        </is>
      </c>
      <c r="J118" s="43" t="n">
        <v>1.5</v>
      </c>
      <c r="K118" s="40" t="inlineStr">
        <is>
          <t>E13-S04</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n"/>
      <c r="W118" s="49" t="n"/>
    </row>
    <row r="119" ht="30" customHeight="1" s="59">
      <c r="A119" s="38" t="inlineStr">
        <is>
          <t>E14-S02</t>
        </is>
      </c>
      <c r="B119" s="39" t="inlineStr">
        <is>
          <t>E14</t>
        </is>
      </c>
      <c r="C119" s="40" t="inlineStr">
        <is>
          <t>RISK ENGINE</t>
        </is>
      </c>
      <c r="D119" s="40" t="inlineStr">
        <is>
          <t>Pre-condition checks (1–4)</t>
        </is>
      </c>
      <c r="E119" s="40" t="inlineStr">
        <is>
          <t>New</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47" t="n"/>
      <c r="R119" s="39" t="n">
        <v>0</v>
      </c>
      <c r="S119" s="48" t="n"/>
      <c r="T119" s="48" t="n"/>
      <c r="U119" s="48" t="n"/>
      <c r="V119" s="48" t="inlineStr">
        <is>
          <t>Kill switch · health gate · trading window · no-trade window.</t>
        </is>
      </c>
      <c r="W119" s="49" t="n"/>
    </row>
    <row r="120" ht="30" customHeight="1" s="59">
      <c r="A120" s="38" t="inlineStr">
        <is>
          <t>E14-S03</t>
        </is>
      </c>
      <c r="B120" s="39" t="inlineStr">
        <is>
          <t>E14</t>
        </is>
      </c>
      <c r="C120" s="40" t="inlineStr">
        <is>
          <t>RISK ENGINE</t>
        </is>
      </c>
      <c r="D120" s="40" t="inlineStr">
        <is>
          <t>Symbol eligibility checks (5–7)</t>
        </is>
      </c>
      <c r="E120" s="40" t="inlineStr">
        <is>
          <t>New</t>
        </is>
      </c>
      <c r="F120" s="41" t="inlineStr">
        <is>
          <t>P0</t>
        </is>
      </c>
      <c r="G120" s="39" t="inlineStr">
        <is>
          <t>5</t>
        </is>
      </c>
      <c r="H120" s="51" t="inlineStr">
        <is>
          <t>Safety-critical</t>
        </is>
      </c>
      <c r="I120" s="39" t="inlineStr">
        <is>
          <t>FEAT</t>
        </is>
      </c>
      <c r="J120" s="43" t="n">
        <v>1</v>
      </c>
      <c r="K120" s="40" t="inlineStr">
        <is>
          <t>E14-S01, E04</t>
        </is>
      </c>
      <c r="L120" s="40" t="n"/>
      <c r="M120" s="44" t="n"/>
      <c r="N120" s="45" t="n"/>
      <c r="O120" s="46" t="n"/>
      <c r="P120" s="46" t="n"/>
      <c r="Q120" s="47" t="n"/>
      <c r="R120" s="39" t="n">
        <v>0</v>
      </c>
      <c r="S120" s="48" t="n"/>
      <c r="T120" s="48" t="n"/>
      <c r="U120" s="48" t="n"/>
      <c r="V120" s="48" t="inlineStr">
        <is>
          <t>Symbol tradable (re-verified at order time) · slot available · not already held.</t>
        </is>
      </c>
      <c r="W120" s="49" t="n"/>
    </row>
    <row r="121" ht="30" customHeight="1" s="59">
      <c r="A121" s="38" t="inlineStr">
        <is>
          <t>E14-S04</t>
        </is>
      </c>
      <c r="B121" s="39" t="inlineStr">
        <is>
          <t>E14</t>
        </is>
      </c>
      <c r="C121" s="40" t="inlineStr">
        <is>
          <t>RISK ENGINE</t>
        </is>
      </c>
      <c r="D121" s="40" t="inlineStr">
        <is>
          <t>Portfolio exposure checks (8–10)</t>
        </is>
      </c>
      <c r="E121" s="40" t="inlineStr">
        <is>
          <t>New</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47" t="n"/>
      <c r="R121" s="39" t="n">
        <v>4</v>
      </c>
      <c r="S121" s="48" t="n"/>
      <c r="T121" s="48" t="inlineStr">
        <is>
          <t>1. Correlation guard — reject N correlated names
2. Rolling correlation matrix over the watchlist
3. Sector exposure cap
4. Net directional exposure cap</t>
        </is>
      </c>
      <c r="U121" s="48" t="inlineStr">
        <is>
          <t>• 🔴 Four PSU banks cannot occupy four slots</t>
        </is>
      </c>
      <c r="V121" s="48" t="n"/>
      <c r="W121" s="49" t="n"/>
    </row>
    <row r="122" ht="30" customHeight="1" s="59">
      <c r="A122" s="38" t="inlineStr">
        <is>
          <t>E14-S05</t>
        </is>
      </c>
      <c r="B122" s="39" t="inlineStr">
        <is>
          <t>E14</t>
        </is>
      </c>
      <c r="C122" s="40" t="inlineStr">
        <is>
          <t>RISK ENGINE</t>
        </is>
      </c>
      <c r="D122" s="40" t="inlineStr">
        <is>
          <t>Loss limit checks (11–12)</t>
        </is>
      </c>
      <c r="E122" s="40" t="inlineStr">
        <is>
          <t>New</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47" t="n"/>
      <c r="R122" s="39" t="n">
        <v>0</v>
      </c>
      <c r="S122" s="48" t="n"/>
      <c r="T122" s="48" t="n"/>
      <c r="U122" s="48" t="n"/>
      <c r="V122" s="48" t="inlineStr">
        <is>
          <t>Daily loss limit → halt · consecutive loss limit → halt.</t>
        </is>
      </c>
      <c r="W122" s="49" t="n"/>
    </row>
    <row r="123" ht="30" customHeight="1" s="59">
      <c r="A123" s="38" t="inlineStr">
        <is>
          <t>E14-S06</t>
        </is>
      </c>
      <c r="B123" s="39" t="inlineStr">
        <is>
          <t>E14</t>
        </is>
      </c>
      <c r="C123" s="40" t="inlineStr">
        <is>
          <t>RISK ENGINE</t>
        </is>
      </c>
      <c r="D123" s="40" t="inlineStr">
        <is>
          <t>Margin and timing checks (13–14)</t>
        </is>
      </c>
      <c r="E123" s="40" t="inlineStr">
        <is>
          <t>New</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47" t="n"/>
      <c r="R123" s="39" t="n">
        <v>2</v>
      </c>
      <c r="S123" s="48" t="n"/>
      <c r="T123" s="48" t="inlineStr">
        <is>
          <t>1. Live broker margin sufficient for the intended position
2. Enough runway before the per-stock square-off deadline</t>
        </is>
      </c>
      <c r="U123" s="48" t="n"/>
      <c r="V123" s="48" t="n"/>
      <c r="W123" s="49" t="n"/>
    </row>
    <row r="124" ht="30" customHeight="1" s="59">
      <c r="A124" s="38" t="inlineStr">
        <is>
          <t>E14-S07</t>
        </is>
      </c>
      <c r="B124" s="39" t="inlineStr">
        <is>
          <t>E14</t>
        </is>
      </c>
      <c r="C124" s="40" t="inlineStr">
        <is>
          <t>RISK ENGINE</t>
        </is>
      </c>
      <c r="D124" s="40" t="inlineStr">
        <is>
          <t>ATR-based position sizing</t>
        </is>
      </c>
      <c r="E124" s="40" t="inlineStr">
        <is>
          <t>New</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47" t="n"/>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 🔴 Property test: risk never exceeds `risk_pct` for ANY generated input
• 🔴 A surprisingly small position is explainable from the binding constraint</t>
        </is>
      </c>
      <c r="V124" s="48" t="n"/>
      <c r="W124" s="49" t="n"/>
    </row>
    <row r="125" ht="30" customHeight="1" s="59">
      <c r="A125" s="38" t="inlineStr">
        <is>
          <t>E14-S08</t>
        </is>
      </c>
      <c r="B125" s="39" t="inlineStr">
        <is>
          <t>E14</t>
        </is>
      </c>
      <c r="C125" s="40" t="inlineStr">
        <is>
          <t>RISK ENGINE</t>
        </is>
      </c>
      <c r="D125" s="40" t="inlineStr">
        <is>
          <t>Slot management</t>
        </is>
      </c>
      <c r="E125" s="40" t="inlineStr">
        <is>
          <t>New</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n"/>
      <c r="W125" s="49" t="n"/>
    </row>
    <row r="126" ht="30" customHeight="1" s="59">
      <c r="A126" s="38" t="inlineStr">
        <is>
          <t>E14-S09</t>
        </is>
      </c>
      <c r="B126" s="39" t="inlineStr">
        <is>
          <t>E14</t>
        </is>
      </c>
      <c r="C126" s="40" t="inlineStr">
        <is>
          <t>RISK ENGINE</t>
        </is>
      </c>
      <c r="D126" s="40" t="inlineStr">
        <is>
          <t>Kill switch</t>
        </is>
      </c>
      <c r="E126" s="40" t="inlineStr">
        <is>
          <t>New</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n"/>
      <c r="W126" s="49" t="n"/>
    </row>
    <row r="127" ht="30" customHeight="1" s="59">
      <c r="A127" s="38" t="inlineStr">
        <is>
          <t>E15-S01</t>
        </is>
      </c>
      <c r="B127" s="39" t="inlineStr">
        <is>
          <t>E15</t>
        </is>
      </c>
      <c r="C127" s="40" t="inlineStr">
        <is>
          <t>EXECUTION &amp; POSITIONS</t>
        </is>
      </c>
      <c r="D127" s="40" t="inlineStr">
        <is>
          <t>Order gateway</t>
        </is>
      </c>
      <c r="E127" s="40" t="inlineStr">
        <is>
          <t>New</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c r="R127" s="39" t="n">
        <v>5</v>
      </c>
      <c r="S127" s="48" t="n"/>
      <c r="T127" s="48" t="inlineStr">
        <is>
          <t>1. Build `OrderRequest` from `RiskDecision`
2. Attach Algo-ID and market protection
3. Round prices to tick size
4. Single-threaded serialised submission
5. Rate limiter integration</t>
        </is>
      </c>
      <c r="U127" s="48" t="n"/>
      <c r="V127" s="48" t="n"/>
      <c r="W127" s="49" t="n"/>
    </row>
    <row r="128" ht="30" customHeight="1" s="59">
      <c r="A128" s="38" t="inlineStr">
        <is>
          <t>E15-S02</t>
        </is>
      </c>
      <c r="B128" s="39" t="inlineStr">
        <is>
          <t>E15</t>
        </is>
      </c>
      <c r="C128" s="40" t="inlineStr">
        <is>
          <t>EXECUTION &amp; POSITIONS</t>
        </is>
      </c>
      <c r="D128" s="40" t="inlineStr">
        <is>
          <t>Idempotency</t>
        </is>
      </c>
      <c r="E128" s="40" t="inlineStr">
        <is>
          <t>New</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c r="R128" s="39" t="n">
        <v>3</v>
      </c>
      <c r="S128" s="48" t="n"/>
      <c r="T128" s="48" t="inlineStr">
        <is>
          <t>1. `client_order_id = sha256(correlation|symbol|side|intent|date)[:32]`
2. Persist before submission
3. On ambiguous failure: query by client_order_id, never retry</t>
        </is>
      </c>
      <c r="U128" s="48" t="inlineStr">
        <is>
          <t>• 🔴 Chaos test: timeout + reconnect produces exactly one order</t>
        </is>
      </c>
      <c r="V128" s="48" t="n"/>
      <c r="W128" s="49" t="n"/>
    </row>
    <row r="129" ht="30" customHeight="1" s="59">
      <c r="A129" s="38" t="inlineStr">
        <is>
          <t>E15-S03</t>
        </is>
      </c>
      <c r="B129" s="39" t="inlineStr">
        <is>
          <t>E15</t>
        </is>
      </c>
      <c r="C129" s="40" t="inlineStr">
        <is>
          <t>EXECUTION &amp; POSITIONS</t>
        </is>
      </c>
      <c r="D129" s="40" t="inlineStr">
        <is>
          <t>Order state machine</t>
        </is>
      </c>
      <c r="E129" s="40" t="inlineStr">
        <is>
          <t>New</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c r="R129" s="39" t="n">
        <v>0</v>
      </c>
      <c r="S129" s="48" t="n"/>
      <c r="T129" s="48" t="n"/>
      <c r="U129" s="48" t="n"/>
      <c r="V129" s="48" t="inlineStr">
        <is>
          <t>Full lifecycle per LOW_LEVEL_ARCHITECTURE §8.2 with illegal transitions rejected.</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New</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c r="R173" s="39" t="n">
        <v>0</v>
      </c>
      <c r="S173" s="48" t="n"/>
      <c r="T173" s="48" t="n"/>
      <c r="U173" s="48" t="n"/>
      <c r="V173" s="48" t="inlineStr">
        <is>
          <t>Attach per the confirmed mechanic; verify present on every order.</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row>
  </sheetData>
  <autoFilter ref="A4:W195"/>
  <conditionalFormatting sqref="A5:D195">
    <cfRule type="expression" priority="16" dxfId="42">
      <formula>OR($E5="Removed",$E5="Closed")</formula>
    </cfRule>
  </conditionalFormatting>
  <conditionalFormatting sqref="E5:E195">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5"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5"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1"/>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30" customHeight="1" s="59">
      <c r="A5" s="38" t="inlineStr">
        <is>
          <t>B1</t>
        </is>
      </c>
      <c r="B5" s="48" t="inlineStr">
        <is>
          <t>Algo-ID attachment mechanic unconfirmed</t>
        </is>
      </c>
      <c r="C5" s="48" t="inlineStr">
        <is>
          <t>E02-S04, E21-S01</t>
        </is>
      </c>
      <c r="D5" s="48" t="inlineStr">
        <is>
          <t>Ask Zerodha: tag field or broker-injected?</t>
        </is>
      </c>
      <c r="E5" s="40" t="inlineStr">
        <is>
          <t>Active</t>
        </is>
      </c>
      <c r="F5" s="44" t="inlineStr">
        <is>
          <t>Self</t>
        </is>
      </c>
      <c r="G5" s="46" t="n"/>
      <c r="H5" s="49" t="inlineStr">
        <is>
          <t>PARTIALLY RESOLVED 7 Aug 2026 — the MECHANIC is confirmed, the VALUE is not.
ANSWERED: the Algo-ID is CLIENT-SUPPLIED PER ORDER, not injected server-side by the broker. kiteconnect 5.2.1's place_order() takes an `algo_id` parameter, documented as "an optional algo ID to associate with the order". Verified against the installed SDK signature, not from docs. doctor now asserts this at runtime.
This settles the architectural question: the system must carry an Algo-ID in config and attach it to every order — which is what BrokerConfig.algo_id and the live-mode validator in common/config.py already assume. No design change needed.
STILL OPEN: WHICH value to send. For self-developed personal algos under 10 orders/sec, a GENERIC exchange-issued Algo-ID applies rather than a per-strategy registered one — that needs confirming with Zerodha, and is the remaining content of the Day-1 email.
Downgraded from a design blocker to a paperwork question. It no longer blocks E02-S04 from being BUILT, only from going live.
[YOUR ORIGINAL NOTE: "Research on this topic, and arrive at a relevant answer"]</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30" customHeight="1" s="59">
      <c r="A7" s="38" t="inlineStr">
        <is>
          <t>B3</t>
        </is>
      </c>
      <c r="B7" s="48" t="inlineStr">
        <is>
          <t>NSE holiday list incomplete</t>
        </is>
      </c>
      <c r="C7" s="48" t="inlineStr">
        <is>
          <t>E04-S07, all scheduling</t>
        </is>
      </c>
      <c r="D7" s="48" t="inlineStr">
        <is>
          <t>Transcribe the circular</t>
        </is>
      </c>
      <c r="E7" s="40" t="inlineStr">
        <is>
          <t>Active</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Active</t>
        </is>
      </c>
      <c r="F8" s="44" t="inlineStr">
        <is>
          <t>Self</t>
        </is>
      </c>
      <c r="G8" s="46" t="n"/>
      <c r="H8" s="49" t="inlineStr">
        <is>
          <t>SPRINT 1 — DAY 1. Ask in the SAME email as B1; one round trip instead of two.
Working figure is ~Rs.500/month for the historical data add-on on top of the Kite Connect subscription. Affects the E03-S03 budget only — it does not block any code being written, so it should never hold up the sprint. User has confirmed they will handle pricing themselves; this is a confirm-the-number task, not a decision.</t>
        </is>
      </c>
    </row>
    <row r="9" ht="30" customHeight="1" s="59">
      <c r="A9" s="38" t="inlineStr">
        <is>
          <t>B5</t>
        </is>
      </c>
      <c r="B9" s="48" t="inlineStr">
        <is>
          <t>Daily login mechanism untested</t>
        </is>
      </c>
      <c r="C9" s="48" t="inlineStr">
        <is>
          <t>E02-S01</t>
        </is>
      </c>
      <c r="D9" s="48" t="inlineStr">
        <is>
          <t>Prototype the phone→callback flow</t>
        </is>
      </c>
      <c r="E9" s="40" t="inlineStr">
        <is>
          <t>New</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30" customHeight="1" s="59">
      <c r="A10" s="38" t="inlineStr">
        <is>
          <t>B6</t>
        </is>
      </c>
      <c r="B10" s="48" t="inlineStr">
        <is>
          <t>Static IP not procured</t>
        </is>
      </c>
      <c r="C10" s="48" t="inlineStr">
        <is>
          <t>E23-S02, all live trading</t>
        </is>
      </c>
      <c r="D10" s="48" t="inlineStr">
        <is>
          <t>Select provider, procure</t>
        </is>
      </c>
      <c r="E10" s="40" t="inlineStr">
        <is>
          <t>Active</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t>
        </is>
      </c>
    </row>
    <row r="11" ht="409.6" customHeight="1" s="59">
      <c r="A11" s="38" t="inlineStr">
        <is>
          <t>B7</t>
        </is>
      </c>
      <c r="B11" s="48" t="inlineStr">
        <is>
          <t>kiteconnect pins a vulnerable autobahn (CVE-2020-35678)</t>
        </is>
      </c>
      <c r="C11" s="48" t="inlineStr">
        <is>
          <t>E02-S03 WebSocket ticker, all live market data</t>
        </is>
      </c>
      <c r="D11" s="48" t="inlineStr">
        <is>
          <t>Confirm exposure at E02; ask Zerodha to bump the pin</t>
        </is>
      </c>
      <c r="E11" s="40" t="inlineStr">
        <is>
          <t>On Hold</t>
        </is>
      </c>
      <c r="F11" s="44" t="inlineStr">
        <is>
          <t>Self</t>
        </is>
      </c>
      <c r="G11" s="46" t="inlineStr">
        <is>
          <t>None</t>
        </is>
      </c>
      <c r="H11" s="49" t="inlineStr">
        <is>
          <t>FOUND 7 Aug 2026 by pip-audit during the Sprint 1 security pass.
kiteconnect 5.2.1 declares `autobahn[twisted]==19.11.2` — an EXACT pin to a 2019 release carrying CVE-2020-35678 (redirect header injection, fixed in 20.12.3). autobahn is the WebSocket transport behind KiteTicker, i.e. the live market-data path.
CANNOT BE FIXED LOCALLY. pip will install autobahn 26.7.1 if asked, but that violates kiteconnect's declared pin and is a 7-year API jump in the exact layer KiteTicker is built on. Doing that blind to the market-data path is a worse risk than the CVE. NOT ATTEMPTED — deliberately.
EXPOSURE ASSESSMENT (why this is On Hold rather than Active): the flaw needs an attacker able to influence a redirect response. This client connects to one known endpoint (wss://ws.kite.trade) over TLS, and the compose design already puts the core network on `internal: true` with egress filtered to broker hosts. That is not a fix, but it means the practical exposure is small and does not block development.
ACTIONS: (1) add to the Zerodha email alongside B1/B4 — ask when the autobahn pin will be updated; (2) at E02-S03, verify TLS cert validation is ON and the endpoint is not permitted to redirect; (3) re-run pip-audit each sprint; (4) re-evaluate before live trading — this belongs on PRE_LIVE_CHECKLIST.
Same family as B2: both are the broker SDK holding the system back.</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2026-08-05T16:21:12Z</dcterms:created>
  <dcterms:modified xmlns:dcterms="http://purl.org/dc/terms/" xmlns:xsi="http://www.w3.org/2001/XMLSchema-instance" xsi:type="dcterms:W3CDTF">2026-08-07T08:11:44Z</dcterms:modified>
  <cp:lastModifiedBy>Gopikrishnan Sreekumar</cp:lastModifiedBy>
  <cp:revision>0</cp:revision>
</cp:coreProperties>
</file>