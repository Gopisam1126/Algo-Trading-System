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name="Dashboard" sheetId="1" state="visible" r:id="rId1"/>
    <sheet name="Backlog" sheetId="2" state="visible" r:id="rId2"/>
    <sheet name="Blockers" sheetId="3" state="visible" r:id="rId3"/>
    <sheet name="E01 Blockers" sheetId="4" state="visible" r:id="rId4"/>
    <sheet name="QA Results" sheetId="5" state="visible" r:id="rId5"/>
    <sheet name="Security Findings" sheetId="6" state="visible" r:id="rId6"/>
    <sheet name="SIT Defects" sheetId="7" state="visible" r:id="rId7"/>
    <sheet name="Sprint Plan" sheetId="8" state="visible" r:id="rId8"/>
    <sheet name="Reference" sheetId="9" state="visible" r:id="rId9"/>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7"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6">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
      <b val="1"/>
      <color rgb="FFFFFFFF"/>
      <sz val="10"/>
    </font>
  </fonts>
  <fills count="29">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
      <patternFill patternType="solid">
        <fgColor rgb="00FFF4E5"/>
      </patternFill>
    </fill>
    <fill>
      <patternFill patternType="solid">
        <fgColor rgb="00FFF9EC"/>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xf numFmtId="0" fontId="35" fillId="27" borderId="0" applyAlignment="1" pivotButton="0" quotePrefix="0" xfId="0">
      <alignment horizontal="left" vertical="center" wrapText="1"/>
    </xf>
    <xf numFmtId="0" fontId="0" fillId="28" borderId="0" applyAlignment="1" pivotButton="0" quotePrefix="0" xfId="0">
      <alignment vertical="top" wrapText="1"/>
    </xf>
    <xf numFmtId="0" fontId="0" fillId="0" borderId="0" applyAlignment="1" pivotButton="0" quotePrefix="0" xfId="0">
      <alignment vertical="top" wrapText="1"/>
    </xf>
    <xf numFmtId="0" fontId="6" fillId="0" borderId="1" applyAlignment="1" pivotButton="0" quotePrefix="0" xfId="0">
      <alignment vertical="top" wrapText="1"/>
    </xf>
    <xf numFmtId="0" fontId="15" fillId="11" borderId="1" applyAlignment="1" pivotButton="0" quotePrefix="0" xfId="0">
      <alignment vertical="top" wrapText="1"/>
    </xf>
    <xf numFmtId="0" fontId="27" fillId="17" borderId="1" applyAlignment="1" pivotButton="0" quotePrefix="0" xfId="0">
      <alignment vertical="top" wrapText="1"/>
    </xf>
    <xf numFmtId="164" fontId="5" fillId="0" borderId="1" applyAlignment="1" pivotButton="0" quotePrefix="0" xfId="0">
      <alignment vertical="top" wrapText="1"/>
    </xf>
    <xf numFmtId="166" fontId="5" fillId="20" borderId="1" applyAlignment="1" pivotButton="0" quotePrefix="0" xfId="0">
      <alignment vertical="top" wrapText="1"/>
    </xf>
    <xf numFmtId="0" fontId="31" fillId="22" borderId="2" applyAlignment="1" pivotButton="0" quotePrefix="0" xfId="0">
      <alignment vertical="center" wrapText="1"/>
    </xf>
    <xf numFmtId="0" fontId="31" fillId="22" borderId="0" applyAlignment="1" pivotButton="0" quotePrefix="0" xfId="0">
      <alignment vertical="center" wrapText="1"/>
    </xf>
    <xf numFmtId="0" fontId="0" fillId="0" borderId="0" applyAlignment="1" pivotButton="0" quotePrefix="0" xfId="0">
      <alignment vertical="center" wrapText="1"/>
    </xf>
    <xf numFmtId="0" fontId="33" fillId="0" borderId="0" applyAlignment="1" pivotButton="0" quotePrefix="0" xfId="0">
      <alignment vertical="center"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Stories by status</a:t>
            </a:r>
          </a:p>
        </rich>
      </tx>
    </title>
    <plotArea>
      <pieChart>
        <varyColors val="1"/>
        <ser>
          <idx val="0"/>
          <order val="0"/>
          <tx>
            <strRef>
              <f>'Dashboard'!B60</f>
            </strRef>
          </tx>
          <spPr>
            <a:l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Effort by phase — closed vs remaining</a:t>
            </a:r>
          </a:p>
        </rich>
      </tx>
    </title>
    <plotArea>
      <barChart>
        <barDir val="col"/>
        <grouping val="stacked"/>
        <ser>
          <idx val="0"/>
          <order val="0"/>
          <tx>
            <strRef>
              <f>'Dashboard'!B76</f>
            </strRef>
          </tx>
          <spPr>
            <a:ln>
              <a:prstDash val="solid"/>
            </a:ln>
          </spPr>
          <cat>
            <numRef>
              <f>'Dashboard'!$A$77:$A$85</f>
            </numRef>
          </cat>
          <val>
            <numRef>
              <f>'Dashboard'!$B$77:$B$85</f>
            </numRef>
          </val>
        </ser>
        <ser>
          <idx val="1"/>
          <order val="1"/>
          <tx>
            <strRef>
              <f>'Dashboard'!C76</f>
            </strRef>
          </tx>
          <spPr>
            <a:ln>
              <a:prstDash val="solid"/>
            </a:ln>
          </spPr>
          <cat>
            <numRef>
              <f>'Dashboard'!$A$77:$A$85</f>
            </numRef>
          </cat>
          <val>
            <numRef>
              <f>'Dashboard'!$C$77:$C$85</f>
            </numRef>
          </val>
        </ser>
        <gapWidth val="150"/>
        <overlap val="100"/>
        <axId val="10"/>
        <axId val="100"/>
      </barChart>
      <catAx>
        <axId val="10"/>
        <scaling>
          <orientation val="minMax"/>
        </scaling>
        <axPos val="l"/>
        <title>
          <tx>
            <rich>
              <a:bodyPr/>
              <a:p>
                <a:pPr>
                  <a:defRPr/>
                </a:pPr>
                <a:r>
                  <a:t>Phase</a:t>
                </a:r>
              </a:p>
            </rich>
          </tx>
        </title>
        <majorTickMark val="none"/>
        <minorTickMark val="none"/>
        <crossAx val="100"/>
        <lblOffset val="100"/>
      </catAx>
      <valAx>
        <axId val="100"/>
        <scaling>
          <orientation val="minMax"/>
        </scaling>
        <axPos val="l"/>
        <majorGridlines/>
        <title>
          <tx>
            <rich>
              <a:bodyPr/>
              <a:p>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Completion by epic</a:t>
            </a:r>
          </a:p>
        </rich>
      </tx>
    </title>
    <plotArea>
      <barChart>
        <barDir val="bar"/>
        <grouping val="clustered"/>
        <ser>
          <idx val="0"/>
          <order val="0"/>
          <tx>
            <strRef>
              <f>'Dashboard'!B88</f>
            </strRef>
          </tx>
          <spPr>
            <a:ln>
              <a:prstDash val="solid"/>
            </a:ln>
          </spPr>
          <cat>
            <numRef>
              <f>'Dashboard'!$A$89:$A$112</f>
            </numRef>
          </cat>
          <val>
            <numRef>
              <f>'Dashboard'!$B$89:$B$112</f>
            </numRef>
          </val>
        </ser>
        <gapWidth val="150"/>
        <axId val="10"/>
        <axId val="100"/>
      </barChart>
      <catAx>
        <axId val="10"/>
        <scaling>
          <orientation val="minMax"/>
        </scaling>
        <axPos val="l"/>
        <title>
          <tx>
            <rich>
              <a:bodyPr/>
              <a:p>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E01 security findings by severity (all fixed)</a:t>
            </a:r>
          </a:p>
        </rich>
      </tx>
    </title>
    <plotArea>
      <barChart>
        <barDir val="col"/>
        <grouping val="clustered"/>
        <ser>
          <idx val="0"/>
          <order val="0"/>
          <spPr>
            <a:l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Findings</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E01 QA outcomes</a:t>
            </a:r>
          </a:p>
        </rich>
      </tx>
    </title>
    <plotArea>
      <pieChart>
        <varyColors val="1"/>
        <ser>
          <idx val="0"/>
          <order val="0"/>
          <tx>
            <strRef>
              <f>'QA Results'!J4</f>
            </strRef>
          </tx>
          <spPr>
            <a:l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Findings by severity (all fixed)</a:t>
            </a:r>
          </a:p>
        </rich>
      </tx>
    </title>
    <plotArea>
      <barChart>
        <barDir val="col"/>
        <grouping val="clustered"/>
        <ser>
          <idx val="0"/>
          <order val="0"/>
          <tx>
            <strRef>
              <f>'Security Findings'!K4</f>
            </strRef>
          </tx>
          <spPr>
            <a:l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59</row>
      <rowOff>0</rowOff>
    </from>
    <ext cx="5040000" cy="324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75</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87</row>
      <rowOff>0</rowOff>
    </from>
    <ext cx="5040000" cy="576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114</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8</row>
      <rowOff>0</rowOff>
    </from>
    <ext cx="396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COUNTA(Backlog!$A$5:$A$219)</f>
        <v/>
      </c>
      <c r="F6" s="7" t="inlineStr">
        <is>
          <t>E00</t>
        </is>
      </c>
      <c r="G6" s="5" t="inlineStr">
        <is>
          <t>FOUNDATION</t>
        </is>
      </c>
      <c r="H6" s="8" t="inlineStr">
        <is>
          <t>0</t>
        </is>
      </c>
      <c r="I6" s="8">
        <f>COUNTIF(Backlog!$B$5:$B$219,$F6)</f>
        <v/>
      </c>
      <c r="J6" s="9">
        <f>SUMIF(Backlog!$B$5:$B$219,$F6,Backlog!$J$5:$J$219)</f>
        <v/>
      </c>
      <c r="K6" s="8">
        <f>COUNTIFS(Backlog!$B$5:$B$219,$F6,Backlog!$E$5:$E$219,"Closed")</f>
        <v/>
      </c>
      <c r="L6" s="10">
        <f>IFERROR($K6/$I6,0)</f>
        <v/>
      </c>
    </row>
    <row r="7">
      <c r="A7" s="5" t="inlineStr">
        <is>
          <t>Total estimated days</t>
        </is>
      </c>
      <c r="B7" s="11">
        <f>SUM(Backlog!$J$5:$J$219)</f>
        <v/>
      </c>
      <c r="F7" s="7" t="inlineStr">
        <is>
          <t>E01</t>
        </is>
      </c>
      <c r="G7" s="5" t="inlineStr">
        <is>
          <t>PERSISTENCE &amp; DATA LAYER</t>
        </is>
      </c>
      <c r="H7" s="8" t="inlineStr">
        <is>
          <t>1</t>
        </is>
      </c>
      <c r="I7" s="8">
        <f>COUNTIF(Backlog!$B$5:$B$219,$F7)</f>
        <v/>
      </c>
      <c r="J7" s="9">
        <f>SUMIF(Backlog!$B$5:$B$219,$F7,Backlog!$J$5:$J$219)</f>
        <v/>
      </c>
      <c r="K7" s="8">
        <f>COUNTIFS(Backlog!$B$5:$B$219,$F7,Backlog!$E$5:$E$219,"Closed")</f>
        <v/>
      </c>
      <c r="L7" s="10">
        <f>IFERROR($K7/$I7,0)</f>
        <v/>
      </c>
    </row>
    <row r="8">
      <c r="A8" s="5" t="inlineStr">
        <is>
          <t>Closed</t>
        </is>
      </c>
      <c r="B8" s="6">
        <f>COUNTIF(Backlog!$E$5:$E$219,"Closed")</f>
        <v/>
      </c>
      <c r="F8" s="7" t="inlineStr">
        <is>
          <t>E02</t>
        </is>
      </c>
      <c r="G8" s="5" t="inlineStr">
        <is>
          <t>BROKER INTEGRATION</t>
        </is>
      </c>
      <c r="H8" s="8" t="inlineStr">
        <is>
          <t>1</t>
        </is>
      </c>
      <c r="I8" s="8">
        <f>COUNTIF(Backlog!$B$5:$B$219,$F8)</f>
        <v/>
      </c>
      <c r="J8" s="9">
        <f>SUMIF(Backlog!$B$5:$B$219,$F8,Backlog!$J$5:$J$219)</f>
        <v/>
      </c>
      <c r="K8" s="8">
        <f>COUNTIFS(Backlog!$B$5:$B$219,$F8,Backlog!$E$5:$E$219,"Closed")</f>
        <v/>
      </c>
      <c r="L8" s="10">
        <f>IFERROR($K8/$I8,0)</f>
        <v/>
      </c>
    </row>
    <row r="9">
      <c r="A9" s="5" t="inlineStr">
        <is>
          <t>In flight (Active→QA)</t>
        </is>
      </c>
      <c r="B9" s="6">
        <f>SUMPRODUCT(COUNTIF(Backlog!$E$5:$E$219,{"Active","Development In-Progress","Development Completed","QA In-Progress","QA-Success"}))</f>
        <v/>
      </c>
      <c r="F9" s="7" t="inlineStr">
        <is>
          <t>E03</t>
        </is>
      </c>
      <c r="G9" s="5" t="inlineStr">
        <is>
          <t>HISTORICAL DATA</t>
        </is>
      </c>
      <c r="H9" s="8" t="inlineStr">
        <is>
          <t>1</t>
        </is>
      </c>
      <c r="I9" s="8">
        <f>COUNTIF(Backlog!$B$5:$B$219,$F9)</f>
        <v/>
      </c>
      <c r="J9" s="9">
        <f>SUMIF(Backlog!$B$5:$B$219,$F9,Backlog!$J$5:$J$219)</f>
        <v/>
      </c>
      <c r="K9" s="8">
        <f>COUNTIFS(Backlog!$B$5:$B$219,$F9,Backlog!$E$5:$E$219,"Closed")</f>
        <v/>
      </c>
      <c r="L9" s="10">
        <f>IFERROR($K9/$I9,0)</f>
        <v/>
      </c>
    </row>
    <row r="10">
      <c r="A10" s="5" t="inlineStr">
        <is>
          <t>Not started (New)</t>
        </is>
      </c>
      <c r="B10" s="6">
        <f>COUNTIF(Backlog!$E$5:$E$219,"New")</f>
        <v/>
      </c>
      <c r="F10" s="7" t="inlineStr">
        <is>
          <t>E04</t>
        </is>
      </c>
      <c r="G10" s="5" t="inlineStr">
        <is>
          <t>INDIA HAZARD LISTS</t>
        </is>
      </c>
      <c r="H10" s="8" t="inlineStr">
        <is>
          <t>1</t>
        </is>
      </c>
      <c r="I10" s="8">
        <f>COUNTIF(Backlog!$B$5:$B$219,$F10)</f>
        <v/>
      </c>
      <c r="J10" s="9">
        <f>SUMIF(Backlog!$B$5:$B$219,$F10,Backlog!$J$5:$J$219)</f>
        <v/>
      </c>
      <c r="K10" s="8">
        <f>COUNTIFS(Backlog!$B$5:$B$219,$F10,Backlog!$E$5:$E$219,"Closed")</f>
        <v/>
      </c>
      <c r="L10" s="10">
        <f>IFERROR($K10/$I10,0)</f>
        <v/>
      </c>
    </row>
    <row r="11">
      <c r="A11" s="5" t="inlineStr">
        <is>
          <t>Blocked / On Hold</t>
        </is>
      </c>
      <c r="B11" s="6">
        <f>COUNTIF(Backlog!$E$5:$E$219,"Blocked")+COUNTIF(Backlog!$E$5:$E$219,"On Hold")</f>
        <v/>
      </c>
      <c r="F11" s="7" t="inlineStr">
        <is>
          <t>E05</t>
        </is>
      </c>
      <c r="G11" s="5" t="inlineStr">
        <is>
          <t>MARKET DATA INGESTION</t>
        </is>
      </c>
      <c r="H11" s="8" t="inlineStr">
        <is>
          <t>1</t>
        </is>
      </c>
      <c r="I11" s="8">
        <f>COUNTIF(Backlog!$B$5:$B$219,$F11)</f>
        <v/>
      </c>
      <c r="J11" s="9">
        <f>SUMIF(Backlog!$B$5:$B$219,$F11,Backlog!$J$5:$J$219)</f>
        <v/>
      </c>
      <c r="K11" s="8">
        <f>COUNTIFS(Backlog!$B$5:$B$219,$F11,Backlog!$E$5:$E$219,"Closed")</f>
        <v/>
      </c>
      <c r="L11" s="10">
        <f>IFERROR($K11/$I11,0)</f>
        <v/>
      </c>
    </row>
    <row r="12">
      <c r="A12" s="5" t="inlineStr">
        <is>
          <t>% Complete</t>
        </is>
      </c>
      <c r="B12" s="12">
        <f>IFERROR(COUNTIF(Backlog!$E$5:$E$219,"Closed")/COUNTA(Backlog!$A$5:$A$219),0)</f>
        <v/>
      </c>
      <c r="F12" s="7" t="inlineStr">
        <is>
          <t>E06</t>
        </is>
      </c>
      <c r="G12" s="5" t="inlineStr">
        <is>
          <t>TECHNICAL ANALYSIS ENGINE</t>
        </is>
      </c>
      <c r="H12" s="8" t="inlineStr">
        <is>
          <t>2</t>
        </is>
      </c>
      <c r="I12" s="8">
        <f>COUNTIF(Backlog!$B$5:$B$219,$F12)</f>
        <v/>
      </c>
      <c r="J12" s="9">
        <f>SUMIF(Backlog!$B$5:$B$219,$F12,Backlog!$J$5:$J$219)</f>
        <v/>
      </c>
      <c r="K12" s="8">
        <f>COUNTIFS(Backlog!$B$5:$B$219,$F12,Backlog!$E$5:$E$219,"Closed")</f>
        <v/>
      </c>
      <c r="L12" s="10">
        <f>IFERROR($K12/$I12,0)</f>
        <v/>
      </c>
    </row>
    <row r="13">
      <c r="A13" s="5" t="inlineStr">
        <is>
          <t>Days closed</t>
        </is>
      </c>
      <c r="B13" s="11">
        <f>SUMIF(Backlog!$E$5:$E$219,"Closed",Backlog!$J$5:$J$219)</f>
        <v/>
      </c>
      <c r="F13" s="7" t="inlineStr">
        <is>
          <t>E07</t>
        </is>
      </c>
      <c r="G13" s="5" t="inlineStr">
        <is>
          <t>UNIVERSE &amp; SCORING</t>
        </is>
      </c>
      <c r="H13" s="8" t="inlineStr">
        <is>
          <t>2</t>
        </is>
      </c>
      <c r="I13" s="8">
        <f>COUNTIF(Backlog!$B$5:$B$219,$F13)</f>
        <v/>
      </c>
      <c r="J13" s="9">
        <f>SUMIF(Backlog!$B$5:$B$219,$F13,Backlog!$J$5:$J$219)</f>
        <v/>
      </c>
      <c r="K13" s="8">
        <f>COUNTIFS(Backlog!$B$5:$B$219,$F13,Backlog!$E$5:$E$219,"Closed")</f>
        <v/>
      </c>
      <c r="L13" s="10">
        <f>IFERROR($K13/$I13,0)</f>
        <v/>
      </c>
    </row>
    <row r="14">
      <c r="A14" s="5" t="inlineStr">
        <is>
          <t>Days remaining</t>
        </is>
      </c>
      <c r="B14" s="11">
        <f>SUM(Backlog!$J$5:$J$219)-SUMIF(Backlog!$E$5:$E$219,"Closed",Backlog!$J$5:$J$219)</f>
        <v/>
      </c>
      <c r="F14" s="7" t="inlineStr">
        <is>
          <t>E08</t>
        </is>
      </c>
      <c r="G14" s="5" t="inlineStr">
        <is>
          <t>NEWS INTELLIGENCE</t>
        </is>
      </c>
      <c r="H14" s="8" t="inlineStr">
        <is>
          <t>3</t>
        </is>
      </c>
      <c r="I14" s="8">
        <f>COUNTIF(Backlog!$B$5:$B$219,$F14)</f>
        <v/>
      </c>
      <c r="J14" s="9">
        <f>SUMIF(Backlog!$B$5:$B$219,$F14,Backlog!$J$5:$J$219)</f>
        <v/>
      </c>
      <c r="K14" s="8">
        <f>COUNTIFS(Backlog!$B$5:$B$219,$F14,Backlog!$E$5:$E$219,"Closed")</f>
        <v/>
      </c>
      <c r="L14" s="10">
        <f>IFERROR($K14/$I14,0)</f>
        <v/>
      </c>
    </row>
    <row r="15">
      <c r="F15" s="7" t="inlineStr">
        <is>
          <t>E09</t>
        </is>
      </c>
      <c r="G15" s="5" t="inlineStr">
        <is>
          <t>MACRO CONTEXT</t>
        </is>
      </c>
      <c r="H15" s="8" t="inlineStr">
        <is>
          <t>3</t>
        </is>
      </c>
      <c r="I15" s="8">
        <f>COUNTIF(Backlog!$B$5:$B$219,$F15)</f>
        <v/>
      </c>
      <c r="J15" s="9">
        <f>SUMIF(Backlog!$B$5:$B$219,$F15,Backlog!$J$5:$J$219)</f>
        <v/>
      </c>
      <c r="K15" s="8">
        <f>COUNTIFS(Backlog!$B$5:$B$219,$F15,Backlog!$E$5:$E$219,"Closed")</f>
        <v/>
      </c>
      <c r="L15" s="10">
        <f>IFERROR($K15/$I15,0)</f>
        <v/>
      </c>
    </row>
    <row r="16">
      <c r="A16" s="3" t="inlineStr">
        <is>
          <t>BY STATUS</t>
        </is>
      </c>
      <c r="F16" s="7" t="inlineStr">
        <is>
          <t>E10</t>
        </is>
      </c>
      <c r="G16" s="5" t="inlineStr">
        <is>
          <t>AI LAYER</t>
        </is>
      </c>
      <c r="H16" s="8" t="inlineStr">
        <is>
          <t>3</t>
        </is>
      </c>
      <c r="I16" s="8">
        <f>COUNTIF(Backlog!$B$5:$B$219,$F16)</f>
        <v/>
      </c>
      <c r="J16" s="9">
        <f>SUMIF(Backlog!$B$5:$B$219,$F16,Backlog!$J$5:$J$219)</f>
        <v/>
      </c>
      <c r="K16" s="8">
        <f>COUNTIFS(Backlog!$B$5:$B$219,$F16,Backlog!$E$5:$E$219,"Closed")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COUNTIF(Backlog!$B$5:$B$219,$F17)</f>
        <v/>
      </c>
      <c r="J17" s="9">
        <f>SUMIF(Backlog!$B$5:$B$219,$F17,Backlog!$J$5:$J$219)</f>
        <v/>
      </c>
      <c r="K17" s="8">
        <f>COUNTIFS(Backlog!$B$5:$B$219,$F17,Backlog!$E$5:$E$219,"Closed")</f>
        <v/>
      </c>
      <c r="L17" s="10">
        <f>IFERROR($K17/$I17,0)</f>
        <v/>
      </c>
    </row>
    <row r="18">
      <c r="A18" s="13" t="inlineStr">
        <is>
          <t>New</t>
        </is>
      </c>
      <c r="B18" s="8">
        <f>COUNTIF(Backlog!$E$5:$E$219,$A18)</f>
        <v/>
      </c>
      <c r="C18" s="14">
        <f>IFERROR($B18/COUNTA(Backlog!$A$5:$A$219),0)</f>
        <v/>
      </c>
      <c r="D18" s="9">
        <f>SUMIF(Backlog!$E$5:$E$219,$A18,Backlog!$J$5:$J$219)</f>
        <v/>
      </c>
      <c r="F18" s="7" t="inlineStr">
        <is>
          <t>E12</t>
        </is>
      </c>
      <c r="G18" s="5" t="inlineStr">
        <is>
          <t>STRATEGY ENGINE</t>
        </is>
      </c>
      <c r="H18" s="8" t="inlineStr">
        <is>
          <t>5</t>
        </is>
      </c>
      <c r="I18" s="8">
        <f>COUNTIF(Backlog!$B$5:$B$219,$F18)</f>
        <v/>
      </c>
      <c r="J18" s="9">
        <f>SUMIF(Backlog!$B$5:$B$219,$F18,Backlog!$J$5:$J$219)</f>
        <v/>
      </c>
      <c r="K18" s="8">
        <f>COUNTIFS(Backlog!$B$5:$B$219,$F18,Backlog!$E$5:$E$219,"Closed")</f>
        <v/>
      </c>
      <c r="L18" s="10">
        <f>IFERROR($K18/$I18,0)</f>
        <v/>
      </c>
    </row>
    <row r="19">
      <c r="A19" s="15" t="inlineStr">
        <is>
          <t>Business Review</t>
        </is>
      </c>
      <c r="B19" s="8">
        <f>COUNTIF(Backlog!$E$5:$E$219,$A19)</f>
        <v/>
      </c>
      <c r="C19" s="14">
        <f>IFERROR($B19/COUNTA(Backlog!$A$5:$A$219),0)</f>
        <v/>
      </c>
      <c r="D19" s="9">
        <f>SUMIF(Backlog!$E$5:$E$219,$A19,Backlog!$J$5:$J$219)</f>
        <v/>
      </c>
      <c r="F19" s="7" t="inlineStr">
        <is>
          <t>E13</t>
        </is>
      </c>
      <c r="G19" s="5" t="inlineStr">
        <is>
          <t>SIGNAL ENGINE</t>
        </is>
      </c>
      <c r="H19" s="8" t="inlineStr">
        <is>
          <t>4</t>
        </is>
      </c>
      <c r="I19" s="8">
        <f>COUNTIF(Backlog!$B$5:$B$219,$F19)</f>
        <v/>
      </c>
      <c r="J19" s="9">
        <f>SUMIF(Backlog!$B$5:$B$219,$F19,Backlog!$J$5:$J$219)</f>
        <v/>
      </c>
      <c r="K19" s="8">
        <f>COUNTIFS(Backlog!$B$5:$B$219,$F19,Backlog!$E$5:$E$219,"Closed")</f>
        <v/>
      </c>
      <c r="L19" s="10">
        <f>IFERROR($K19/$I19,0)</f>
        <v/>
      </c>
    </row>
    <row r="20">
      <c r="A20" s="16" t="inlineStr">
        <is>
          <t>Business Approved</t>
        </is>
      </c>
      <c r="B20" s="8">
        <f>COUNTIF(Backlog!$E$5:$E$219,$A20)</f>
        <v/>
      </c>
      <c r="C20" s="14">
        <f>IFERROR($B20/COUNTA(Backlog!$A$5:$A$219),0)</f>
        <v/>
      </c>
      <c r="D20" s="9">
        <f>SUMIF(Backlog!$E$5:$E$219,$A20,Backlog!$J$5:$J$219)</f>
        <v/>
      </c>
      <c r="F20" s="7" t="inlineStr">
        <is>
          <t>E14</t>
        </is>
      </c>
      <c r="G20" s="5" t="inlineStr">
        <is>
          <t>RISK ENGINE</t>
        </is>
      </c>
      <c r="H20" s="8" t="inlineStr">
        <is>
          <t>5</t>
        </is>
      </c>
      <c r="I20" s="8">
        <f>COUNTIF(Backlog!$B$5:$B$219,$F20)</f>
        <v/>
      </c>
      <c r="J20" s="9">
        <f>SUMIF(Backlog!$B$5:$B$219,$F20,Backlog!$J$5:$J$219)</f>
        <v/>
      </c>
      <c r="K20" s="8">
        <f>COUNTIFS(Backlog!$B$5:$B$219,$F20,Backlog!$E$5:$E$219,"Closed")</f>
        <v/>
      </c>
      <c r="L20" s="10">
        <f>IFERROR($K20/$I20,0)</f>
        <v/>
      </c>
    </row>
    <row r="21">
      <c r="A21" s="17" t="inlineStr">
        <is>
          <t>Active</t>
        </is>
      </c>
      <c r="B21" s="8">
        <f>COUNTIF(Backlog!$E$5:$E$219,$A21)</f>
        <v/>
      </c>
      <c r="C21" s="14">
        <f>IFERROR($B21/COUNTA(Backlog!$A$5:$A$219),0)</f>
        <v/>
      </c>
      <c r="D21" s="9">
        <f>SUMIF(Backlog!$E$5:$E$219,$A21,Backlog!$J$5:$J$219)</f>
        <v/>
      </c>
      <c r="F21" s="7" t="inlineStr">
        <is>
          <t>E15</t>
        </is>
      </c>
      <c r="G21" s="5" t="inlineStr">
        <is>
          <t>EXECUTION &amp; POSITIONS</t>
        </is>
      </c>
      <c r="H21" s="8" t="inlineStr">
        <is>
          <t>5</t>
        </is>
      </c>
      <c r="I21" s="8">
        <f>COUNTIF(Backlog!$B$5:$B$219,$F21)</f>
        <v/>
      </c>
      <c r="J21" s="9">
        <f>SUMIF(Backlog!$B$5:$B$219,$F21,Backlog!$J$5:$J$219)</f>
        <v/>
      </c>
      <c r="K21" s="8">
        <f>COUNTIFS(Backlog!$B$5:$B$219,$F21,Backlog!$E$5:$E$219,"Closed")</f>
        <v/>
      </c>
      <c r="L21" s="10">
        <f>IFERROR($K21/$I21,0)</f>
        <v/>
      </c>
    </row>
    <row r="22">
      <c r="A22" s="18" t="inlineStr">
        <is>
          <t>Development In-Progress</t>
        </is>
      </c>
      <c r="B22" s="8">
        <f>COUNTIF(Backlog!$E$5:$E$219,$A22)</f>
        <v/>
      </c>
      <c r="C22" s="14">
        <f>IFERROR($B22/COUNTA(Backlog!$A$5:$A$219),0)</f>
        <v/>
      </c>
      <c r="D22" s="9">
        <f>SUMIF(Backlog!$E$5:$E$219,$A22,Backlog!$J$5:$J$219)</f>
        <v/>
      </c>
      <c r="F22" s="7" t="inlineStr">
        <is>
          <t>E16</t>
        </is>
      </c>
      <c r="G22" s="5" t="inlineStr">
        <is>
          <t>AUTONOMY &amp; APPROVAL</t>
        </is>
      </c>
      <c r="H22" s="8" t="inlineStr">
        <is>
          <t>5</t>
        </is>
      </c>
      <c r="I22" s="8">
        <f>COUNTIF(Backlog!$B$5:$B$219,$F22)</f>
        <v/>
      </c>
      <c r="J22" s="9">
        <f>SUMIF(Backlog!$B$5:$B$219,$F22,Backlog!$J$5:$J$219)</f>
        <v/>
      </c>
      <c r="K22" s="8">
        <f>COUNTIFS(Backlog!$B$5:$B$219,$F22,Backlog!$E$5:$E$219,"Closed")</f>
        <v/>
      </c>
      <c r="L22" s="10">
        <f>IFERROR($K22/$I22,0)</f>
        <v/>
      </c>
    </row>
    <row r="23">
      <c r="A23" s="19" t="inlineStr">
        <is>
          <t>Development Completed</t>
        </is>
      </c>
      <c r="B23" s="8">
        <f>COUNTIF(Backlog!$E$5:$E$219,$A23)</f>
        <v/>
      </c>
      <c r="C23" s="14">
        <f>IFERROR($B23/COUNTA(Backlog!$A$5:$A$219),0)</f>
        <v/>
      </c>
      <c r="D23" s="9">
        <f>SUMIF(Backlog!$E$5:$E$219,$A23,Backlog!$J$5:$J$219)</f>
        <v/>
      </c>
      <c r="F23" s="7" t="inlineStr">
        <is>
          <t>E17</t>
        </is>
      </c>
      <c r="G23" s="5" t="inlineStr">
        <is>
          <t>DASHBOARD UI</t>
        </is>
      </c>
      <c r="H23" s="8" t="inlineStr">
        <is>
          <t>4/6</t>
        </is>
      </c>
      <c r="I23" s="8">
        <f>COUNTIF(Backlog!$B$5:$B$219,$F23)</f>
        <v/>
      </c>
      <c r="J23" s="9">
        <f>SUMIF(Backlog!$B$5:$B$219,$F23,Backlog!$J$5:$J$219)</f>
        <v/>
      </c>
      <c r="K23" s="8">
        <f>COUNTIFS(Backlog!$B$5:$B$219,$F23,Backlog!$E$5:$E$219,"Closed")</f>
        <v/>
      </c>
      <c r="L23" s="10">
        <f>IFERROR($K23/$I23,0)</f>
        <v/>
      </c>
    </row>
    <row r="24">
      <c r="A24" s="20" t="inlineStr">
        <is>
          <t>QA In-Progress</t>
        </is>
      </c>
      <c r="B24" s="8">
        <f>COUNTIF(Backlog!$E$5:$E$219,$A24)</f>
        <v/>
      </c>
      <c r="C24" s="14">
        <f>IFERROR($B24/COUNTA(Backlog!$A$5:$A$219),0)</f>
        <v/>
      </c>
      <c r="D24" s="9">
        <f>SUMIF(Backlog!$E$5:$E$219,$A24,Backlog!$J$5:$J$219)</f>
        <v/>
      </c>
      <c r="F24" s="7" t="inlineStr">
        <is>
          <t>E18</t>
        </is>
      </c>
      <c r="G24" s="5" t="inlineStr">
        <is>
          <t>ADMIN UI</t>
        </is>
      </c>
      <c r="H24" s="8" t="inlineStr">
        <is>
          <t>6</t>
        </is>
      </c>
      <c r="I24" s="8">
        <f>COUNTIF(Backlog!$B$5:$B$219,$F24)</f>
        <v/>
      </c>
      <c r="J24" s="9">
        <f>SUMIF(Backlog!$B$5:$B$219,$F24,Backlog!$J$5:$J$219)</f>
        <v/>
      </c>
      <c r="K24" s="8">
        <f>COUNTIFS(Backlog!$B$5:$B$219,$F24,Backlog!$E$5:$E$219,"Closed")</f>
        <v/>
      </c>
      <c r="L24" s="10">
        <f>IFERROR($K24/$I24,0)</f>
        <v/>
      </c>
    </row>
    <row r="25">
      <c r="A25" s="21" t="inlineStr">
        <is>
          <t>QA-Success</t>
        </is>
      </c>
      <c r="B25" s="8">
        <f>COUNTIF(Backlog!$E$5:$E$219,$A25)</f>
        <v/>
      </c>
      <c r="C25" s="14">
        <f>IFERROR($B25/COUNTA(Backlog!$A$5:$A$219),0)</f>
        <v/>
      </c>
      <c r="D25" s="9">
        <f>SUMIF(Backlog!$E$5:$E$219,$A25,Backlog!$J$5:$J$219)</f>
        <v/>
      </c>
      <c r="F25" s="7" t="inlineStr">
        <is>
          <t>E19</t>
        </is>
      </c>
      <c r="G25" s="5" t="inlineStr">
        <is>
          <t>NOTIFICATIONS</t>
        </is>
      </c>
      <c r="H25" s="8" t="inlineStr">
        <is>
          <t>3/4</t>
        </is>
      </c>
      <c r="I25" s="8">
        <f>COUNTIF(Backlog!$B$5:$B$219,$F25)</f>
        <v/>
      </c>
      <c r="J25" s="9">
        <f>SUMIF(Backlog!$B$5:$B$219,$F25,Backlog!$J$5:$J$219)</f>
        <v/>
      </c>
      <c r="K25" s="8">
        <f>COUNTIFS(Backlog!$B$5:$B$219,$F25,Backlog!$E$5:$E$219,"Closed")</f>
        <v/>
      </c>
      <c r="L25" s="10">
        <f>IFERROR($K25/$I25,0)</f>
        <v/>
      </c>
    </row>
    <row r="26">
      <c r="A26" s="22" t="inlineStr">
        <is>
          <t>QA-Fail</t>
        </is>
      </c>
      <c r="B26" s="8">
        <f>COUNTIF(Backlog!$E$5:$E$219,$A26)</f>
        <v/>
      </c>
      <c r="C26" s="14">
        <f>IFERROR($B26/COUNTA(Backlog!$A$5:$A$219),0)</f>
        <v/>
      </c>
      <c r="D26" s="9">
        <f>SUMIF(Backlog!$E$5:$E$219,$A26,Backlog!$J$5:$J$219)</f>
        <v/>
      </c>
      <c r="F26" s="7" t="inlineStr">
        <is>
          <t>E20</t>
        </is>
      </c>
      <c r="G26" s="5" t="inlineStr">
        <is>
          <t>OBSERVABILITY</t>
        </is>
      </c>
      <c r="H26" s="8" t="inlineStr">
        <is>
          <t>6</t>
        </is>
      </c>
      <c r="I26" s="8">
        <f>COUNTIF(Backlog!$B$5:$B$219,$F26)</f>
        <v/>
      </c>
      <c r="J26" s="9">
        <f>SUMIF(Backlog!$B$5:$B$219,$F26,Backlog!$J$5:$J$219)</f>
        <v/>
      </c>
      <c r="K26" s="8">
        <f>COUNTIFS(Backlog!$B$5:$B$219,$F26,Backlog!$E$5:$E$219,"Closed")</f>
        <v/>
      </c>
      <c r="L26" s="10">
        <f>IFERROR($K26/$I26,0)</f>
        <v/>
      </c>
    </row>
    <row r="27">
      <c r="A27" s="23" t="inlineStr">
        <is>
          <t>Closed</t>
        </is>
      </c>
      <c r="B27" s="8">
        <f>COUNTIF(Backlog!$E$5:$E$219,$A27)</f>
        <v/>
      </c>
      <c r="C27" s="14">
        <f>IFERROR($B27/COUNTA(Backlog!$A$5:$A$219),0)</f>
        <v/>
      </c>
      <c r="D27" s="9">
        <f>SUMIF(Backlog!$E$5:$E$219,$A27,Backlog!$J$5:$J$219)</f>
        <v/>
      </c>
      <c r="F27" s="7" t="inlineStr">
        <is>
          <t>E21</t>
        </is>
      </c>
      <c r="G27" s="5" t="inlineStr">
        <is>
          <t>COMPLIANCE &amp; TAX</t>
        </is>
      </c>
      <c r="H27" s="8" t="inlineStr">
        <is>
          <t>6</t>
        </is>
      </c>
      <c r="I27" s="8">
        <f>COUNTIF(Backlog!$B$5:$B$219,$F27)</f>
        <v/>
      </c>
      <c r="J27" s="9">
        <f>SUMIF(Backlog!$B$5:$B$219,$F27,Backlog!$J$5:$J$219)</f>
        <v/>
      </c>
      <c r="K27" s="8">
        <f>COUNTIFS(Backlog!$B$5:$B$219,$F27,Backlog!$E$5:$E$219,"Closed")</f>
        <v/>
      </c>
      <c r="L27" s="10">
        <f>IFERROR($K27/$I27,0)</f>
        <v/>
      </c>
    </row>
    <row r="28">
      <c r="A28" s="24" t="inlineStr">
        <is>
          <t>Removed</t>
        </is>
      </c>
      <c r="B28" s="8">
        <f>COUNTIF(Backlog!$E$5:$E$219,$A28)</f>
        <v/>
      </c>
      <c r="C28" s="14">
        <f>IFERROR($B28/COUNTA(Backlog!$A$5:$A$219),0)</f>
        <v/>
      </c>
      <c r="D28" s="9">
        <f>SUMIF(Backlog!$E$5:$E$219,$A28,Backlog!$J$5:$J$219)</f>
        <v/>
      </c>
      <c r="F28" s="7" t="inlineStr">
        <is>
          <t>E22</t>
        </is>
      </c>
      <c r="G28" s="5" t="inlineStr">
        <is>
          <t>TESTING &amp; VALIDATION</t>
        </is>
      </c>
      <c r="H28" s="8" t="inlineStr">
        <is>
          <t>7</t>
        </is>
      </c>
      <c r="I28" s="8">
        <f>COUNTIF(Backlog!$B$5:$B$219,$F28)</f>
        <v/>
      </c>
      <c r="J28" s="9">
        <f>SUMIF(Backlog!$B$5:$B$219,$F28,Backlog!$J$5:$J$219)</f>
        <v/>
      </c>
      <c r="K28" s="8">
        <f>COUNTIFS(Backlog!$B$5:$B$219,$F28,Backlog!$E$5:$E$219,"Closed")</f>
        <v/>
      </c>
      <c r="L28" s="10">
        <f>IFERROR($K28/$I28,0)</f>
        <v/>
      </c>
    </row>
    <row r="29">
      <c r="A29" s="25" t="inlineStr">
        <is>
          <t>Moved to Backlog</t>
        </is>
      </c>
      <c r="B29" s="8">
        <f>COUNTIF(Backlog!$E$5:$E$219,$A29)</f>
        <v/>
      </c>
      <c r="C29" s="14">
        <f>IFERROR($B29/COUNTA(Backlog!$A$5:$A$219),0)</f>
        <v/>
      </c>
      <c r="D29" s="9">
        <f>SUMIF(Backlog!$E$5:$E$219,$A29,Backlog!$J$5:$J$219)</f>
        <v/>
      </c>
      <c r="F29" s="7" t="inlineStr">
        <is>
          <t>E23</t>
        </is>
      </c>
      <c r="G29" s="5" t="inlineStr">
        <is>
          <t>DEPLOYMENT &amp; OPS</t>
        </is>
      </c>
      <c r="H29" s="8" t="inlineStr">
        <is>
          <t>7/8</t>
        </is>
      </c>
      <c r="I29" s="8">
        <f>COUNTIF(Backlog!$B$5:$B$219,$F29)</f>
        <v/>
      </c>
      <c r="J29" s="9">
        <f>SUMIF(Backlog!$B$5:$B$219,$F29,Backlog!$J$5:$J$219)</f>
        <v/>
      </c>
      <c r="K29" s="8">
        <f>COUNTIFS(Backlog!$B$5:$B$219,$F29,Backlog!$E$5:$E$219,"Closed")</f>
        <v/>
      </c>
      <c r="L29" s="10">
        <f>IFERROR($K29/$I29,0)</f>
        <v/>
      </c>
    </row>
    <row r="30">
      <c r="A30" s="26" t="inlineStr">
        <is>
          <t>Blocked</t>
        </is>
      </c>
      <c r="B30" s="8">
        <f>COUNTIF(Backlog!$E$5:$E$219,$A30)</f>
        <v/>
      </c>
      <c r="C30" s="14">
        <f>IFERROR($B30/COUNTA(Backlog!$A$5:$A$219),0)</f>
        <v/>
      </c>
      <c r="D30" s="9">
        <f>SUMIF(Backlog!$E$5:$E$219,$A30,Backlog!$J$5:$J$219)</f>
        <v/>
      </c>
      <c r="F30" s="7" t="inlineStr">
        <is>
          <t>TOTAL</t>
        </is>
      </c>
      <c r="G30" s="27" t="n"/>
      <c r="H30" s="27" t="n"/>
      <c r="I30" s="28">
        <f>SUM(I6:I29)</f>
        <v/>
      </c>
      <c r="J30" s="11">
        <f>SUM(J6:J29)</f>
        <v/>
      </c>
      <c r="K30" s="28">
        <f>SUM(K6:K29)</f>
        <v/>
      </c>
      <c r="L30" s="29">
        <f>IFERROR(K30/I30,0)</f>
        <v/>
      </c>
    </row>
    <row r="31">
      <c r="A31" s="30" t="inlineStr">
        <is>
          <t>On Hold</t>
        </is>
      </c>
      <c r="B31" s="8">
        <f>COUNTIF(Backlog!$E$5:$E$219,$A31)</f>
        <v/>
      </c>
      <c r="C31" s="14">
        <f>IFERROR($B31/COUNTA(Backlog!$A$5:$A$219),0)</f>
        <v/>
      </c>
      <c r="D31" s="9">
        <f>SUMIF(Backlog!$E$5:$E$219,$A31,Backlog!$J$5:$J$219)</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COUNTIF(Backlog!$F$5:$F$219,$A36)</f>
        <v/>
      </c>
      <c r="C36" s="9">
        <f>SUMIF(Backlog!$F$5:$F$219,$A36,Backlog!$J$5:$J$219)</f>
        <v/>
      </c>
      <c r="D36" s="31">
        <f>COUNTIFS(Backlog!$F$5:$F$219,$A36,Backlog!$E$5:$E$219,"Closed")</f>
        <v/>
      </c>
    </row>
    <row r="37">
      <c r="A37" s="15" t="inlineStr">
        <is>
          <t>P1</t>
        </is>
      </c>
      <c r="B37" s="31">
        <f>COUNTIF(Backlog!$F$5:$F$219,$A37)</f>
        <v/>
      </c>
      <c r="C37" s="9">
        <f>SUMIF(Backlog!$F$5:$F$219,$A37,Backlog!$J$5:$J$219)</f>
        <v/>
      </c>
      <c r="D37" s="31">
        <f>COUNTIFS(Backlog!$F$5:$F$219,$A37,Backlog!$E$5:$E$219,"Closed")</f>
        <v/>
      </c>
    </row>
    <row r="38">
      <c r="A38" s="21" t="inlineStr">
        <is>
          <t>P2</t>
        </is>
      </c>
      <c r="B38" s="31">
        <f>COUNTIF(Backlog!$F$5:$F$219,$A38)</f>
        <v/>
      </c>
      <c r="C38" s="9">
        <f>SUMIF(Backlog!$F$5:$F$219,$A38,Backlog!$J$5:$J$219)</f>
        <v/>
      </c>
      <c r="D38" s="31">
        <f>COUNTIFS(Backlog!$F$5:$F$219,$A38,Backlog!$E$5:$E$219,"Closed")</f>
        <v/>
      </c>
    </row>
    <row r="39">
      <c r="A39" s="32" t="inlineStr">
        <is>
          <t>P3</t>
        </is>
      </c>
      <c r="B39" s="31">
        <f>COUNTIF(Backlog!$F$5:$F$219,$A39)</f>
        <v/>
      </c>
      <c r="C39" s="9">
        <f>SUMIF(Backlog!$F$5:$F$219,$A39,Backlog!$J$5:$J$219)</f>
        <v/>
      </c>
      <c r="D39" s="31">
        <f>COUNTIFS(Backlog!$F$5:$F$219,$A39,Backlog!$E$5:$E$219,"Closed")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COUNTIF(Backlog!$H$5:$H$219,$A43)</f>
        <v/>
      </c>
      <c r="C43" s="9">
        <f>SUMIF(Backlog!$H$5:$H$219,$A43,Backlog!$J$5:$J$219)</f>
        <v/>
      </c>
      <c r="D43" s="31">
        <f>COUNTIFS(Backlog!$H$5:$H$219,$A43,Backlog!$E$5:$E$219,"Closed")</f>
        <v/>
      </c>
    </row>
    <row r="44">
      <c r="A44" s="34" t="inlineStr">
        <is>
          <t>Correctness-critical</t>
        </is>
      </c>
      <c r="B44" s="31">
        <f>COUNTIF(Backlog!$H$5:$H$219,$A44)</f>
        <v/>
      </c>
      <c r="C44" s="9">
        <f>SUMIF(Backlog!$H$5:$H$219,$A44,Backlog!$J$5:$J$219)</f>
        <v/>
      </c>
      <c r="D44" s="31">
        <f>COUNTIFS(Backlog!$H$5:$H$219,$A44,Backlog!$E$5:$E$219,"Closed")</f>
        <v/>
      </c>
    </row>
    <row r="45">
      <c r="A45" s="35" t="inlineStr">
        <is>
          <t>Low</t>
        </is>
      </c>
      <c r="B45" s="31">
        <f>COUNTIF(Backlog!$H$5:$H$219,$A45)</f>
        <v/>
      </c>
      <c r="C45" s="9">
        <f>SUMIF(Backlog!$H$5:$H$219,$A45,Backlog!$J$5:$J$219)</f>
        <v/>
      </c>
      <c r="D45" s="31">
        <f>COUNTIFS(Backlog!$H$5:$H$219,$A45,Backlog!$E$5:$E$219,"Closed")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COUNTIF(Backlog!$I$5:$I$219,$A49)</f>
        <v/>
      </c>
      <c r="C49" s="9">
        <f>SUMIF(Backlog!$I$5:$I$219,$A49,Backlog!$J$5:$J$219)</f>
        <v/>
      </c>
      <c r="D49" s="31">
        <f>COUNTIFS(Backlog!$I$5:$I$219,$A49,Backlog!$E$5:$E$219,"Closed")</f>
        <v/>
      </c>
    </row>
    <row r="50">
      <c r="A50" s="7" t="inlineStr">
        <is>
          <t>INFRA</t>
        </is>
      </c>
      <c r="B50" s="31">
        <f>COUNTIF(Backlog!$I$5:$I$219,$A50)</f>
        <v/>
      </c>
      <c r="C50" s="9">
        <f>SUMIF(Backlog!$I$5:$I$219,$A50,Backlog!$J$5:$J$219)</f>
        <v/>
      </c>
      <c r="D50" s="31">
        <f>COUNTIFS(Backlog!$I$5:$I$219,$A50,Backlog!$E$5:$E$219,"Closed")</f>
        <v/>
      </c>
    </row>
    <row r="51">
      <c r="A51" s="7" t="inlineStr">
        <is>
          <t>SEC</t>
        </is>
      </c>
      <c r="B51" s="31">
        <f>COUNTIF(Backlog!$I$5:$I$219,$A51)</f>
        <v/>
      </c>
      <c r="C51" s="9">
        <f>SUMIF(Backlog!$I$5:$I$219,$A51,Backlog!$J$5:$J$219)</f>
        <v/>
      </c>
      <c r="D51" s="31">
        <f>COUNTIFS(Backlog!$I$5:$I$219,$A51,Backlog!$E$5:$E$219,"Closed")</f>
        <v/>
      </c>
    </row>
    <row r="52">
      <c r="A52" s="7" t="inlineStr">
        <is>
          <t>TEST</t>
        </is>
      </c>
      <c r="B52" s="31">
        <f>COUNTIF(Backlog!$I$5:$I$219,$A52)</f>
        <v/>
      </c>
      <c r="C52" s="9">
        <f>SUMIF(Backlog!$I$5:$I$219,$A52,Backlog!$J$5:$J$219)</f>
        <v/>
      </c>
      <c r="D52" s="31">
        <f>COUNTIFS(Backlog!$I$5:$I$219,$A52,Backlog!$E$5:$E$219,"Closed")</f>
        <v/>
      </c>
    </row>
    <row r="53">
      <c r="A53" s="7" t="inlineStr">
        <is>
          <t>OPS</t>
        </is>
      </c>
      <c r="B53" s="31">
        <f>COUNTIF(Backlog!$I$5:$I$219,$A53)</f>
        <v/>
      </c>
      <c r="C53" s="9">
        <f>SUMIF(Backlog!$I$5:$I$219,$A53,Backlog!$J$5:$J$219)</f>
        <v/>
      </c>
      <c r="D53" s="31">
        <f>COUNTIFS(Backlog!$I$5:$I$219,$A53,Backlog!$E$5:$E$219,"Closed")</f>
        <v/>
      </c>
    </row>
    <row r="54">
      <c r="A54" s="7" t="inlineStr">
        <is>
          <t>DOC</t>
        </is>
      </c>
      <c r="B54" s="31">
        <f>COUNTIF(Backlog!$I$5:$I$219,$A54)</f>
        <v/>
      </c>
      <c r="C54" s="9">
        <f>SUMIF(Backlog!$I$5:$I$219,$A54,Backlog!$J$5:$J$219)</f>
        <v/>
      </c>
      <c r="D54" s="31">
        <f>COUNTIFS(Backlog!$I$5:$I$219,$A54,Backlog!$E$5:$E$219,"Closed")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COUNTIF(Backlog!$E$5:$E$219,$A$61)</f>
        <v/>
      </c>
    </row>
    <row r="62">
      <c r="A62" t="inlineStr">
        <is>
          <t>Business Review</t>
        </is>
      </c>
      <c r="B62">
        <f>COUNTIF(Backlog!$E$5:$E$219,$A$62)</f>
        <v/>
      </c>
    </row>
    <row r="63">
      <c r="A63" t="inlineStr">
        <is>
          <t>Business Approved</t>
        </is>
      </c>
      <c r="B63">
        <f>COUNTIF(Backlog!$E$5:$E$219,$A$63)</f>
        <v/>
      </c>
    </row>
    <row r="64">
      <c r="A64" t="inlineStr">
        <is>
          <t>Active</t>
        </is>
      </c>
      <c r="B64">
        <f>COUNTIF(Backlog!$E$5:$E$219,$A$64)</f>
        <v/>
      </c>
    </row>
    <row r="65">
      <c r="A65" t="inlineStr">
        <is>
          <t>Development In-Progress</t>
        </is>
      </c>
      <c r="B65">
        <f>COUNTIF(Backlog!$E$5:$E$219,$A$65)</f>
        <v/>
      </c>
    </row>
    <row r="66">
      <c r="A66" t="inlineStr">
        <is>
          <t>Development Completed</t>
        </is>
      </c>
      <c r="B66">
        <f>COUNTIF(Backlog!$E$5:$E$219,$A$66)</f>
        <v/>
      </c>
    </row>
    <row r="67">
      <c r="A67" t="inlineStr">
        <is>
          <t>QA In-Progress</t>
        </is>
      </c>
      <c r="B67">
        <f>COUNTIF(Backlog!$E$5:$E$219,$A$67)</f>
        <v/>
      </c>
    </row>
    <row r="68">
      <c r="A68" t="inlineStr">
        <is>
          <t>QA-Success</t>
        </is>
      </c>
      <c r="B68">
        <f>COUNTIF(Backlog!$E$5:$E$219,$A$68)</f>
        <v/>
      </c>
    </row>
    <row r="69">
      <c r="A69" t="inlineStr">
        <is>
          <t>QA-Fail</t>
        </is>
      </c>
      <c r="B69">
        <f>COUNTIF(Backlog!$E$5:$E$219,$A$69)</f>
        <v/>
      </c>
    </row>
    <row r="70">
      <c r="A70" t="inlineStr">
        <is>
          <t>Closed</t>
        </is>
      </c>
      <c r="B70">
        <f>COUNTIF(Backlog!$E$5:$E$219,$A$70)</f>
        <v/>
      </c>
    </row>
    <row r="71">
      <c r="A71" t="inlineStr">
        <is>
          <t>Blocked</t>
        </is>
      </c>
      <c r="B71">
        <f>COUNTIF(Backlog!$E$5:$E$219,$A$71)</f>
        <v/>
      </c>
    </row>
    <row r="72">
      <c r="A72" t="inlineStr">
        <is>
          <t>On Hold</t>
        </is>
      </c>
      <c r="B72">
        <f>COUNTIF(Backlog!$E$5:$E$219,$A$72)</f>
        <v/>
      </c>
    </row>
    <row r="73">
      <c r="A73" t="inlineStr">
        <is>
          <t>Moved to Backlog</t>
        </is>
      </c>
      <c r="B73">
        <f>COUNTIF(Backlog!$E$5:$E$219,$A$73)</f>
        <v/>
      </c>
    </row>
    <row r="75">
      <c r="A75" s="71" t="inlineStr">
        <is>
          <t>Effort by phase (days)</t>
        </is>
      </c>
    </row>
    <row r="76">
      <c r="A76" s="64" t="inlineStr">
        <is>
          <t>Phase</t>
        </is>
      </c>
      <c r="B76" s="64" t="inlineStr">
        <is>
          <t>Closed</t>
        </is>
      </c>
      <c r="C76" s="64" t="inlineStr">
        <is>
          <t>Remaining</t>
        </is>
      </c>
    </row>
    <row r="77">
      <c r="A77" t="inlineStr">
        <is>
          <t>0</t>
        </is>
      </c>
      <c r="B77">
        <f>SUMIFS(Backlog!$J$5:$J$219,Backlog!$G$5:$G$219,$A$77,Backlog!$E$5:$E$219,"Closed")</f>
        <v/>
      </c>
      <c r="C77">
        <f>SUMIF(Backlog!$G$5:$G$219,$A$77,Backlog!$J$5:$J$219)-$B$77</f>
        <v/>
      </c>
    </row>
    <row r="78">
      <c r="A78" t="inlineStr">
        <is>
          <t>1</t>
        </is>
      </c>
      <c r="B78">
        <f>SUMIFS(Backlog!$J$5:$J$219,Backlog!$G$5:$G$219,$A$78,Backlog!$E$5:$E$219,"Closed")</f>
        <v/>
      </c>
      <c r="C78">
        <f>SUMIF(Backlog!$G$5:$G$219,$A$78,Backlog!$J$5:$J$219)-$B$78</f>
        <v/>
      </c>
    </row>
    <row r="79">
      <c r="A79" t="inlineStr">
        <is>
          <t>2</t>
        </is>
      </c>
      <c r="B79">
        <f>SUMIFS(Backlog!$J$5:$J$219,Backlog!$G$5:$G$219,$A$79,Backlog!$E$5:$E$219,"Closed")</f>
        <v/>
      </c>
      <c r="C79">
        <f>SUMIF(Backlog!$G$5:$G$219,$A$79,Backlog!$J$5:$J$219)-$B$79</f>
        <v/>
      </c>
    </row>
    <row r="80">
      <c r="A80" t="inlineStr">
        <is>
          <t>3</t>
        </is>
      </c>
      <c r="B80">
        <f>SUMIFS(Backlog!$J$5:$J$219,Backlog!$G$5:$G$219,$A$80,Backlog!$E$5:$E$219,"Closed")</f>
        <v/>
      </c>
      <c r="C80">
        <f>SUMIF(Backlog!$G$5:$G$219,$A$80,Backlog!$J$5:$J$219)-$B$80</f>
        <v/>
      </c>
    </row>
    <row r="81">
      <c r="A81" t="inlineStr">
        <is>
          <t>4</t>
        </is>
      </c>
      <c r="B81">
        <f>SUMIFS(Backlog!$J$5:$J$219,Backlog!$G$5:$G$219,$A$81,Backlog!$E$5:$E$219,"Closed")</f>
        <v/>
      </c>
      <c r="C81">
        <f>SUMIF(Backlog!$G$5:$G$219,$A$81,Backlog!$J$5:$J$219)-$B$81</f>
        <v/>
      </c>
    </row>
    <row r="82">
      <c r="A82" t="inlineStr">
        <is>
          <t>5</t>
        </is>
      </c>
      <c r="B82">
        <f>SUMIFS(Backlog!$J$5:$J$219,Backlog!$G$5:$G$219,$A$82,Backlog!$E$5:$E$219,"Closed")</f>
        <v/>
      </c>
      <c r="C82">
        <f>SUMIF(Backlog!$G$5:$G$219,$A$82,Backlog!$J$5:$J$219)-$B$82</f>
        <v/>
      </c>
    </row>
    <row r="83">
      <c r="A83" t="inlineStr">
        <is>
          <t>6</t>
        </is>
      </c>
      <c r="B83">
        <f>SUMIFS(Backlog!$J$5:$J$219,Backlog!$G$5:$G$219,$A$83,Backlog!$E$5:$E$219,"Closed")</f>
        <v/>
      </c>
      <c r="C83">
        <f>SUMIF(Backlog!$G$5:$G$219,$A$83,Backlog!$J$5:$J$219)-$B$83</f>
        <v/>
      </c>
    </row>
    <row r="84">
      <c r="A84" t="inlineStr">
        <is>
          <t>7</t>
        </is>
      </c>
      <c r="B84">
        <f>SUMIFS(Backlog!$J$5:$J$219,Backlog!$G$5:$G$219,$A$84,Backlog!$E$5:$E$219,"Closed")</f>
        <v/>
      </c>
      <c r="C84">
        <f>SUMIF(Backlog!$G$5:$G$219,$A$84,Backlog!$J$5:$J$219)-$B$84</f>
        <v/>
      </c>
    </row>
    <row r="85">
      <c r="A85" t="inlineStr">
        <is>
          <t>8</t>
        </is>
      </c>
      <c r="B85">
        <f>SUMIFS(Backlog!$J$5:$J$219,Backlog!$G$5:$G$219,$A$85,Backlog!$E$5:$E$219,"Closed")</f>
        <v/>
      </c>
      <c r="C85">
        <f>SUMIF(Backlog!$G$5:$G$219,$A$85,Backlog!$J$5:$J$219)-$B$85</f>
        <v/>
      </c>
    </row>
    <row r="87">
      <c r="A87" s="71" t="inlineStr">
        <is>
          <t>Epic completion</t>
        </is>
      </c>
    </row>
    <row r="88">
      <c r="A88" s="64" t="inlineStr">
        <is>
          <t>Epic</t>
        </is>
      </c>
      <c r="B88" s="64" t="inlineStr">
        <is>
          <t>% complete</t>
        </is>
      </c>
    </row>
    <row r="89">
      <c r="A89">
        <f>$F$6</f>
        <v/>
      </c>
      <c r="B89" s="73">
        <f>IFERROR(SUMIFS(Backlog!$J$5:$J$219,Backlog!$B$5:$B$219,$A$89,Backlog!$E$5:$E$219,"Closed")/SUMIF(Backlog!$B$5:$B$219,$A$89,Backlog!$J$5:$J$219),0)</f>
        <v/>
      </c>
    </row>
    <row r="90">
      <c r="A90">
        <f>$F$7</f>
        <v/>
      </c>
      <c r="B90" s="73">
        <f>IFERROR(SUMIFS(Backlog!$J$5:$J$219,Backlog!$B$5:$B$219,$A$90,Backlog!$E$5:$E$219,"Closed")/SUMIF(Backlog!$B$5:$B$219,$A$90,Backlog!$J$5:$J$219),0)</f>
        <v/>
      </c>
    </row>
    <row r="91">
      <c r="A91">
        <f>$F$8</f>
        <v/>
      </c>
      <c r="B91" s="73">
        <f>IFERROR(SUMIFS(Backlog!$J$5:$J$219,Backlog!$B$5:$B$219,$A$91,Backlog!$E$5:$E$219,"Closed")/SUMIF(Backlog!$B$5:$B$219,$A$91,Backlog!$J$5:$J$219),0)</f>
        <v/>
      </c>
    </row>
    <row r="92">
      <c r="A92">
        <f>$F$9</f>
        <v/>
      </c>
      <c r="B92" s="73">
        <f>IFERROR(SUMIFS(Backlog!$J$5:$J$219,Backlog!$B$5:$B$219,$A$92,Backlog!$E$5:$E$219,"Closed")/SUMIF(Backlog!$B$5:$B$219,$A$92,Backlog!$J$5:$J$219),0)</f>
        <v/>
      </c>
    </row>
    <row r="93">
      <c r="A93">
        <f>$F$10</f>
        <v/>
      </c>
      <c r="B93" s="73">
        <f>IFERROR(SUMIFS(Backlog!$J$5:$J$219,Backlog!$B$5:$B$219,$A$93,Backlog!$E$5:$E$219,"Closed")/SUMIF(Backlog!$B$5:$B$219,$A$93,Backlog!$J$5:$J$219),0)</f>
        <v/>
      </c>
    </row>
    <row r="94">
      <c r="A94">
        <f>$F$11</f>
        <v/>
      </c>
      <c r="B94" s="73">
        <f>IFERROR(SUMIFS(Backlog!$J$5:$J$219,Backlog!$B$5:$B$219,$A$94,Backlog!$E$5:$E$219,"Closed")/SUMIF(Backlog!$B$5:$B$219,$A$94,Backlog!$J$5:$J$219),0)</f>
        <v/>
      </c>
    </row>
    <row r="95">
      <c r="A95">
        <f>$F$12</f>
        <v/>
      </c>
      <c r="B95" s="73">
        <f>IFERROR(SUMIFS(Backlog!$J$5:$J$219,Backlog!$B$5:$B$219,$A$95,Backlog!$E$5:$E$219,"Closed")/SUMIF(Backlog!$B$5:$B$219,$A$95,Backlog!$J$5:$J$219),0)</f>
        <v/>
      </c>
    </row>
    <row r="96">
      <c r="A96">
        <f>$F$13</f>
        <v/>
      </c>
      <c r="B96" s="73">
        <f>IFERROR(SUMIFS(Backlog!$J$5:$J$219,Backlog!$B$5:$B$219,$A$96,Backlog!$E$5:$E$219,"Closed")/SUMIF(Backlog!$B$5:$B$219,$A$96,Backlog!$J$5:$J$219),0)</f>
        <v/>
      </c>
    </row>
    <row r="97">
      <c r="A97">
        <f>$F$14</f>
        <v/>
      </c>
      <c r="B97" s="73">
        <f>IFERROR(SUMIFS(Backlog!$J$5:$J$219,Backlog!$B$5:$B$219,$A$97,Backlog!$E$5:$E$219,"Closed")/SUMIF(Backlog!$B$5:$B$219,$A$97,Backlog!$J$5:$J$219),0)</f>
        <v/>
      </c>
    </row>
    <row r="98">
      <c r="A98">
        <f>$F$15</f>
        <v/>
      </c>
      <c r="B98" s="73">
        <f>IFERROR(SUMIFS(Backlog!$J$5:$J$219,Backlog!$B$5:$B$219,$A$98,Backlog!$E$5:$E$219,"Closed")/SUMIF(Backlog!$B$5:$B$219,$A$98,Backlog!$J$5:$J$219),0)</f>
        <v/>
      </c>
    </row>
    <row r="99">
      <c r="A99">
        <f>$F$16</f>
        <v/>
      </c>
      <c r="B99" s="73">
        <f>IFERROR(SUMIFS(Backlog!$J$5:$J$219,Backlog!$B$5:$B$219,$A$99,Backlog!$E$5:$E$219,"Closed")/SUMIF(Backlog!$B$5:$B$219,$A$99,Backlog!$J$5:$J$219),0)</f>
        <v/>
      </c>
    </row>
    <row r="100">
      <c r="A100">
        <f>$F$17</f>
        <v/>
      </c>
      <c r="B100" s="73">
        <f>IFERROR(SUMIFS(Backlog!$J$5:$J$219,Backlog!$B$5:$B$219,$A$100,Backlog!$E$5:$E$219,"Closed")/SUMIF(Backlog!$B$5:$B$219,$A$100,Backlog!$J$5:$J$219),0)</f>
        <v/>
      </c>
    </row>
    <row r="101">
      <c r="A101">
        <f>$F$18</f>
        <v/>
      </c>
      <c r="B101" s="73">
        <f>IFERROR(SUMIFS(Backlog!$J$5:$J$219,Backlog!$B$5:$B$219,$A$101,Backlog!$E$5:$E$219,"Closed")/SUMIF(Backlog!$B$5:$B$219,$A$101,Backlog!$J$5:$J$219),0)</f>
        <v/>
      </c>
    </row>
    <row r="102">
      <c r="A102">
        <f>$F$19</f>
        <v/>
      </c>
      <c r="B102" s="73">
        <f>IFERROR(SUMIFS(Backlog!$J$5:$J$219,Backlog!$B$5:$B$219,$A$102,Backlog!$E$5:$E$219,"Closed")/SUMIF(Backlog!$B$5:$B$219,$A$102,Backlog!$J$5:$J$219),0)</f>
        <v/>
      </c>
    </row>
    <row r="103">
      <c r="A103">
        <f>$F$20</f>
        <v/>
      </c>
      <c r="B103" s="73">
        <f>IFERROR(SUMIFS(Backlog!$J$5:$J$219,Backlog!$B$5:$B$219,$A$103,Backlog!$E$5:$E$219,"Closed")/SUMIF(Backlog!$B$5:$B$219,$A$103,Backlog!$J$5:$J$219),0)</f>
        <v/>
      </c>
    </row>
    <row r="104">
      <c r="A104">
        <f>$F$21</f>
        <v/>
      </c>
      <c r="B104" s="73">
        <f>IFERROR(SUMIFS(Backlog!$J$5:$J$219,Backlog!$B$5:$B$219,$A$104,Backlog!$E$5:$E$219,"Closed")/SUMIF(Backlog!$B$5:$B$219,$A$104,Backlog!$J$5:$J$219),0)</f>
        <v/>
      </c>
    </row>
    <row r="105">
      <c r="A105">
        <f>$F$22</f>
        <v/>
      </c>
      <c r="B105" s="73">
        <f>IFERROR(SUMIFS(Backlog!$J$5:$J$219,Backlog!$B$5:$B$219,$A$105,Backlog!$E$5:$E$219,"Closed")/SUMIF(Backlog!$B$5:$B$219,$A$105,Backlog!$J$5:$J$219),0)</f>
        <v/>
      </c>
    </row>
    <row r="106">
      <c r="A106">
        <f>$F$23</f>
        <v/>
      </c>
      <c r="B106" s="73">
        <f>IFERROR(SUMIFS(Backlog!$J$5:$J$219,Backlog!$B$5:$B$219,$A$106,Backlog!$E$5:$E$219,"Closed")/SUMIF(Backlog!$B$5:$B$219,$A$106,Backlog!$J$5:$J$219),0)</f>
        <v/>
      </c>
    </row>
    <row r="107">
      <c r="A107">
        <f>$F$24</f>
        <v/>
      </c>
      <c r="B107" s="73">
        <f>IFERROR(SUMIFS(Backlog!$J$5:$J$219,Backlog!$B$5:$B$219,$A$107,Backlog!$E$5:$E$219,"Closed")/SUMIF(Backlog!$B$5:$B$219,$A$107,Backlog!$J$5:$J$219),0)</f>
        <v/>
      </c>
    </row>
    <row r="108">
      <c r="A108">
        <f>$F$25</f>
        <v/>
      </c>
      <c r="B108" s="73">
        <f>IFERROR(SUMIFS(Backlog!$J$5:$J$219,Backlog!$B$5:$B$219,$A$108,Backlog!$E$5:$E$219,"Closed")/SUMIF(Backlog!$B$5:$B$219,$A$108,Backlog!$J$5:$J$219),0)</f>
        <v/>
      </c>
    </row>
    <row r="109">
      <c r="A109">
        <f>$F$26</f>
        <v/>
      </c>
      <c r="B109" s="73">
        <f>IFERROR(SUMIFS(Backlog!$J$5:$J$219,Backlog!$B$5:$B$219,$A$109,Backlog!$E$5:$E$219,"Closed")/SUMIF(Backlog!$B$5:$B$219,$A$109,Backlog!$J$5:$J$219),0)</f>
        <v/>
      </c>
    </row>
    <row r="110">
      <c r="A110">
        <f>$F$27</f>
        <v/>
      </c>
      <c r="B110" s="73">
        <f>IFERROR(SUMIFS(Backlog!$J$5:$J$219,Backlog!$B$5:$B$219,$A$110,Backlog!$E$5:$E$219,"Closed")/SUMIF(Backlog!$B$5:$B$219,$A$110,Backlog!$J$5:$J$219),0)</f>
        <v/>
      </c>
    </row>
    <row r="111">
      <c r="A111">
        <f>$F$28</f>
        <v/>
      </c>
      <c r="B111" s="73">
        <f>IFERROR(SUMIFS(Backlog!$J$5:$J$219,Backlog!$B$5:$B$219,$A$111,Backlog!$E$5:$E$219,"Closed")/SUMIF(Backlog!$B$5:$B$219,$A$111,Backlog!$J$5:$J$219),0)</f>
        <v/>
      </c>
    </row>
    <row r="112">
      <c r="A112">
        <f>$F$29</f>
        <v/>
      </c>
      <c r="B112" s="73">
        <f>IFERROR(SUMIFS(Backlog!$J$5:$J$219,Backlog!$B$5:$B$219,$A$112,Backlog!$E$5:$E$219,"Closed")/SUMIF(Backlog!$B$5:$B$219,$A$112,Backlog!$J$5:$J$219),0)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199"/>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 width="70" customWidth="1" style="59" min="24" max="24"/>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c r="X4" s="74" t="inlineStr">
        <is>
          <t>Build Concerns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c r="X19" s="75" t="inlineStr">
        <is>
          <t>The hash chain cannot detect TRUNCATION. Deleting the last N rows leaves a perfectly valid chain — verification passes. The append-only GRANT is the real control there and it is tested, but if you ever need tamper-evidence against someone with DB owner rights, that needs an external anchor (periodically publishing the tip hash somewhere the DB cannot reach). Decide whether that is in scope before relying on the chain for a compliance claim.</t>
        </is>
      </c>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Development Completed</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v>0.9</v>
      </c>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inlineStr">
        <is>
          <t>Auth manager, session lifecycle, login-URL builder AND the client factory are built and tested. session.py now completes the redirect login: build_client() and exchange_request_token(). The raw token is revealed at exactly two points, both handing it straight to the SDK, with a test that fails if a third appears.
SECURITY: the re-auth notice carries NO login link - ReauthNotice has no url field at all, so the phishing reflex cannot be reintroduced by a later edit. The api_key is validated before it reaches the login URL (QA-SEC-15): unvalidated, an injected redirect_uri steers your request_token to an attacker while you are on a genuine Zerodha page.
Remaining 10%: verifying the exchange against a live request_token, and the callback endpoint - which is the same network decision as E17-S01's dashboard access (localhost vs phone). Decide them together.</t>
        </is>
      </c>
      <c r="W23" s="49" t="n"/>
      <c r="X23" s="75" t="inlineStr">
        <is>
          <t>TWO issues. (1) Task 5 sends a login link over Telegram, which trains you to authenticate from an inbound message — the consent-phishing pattern. Anyone who can post one message (leaked bot token, SIM-swapped Telegram, lookalike bot) sends a link to THEIR Kite app at the time you expect it; you authenticate on a genuine Zerodha page and hand them a request_token they exchange with their own api_secret. 2FA does not help — you are authorising the wrong app, not leaking a password. Server-side nonce checks cannot help either: the attack completes entirely outside your system. FIX: send a notification with NO link; open the dashboard from your own bookmark. (2) Task 2 says 'local callback endpoint' but acceptance says 'completes from a phone'. A phone cannot reach 127.0.0.1 on the server. Either the callback is publicly reachable over HTTPS — which puts an inbound endpoint on the box holding broker credentials, against the internal-network design — or the flow completes on the server host. Decide before building.</t>
        </is>
      </c>
    </row>
    <row r="24" ht="30" customHeight="1" s="59">
      <c r="A24" s="38" t="inlineStr">
        <is>
          <t>E02-S02</t>
        </is>
      </c>
      <c r="B24" s="39" t="inlineStr">
        <is>
          <t>E02</t>
        </is>
      </c>
      <c r="C24" s="40" t="inlineStr">
        <is>
          <t>BROKER INTEGRATION</t>
        </is>
      </c>
      <c r="D24" s="40" t="inlineStr">
        <is>
          <t>Session lifecycle and daily re-auth scheduling</t>
        </is>
      </c>
      <c r="E24" s="40" t="inlineStr">
        <is>
          <t>Development Completed</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v>0.7</v>
      </c>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inlineStr">
        <is>
          <t>Session validity, expiry-at-next-reauth and the notice hook are built and tested. Remaining: wiring the scheduled trigger and the health gate, which belong to the orchestrator rather than the broker layer.</t>
        </is>
      </c>
      <c r="W24" s="49" t="n"/>
    </row>
    <row r="25" ht="30" customHeight="1" s="59">
      <c r="A25" s="38" t="inlineStr">
        <is>
          <t>E02-S03</t>
        </is>
      </c>
      <c r="B25" s="39" t="inlineStr">
        <is>
          <t>E02</t>
        </is>
      </c>
      <c r="C25" s="40" t="inlineStr">
        <is>
          <t>BROKER INTEGRATION</t>
        </is>
      </c>
      <c r="D25" s="40" t="inlineStr">
        <is>
          <t>Read-only market data adapter</t>
        </is>
      </c>
      <c r="E25" s="40" t="inlineStr">
        <is>
          <t>QA-Success</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v>1</v>
      </c>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inlineStr">
        <is>
          <t>Read-only adapter built on ReadOnlyGuard; place/modify/cancel all raise PermissionError, asserted. subscribe() deliberately raises: E05-S01 will implement the documented Kite WebSocket wire protocol rather than KiteTicker, which avoids autobahn 19.11.2 (CVE-2020-35678, blocker B7) and the Twisted reactor bridging problem in one move. Needs no static IP - Zerodha validates the whitelist on order endpoints only.</t>
        </is>
      </c>
      <c r="W25" s="49" t="n"/>
    </row>
    <row r="26" ht="30" customHeight="1" s="59">
      <c r="A26" s="38" t="inlineStr">
        <is>
          <t>E02-S04</t>
        </is>
      </c>
      <c r="B26" s="39" t="inlineStr">
        <is>
          <t>E02</t>
        </is>
      </c>
      <c r="C26" s="40" t="inlineStr">
        <is>
          <t>BROKER INTEGRATION</t>
        </is>
      </c>
      <c r="D26" s="40" t="inlineStr">
        <is>
          <t>Trading adapter with market protection</t>
        </is>
      </c>
      <c r="E26" s="40" t="inlineStr">
        <is>
          <t>QA-Success</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v>1</v>
      </c>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inlineStr">
        <is>
          <t>Trading adapter with market protection enforced at the boundary (missing and zero both refused). client_order_id -&gt; Kite tag resolved: the tag is alphanumeric, max 20 chars, and IS returned in the orderbook, so broker_tag() truncates the sha256 id deterministically in one place and the submission and recovery paths are asserted to agree. Restructured so the trading adapter does NOT inherit ReadOnlyGuard - 'may trade' is stated positively rather than achieved by overriding a refusal.</t>
        </is>
      </c>
      <c r="W26" s="49" t="n"/>
      <c r="X26" s="75" t="inlineStr">
        <is>
          <t>RESOLVED Aug 2026. Kite's tag is alphanumeric, max 20 chars, and IS returned in the orderbook - confirmed against the API docs. broker_tag() truncates the sha256 id deterministically in one place, and a test asserts the submission and recovery paths produce the same value. A non-alphanumeric id is refused rather than silently mangled.
Two further defects were found here by QA and fixed: a foreign order type used to kill the whole orderbook read (QA-E02-01), and a duplicate tag used to be resolved by picking one (QA-E02-02).</t>
        </is>
      </c>
    </row>
    <row r="27" ht="30" customHeight="1" s="59">
      <c r="A27" s="38" t="inlineStr">
        <is>
          <t>E02-S05</t>
        </is>
      </c>
      <c r="B27" s="39" t="inlineStr">
        <is>
          <t>E02</t>
        </is>
      </c>
      <c r="C27" s="40" t="inlineStr">
        <is>
          <t>BROKER INTEGRATION</t>
        </is>
      </c>
      <c r="D27" s="40" t="inlineStr">
        <is>
          <t>Order rate limiting</t>
        </is>
      </c>
      <c r="E27" s="40" t="inlineStr">
        <is>
          <t>QA-Success</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v>1</v>
      </c>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inlineStr">
        <is>
          <t>Redis token bucket, account-wide key, orders and data on separate budgets so a backfill cannot starve an exit. Refuses rather than queues. Config refuses &gt;= 10 orders/sec in code. FOUND A REAL DEFECT while testing this - see QA-SEC-14.</t>
        </is>
      </c>
      <c r="W27" s="49" t="n"/>
      <c r="X27" s="75" t="inlineStr">
        <is>
          <t>RESOLVED Aug 2026, and CONFIRMED by Zerodha: ten OPS is account-specific, regardless of the number of apps. The bucket is account-scoped in Redis, orders and data have separate budgets so a backfill cannot starve an exit, and the config refuses ten or more per second in code.
STILL LIVE: the budget is shared with anything else trading the account, including the Kite mobile app. Running at 3/sec against a cap of 10 leaves that headroom deliberately - but manual trading during a session eats into it.</t>
        </is>
      </c>
    </row>
    <row r="28" ht="30" customHeight="1" s="59">
      <c r="A28" s="38" t="inlineStr">
        <is>
          <t>E02-S06</t>
        </is>
      </c>
      <c r="B28" s="39" t="inlineStr">
        <is>
          <t>E02</t>
        </is>
      </c>
      <c r="C28" s="40" t="inlineStr">
        <is>
          <t>BROKER INTEGRATION</t>
        </is>
      </c>
      <c r="D28" s="40" t="inlineStr">
        <is>
          <t>Instrument master synchronisation</t>
        </is>
      </c>
      <c r="E28" s="40" t="inlineStr">
        <is>
          <t>QA-Success</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v>1</v>
      </c>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inlineStr">
        <is>
          <t>Instrument sync with new-listing and delisting detection, and an implausibility check so a truncated download is loud rather than silently shrinking the universe. Side-aware tick rounding added: buy rounds down, sell rounds up, so neither side ever pays more than intended.</t>
        </is>
      </c>
      <c r="W28" s="49" t="n"/>
      <c r="X28" s="75" t="inlineStr">
        <is>
          <t>RESOLVED Aug 2026, and it was worse than this concern described. Side-aware rounding was written and tested (buy down, sell up, so neither side pays more than intended) - and then never called in the order path. The BA pass caught it: E02-S06's acceptance criterion says a limit price is ALWAYS snapped, and ATR-derived stops are essentially never on a 0.05 grid, so the exchange would have rejected every computed stop. Now snapped at the boundary, trigger prices too, failing CLOSED when no tick resolver is wired.</t>
        </is>
      </c>
    </row>
    <row r="29" ht="30" customHeight="1" s="59">
      <c r="A29" s="38" t="inlineStr">
        <is>
          <t>E02-S07</t>
        </is>
      </c>
      <c r="B29" s="39" t="inlineStr">
        <is>
          <t>E02</t>
        </is>
      </c>
      <c r="C29" s="40" t="inlineStr">
        <is>
          <t>BROKER INTEGRATION</t>
        </is>
      </c>
      <c r="D29" s="40" t="inlineStr">
        <is>
          <t>Live margin retrieval</t>
        </is>
      </c>
      <c r="E29" s="40" t="inlineStr">
        <is>
          <t>QA-Success</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v>1</v>
      </c>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inlineStr">
        <is>
          <t>Live margin plus a staleness bound. margin_for_sizing() refuses a snapshot older than the TTL, which closes the time-of-check/time-of-use gap - margin falls after every fill, so a stale reading can authorise a position the account cannot carry.</t>
        </is>
      </c>
      <c r="W29" s="49" t="n"/>
      <c r="X29" s="75" t="inlineStr">
        <is>
          <t>RESOLVED Aug 2026. margin_for_sizing() refuses a snapshot older than the TTL, closing the time-of-check/time-of-use gap - margin falls after every fill, so a stale reading can authorise a position the account cannot carry.
NOTE the bound is on AGE, not on change. Re-fetching after each fill is the caller's responsibility and belongs with E14-S06.</t>
        </is>
      </c>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inlineStr">
        <is>
          <t>DEFERRED, not blocked. Fyers fallback is the only Low-risk story in E02 and adds a second broker SDK plus a second auth flow. Worth doing once the primary path has run against live data, so the fallback is written against known behaviour rather than assumptions.</t>
        </is>
      </c>
      <c r="W30" s="49" t="n"/>
    </row>
    <row r="31" ht="30" customHeight="1" s="59">
      <c r="A31" s="38" t="inlineStr">
        <is>
          <t>E02-S09</t>
        </is>
      </c>
      <c r="B31" s="39" t="inlineStr">
        <is>
          <t>E02</t>
        </is>
      </c>
      <c r="C31" s="40" t="inlineStr">
        <is>
          <t>BROKER INTEGRATION</t>
        </is>
      </c>
      <c r="D31" s="40" t="inlineStr">
        <is>
          <t>Broker error taxonomy handling</t>
        </is>
      </c>
      <c r="E31" s="40" t="inlineStr">
        <is>
          <t>QA-Success</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v>1</v>
      </c>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inlineStr">
        <is>
          <t>Error taxonomy with the safety switch: classify(mutating=True) makes any UNRECOGNISED failure AmbiguousOrderError, routing to query-by-tag rather than retry. Only a 429 is retryable. Verified by mutation testing - breaking the fail-closed rule fails the test.</t>
        </is>
      </c>
      <c r="W31" s="49" t="n"/>
      <c r="X31" s="75" t="inlineStr">
        <is>
          <t>RESOLVED Aug 2026. classify(mutating=True) makes ANY unrecognised failure AmbiguousOrderError, routing to query-by-tag rather than a retry; only a 429 is retryable. Verified by mutation testing - breaking the fail-closed rule fails the test. The default disposition for an unknown code is now the safe one rather than an unspecified one.</t>
        </is>
      </c>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c r="X32" s="75" t="inlineStr">
        <is>
          <t>NSE replaced the legacy bhavcopy with the UDiFF format and moved the URL. A fetcher written against the old path will 404, or worse fetch a stale mirror. Pin the exact source and assert on the header row, not just on HTTP 200. Also: bhavcopy is UNADJUSTED, so this must land before E03-S02 computes factors, never after.</t>
        </is>
      </c>
    </row>
    <row r="33" ht="30" customHeight="1" s="59">
      <c r="A33" s="38" t="inlineStr">
        <is>
          <t>E03-S02</t>
        </is>
      </c>
      <c r="B33" s="39" t="inlineStr">
        <is>
          <t>E03</t>
        </is>
      </c>
      <c r="C33" s="40" t="inlineStr">
        <is>
          <t>HISTORICAL DATA</t>
        </is>
      </c>
      <c r="D33" s="40" t="inlineStr">
        <is>
          <t>Corporate action adjustment</t>
        </is>
      </c>
      <c r="E33" s="40" t="inlineStr">
        <is>
          <t>Development Completed</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c r="X34" s="75" t="inlineStr">
        <is>
          <t>PARTLY RESOLVED Aug 2026. Blocker B4 is gone: historical data is no longer a separate paid add-on. The free Personal tier carries NO data; Connect at Rs.500/month bundles real-time WebSocket AND historical candles. So this story needs a Rs.500 subscription, not Rs.2500.
STILL LIVE: the rate limit and the per-request date-range cap remain, and a multi-hour backfill during market hours competes with live data on the same account-wide budget. Schedule it outside the session.</t>
        </is>
      </c>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c r="X35" s="75" t="inlineStr">
        <is>
          <t>'Unexplained jumps beyond circuit limits' will fire on every split and bonus, because a raw price series is SUPPOSED to gap at an ex-date. The check must join corporate_action and treat an explained jump as clean — otherwise every corporate action raises a false alarm and the report stops being read.</t>
        </is>
      </c>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c r="X36" s="75" t="inlineStr">
        <is>
          <t>'Verify against broker-supplied weekly bars' only holds if both sides use the same adjustment basis. Kite's weekly bars are adjusted; ours are raw-plus-factor. Compare adjusted-to-adjusted, or the check fails for every symbol that ever had a corporate action.</t>
        </is>
      </c>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c r="X38" s="75" t="inlineStr">
        <is>
          <t>Publication time matters more than the schedule. NSE posts these lists at varying times; a 05:30 fetch may retrieve yesterday's file under today's name. Assert the file's OWN effective date, not the fetch time. Also use gsm_stage, not just the boolean — stage 4 is periodic call auction with no upward movement, a completely different hazard from stage 1, and the schema now carries the stage for exactly this reason.</t>
        </is>
      </c>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c r="X42" s="75" t="inlineStr">
        <is>
          <t>The deadline must be pinned at position OPEN and stored with the position, never recomputed at exit time from current classification. If NSE reclassifies a symbol during the day, a recomputed deadline could move LATER and put you past the broker's square-off. E15-S06 computes at open — make sure this story feeds that path, not the exit path.</t>
        </is>
      </c>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n"/>
      <c r="W44" s="49" t="n"/>
      <c r="X44" s="75" t="inlineStr">
        <is>
          <t>The Muhurat session is the trap: Diwali is a holiday on which the exchange runs a special ~1-hour evening session. A calendar with one session per day cannot express it. 'Stand down' is the right default, but record it as a DECISION — otherwise someone later 'fixes' the calendar and the system trades a session it was never tested against.</t>
        </is>
      </c>
    </row>
    <row r="45" ht="30" customHeight="1" s="59">
      <c r="A45" s="38" t="inlineStr">
        <is>
          <t>E05-S01</t>
        </is>
      </c>
      <c r="B45" s="39" t="inlineStr">
        <is>
          <t>E05</t>
        </is>
      </c>
      <c r="C45" s="40" t="inlineStr">
        <is>
          <t>MARKET DATA INGESTION</t>
        </is>
      </c>
      <c r="D45" s="40" t="inlineStr">
        <is>
          <t>WebSocket client with reconnection</t>
        </is>
      </c>
      <c r="E45" s="40" t="inlineStr">
        <is>
          <t>QA-Success</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v>0.85</v>
      </c>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inlineStr">
        <is>
          <t>WebSocket client built on the `websockets` library, NOT KiteTicker - which resolves blocker B7 and the Twisted-to-asyncio bridging problem together. Wire protocol implemented from the documented byte-level spec: frame splitting, ltp/quote/full packets, index packets, market depth. Reconnection with capped exponential backoff and jitter; a connection that survives 60s resets the backoff so one bad hour does not pin it at maximum all day. Every reconnect emits a FeedGap BEFORE any tick that follows, so downstream marks indicators stale rather than computing across a hole. Connections open inside `async with` so a reconnect cannot leak one and exhaust Kite's 3-connection cap. An idle socket (no frame for 45s) is treated as dead - the failure a TCP check reports healthy.
REMAINING 15%: the connection itself needs live credentials, and one real packet per mode must be captured and asserted against. The parser is verified self-consistent (tests build packets to the same spec they parse) which proves it matches the SPEC, not that the spec matches the exchange.</t>
        </is>
      </c>
      <c r="W45" s="49" t="n"/>
      <c r="X45" s="75" t="inlineStr">
        <is>
          <t>RESOLVED Aug 2026 - and it resolved blocker B7 at the same time. Built on the `websockets` library rather than KiteTicker, so autobahn 19.11.2 (CVE-2020-35678) is never imported and there is no Twisted reactor to bridge. Connection-leak and reconnect-storm hazards both addressed explicitly.
STILL LIVE: the packet offsets are verified SELF-CONSISTENTLY only. Capture one real packet per mode and assert against it before this feeds anything that trades - a transposed field produces plausible numbers, which is the failure that survives review.</t>
        </is>
      </c>
    </row>
    <row r="46" ht="30" customHeight="1" s="59">
      <c r="A46" s="38" t="inlineStr">
        <is>
          <t>E05-S02</t>
        </is>
      </c>
      <c r="B46" s="39" t="inlineStr">
        <is>
          <t>E05</t>
        </is>
      </c>
      <c r="C46" s="40" t="inlineStr">
        <is>
          <t>MARKET DATA INGESTION</t>
        </is>
      </c>
      <c r="D46" s="40" t="inlineStr">
        <is>
          <t>Tick validation</t>
        </is>
      </c>
      <c r="E46" s="40" t="inlineStr">
        <is>
          <t>QA-Success</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v>1</v>
      </c>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inlineStr">
        <is>
          <t>Null/zero/negative price, negative volume, and clock skew beyond 5s all refused. Added beyond the story: session volume going BACKWARDS is refused - cumulative volume cannot fall, so a decrease means a replayed or out-of-order packet, and accepting it makes every volume-delta negative. Every rejection counted by reason with a bounded sample.</t>
        </is>
      </c>
      <c r="W46" s="49" t="n"/>
    </row>
    <row r="47" ht="30" customHeight="1" s="59">
      <c r="A47" s="38" t="inlineStr">
        <is>
          <t>E05-S03</t>
        </is>
      </c>
      <c r="B47" s="39" t="inlineStr">
        <is>
          <t>E05</t>
        </is>
      </c>
      <c r="C47" s="40" t="inlineStr">
        <is>
          <t>MARKET DATA INGESTION</t>
        </is>
      </c>
      <c r="D47" s="40" t="inlineStr">
        <is>
          <t>Deduplication</t>
        </is>
      </c>
      <c r="E47" s="40" t="inlineStr">
        <is>
          <t>QA-Success</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v>1</v>
      </c>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inlineStr">
        <is>
          <t>Bounded LRU per instrument on (exchange_ts, ltp, volume, last_qty). Per-instrument rather than global so one busy symbol cannot evict a quiet one's history - tested explicitly.</t>
        </is>
      </c>
      <c r="W47" s="49" t="n"/>
    </row>
    <row r="48" ht="30" customHeight="1" s="59">
      <c r="A48" s="38" t="inlineStr">
        <is>
          <t>E05-S04</t>
        </is>
      </c>
      <c r="B48" s="39" t="inlineStr">
        <is>
          <t>E05</t>
        </is>
      </c>
      <c r="C48" s="40" t="inlineStr">
        <is>
          <t>MARKET DATA INGESTION</t>
        </is>
      </c>
      <c r="D48" s="40" t="inlineStr">
        <is>
          <t>Outlier filtering</t>
        </is>
      </c>
      <c r="E48" s="40" t="inlineStr">
        <is>
          <t>QA-Success</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v>1</v>
      </c>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inlineStr">
        <is>
          <t>THE COLD-START GAP IS CLOSED. The bound is max(5 x ATR%, 2%), but ATR does not exist at 09:15 - exactly when prints are most erratic. A missing ATR resolving to 'no limit' would leave the filter inert when it matters most. It resolves to the 2% floor instead, and cold_start() reports the condition so a health panel can show it. Circuit band checked independently and applies even to the first tick, where there is no previous price. A rejected outlier does NOT move the baseline - otherwise a second bad print would look reasonable.</t>
        </is>
      </c>
      <c r="W48" s="49" t="n"/>
      <c r="X48" s="75" t="inlineStr">
        <is>
          <t>RESOLVED Aug 2026. The cold-start behaviour is now explicit rather than implied: no ATR means the 2% floor applies on its own, and OutlierFilter.cold_start() exposes the condition so it can be asserted in a test and shown on a health panel. Four tests cover the window specifically.</t>
        </is>
      </c>
    </row>
    <row r="49" ht="30" customHeight="1" s="59">
      <c r="A49" s="38" t="inlineStr">
        <is>
          <t>E05-S05</t>
        </is>
      </c>
      <c r="B49" s="39" t="inlineStr">
        <is>
          <t>E05</t>
        </is>
      </c>
      <c r="C49" s="40" t="inlineStr">
        <is>
          <t>MARKET DATA INGESTION</t>
        </is>
      </c>
      <c r="D49" s="40" t="inlineStr">
        <is>
          <t>Normalisation</t>
        </is>
      </c>
      <c r="E49" s="40" t="inlineStr">
        <is>
          <t>QA-Success</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v>1</v>
      </c>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inlineStr">
        <is>
          <t>RawTick -&gt; domain Tick, running LAST so a tick that failed any check never becomes a domain object. Prices exact via Decimal from integer paise.</t>
        </is>
      </c>
      <c r="W49" s="49" t="n"/>
    </row>
    <row r="50" ht="30" customHeight="1" s="59">
      <c r="A50" s="38" t="inlineStr">
        <is>
          <t>E05-S06</t>
        </is>
      </c>
      <c r="B50" s="39" t="inlineStr">
        <is>
          <t>E05</t>
        </is>
      </c>
      <c r="C50" s="40" t="inlineStr">
        <is>
          <t>MARKET DATA INGESTION</t>
        </is>
      </c>
      <c r="D50" s="40" t="inlineStr">
        <is>
          <t>Bar builder with session alignment</t>
        </is>
      </c>
      <c r="E50" s="40" t="inlineStr">
        <is>
          <t>QA-Success</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v>1</v>
      </c>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inlineStr">
        <is>
          <t>Bars align to the SESSION start, delegating to MarketCalendar.bar_open_time so there is one definition of a boundary. Timeframes built INDEPENDENTLY from ticks rather than cascaded - cascading means one bad 1m bar propagates silently into every higher timeframe. Bar volume is the DELTA of cumulative session volume, not the raw total. A sealed bar NEVER mutates: a late tick is dropped and counted, because the opening range is sealed at 09:30 and levels derived from it are already sizing positions. CAS-scope bars covering the 15:15 call auction are marked.</t>
        </is>
      </c>
      <c r="W50" s="49" t="n"/>
      <c r="X50" s="75" t="inlineStr">
        <is>
          <t>RESOLVED Aug 2026. Timeframes are built independently from ticks rather than cascaded, so a defect in the 1m path cannot reappear in the hourly series. CAS-window bars are marked. Late ticks are dropped and counted rather than mutating a sealed bar.</t>
        </is>
      </c>
    </row>
    <row r="51" ht="30" customHeight="1" s="59">
      <c r="A51" s="38" t="inlineStr">
        <is>
          <t>E05-S07</t>
        </is>
      </c>
      <c r="B51" s="39" t="inlineStr">
        <is>
          <t>E05</t>
        </is>
      </c>
      <c r="C51" s="40" t="inlineStr">
        <is>
          <t>MARKET DATA INGESTION</t>
        </is>
      </c>
      <c r="D51" s="40" t="inlineStr">
        <is>
          <t>Synthetic bar handling</t>
        </is>
      </c>
      <c r="E51" s="40" t="inlineStr">
        <is>
          <t>QA-Success</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v>1</v>
      </c>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inlineStr">
        <is>
          <t>Carry-forward bars flagged synthetic with zero volume. The flag is the point: an illiquid symbol printing identical bars looks like a volatility collapse to an indicator that cannot tell 'did not move' from 'did not trade'.</t>
        </is>
      </c>
      <c r="W51" s="49" t="n"/>
    </row>
    <row r="52" ht="30" customHeight="1" s="59">
      <c r="A52" s="38" t="inlineStr">
        <is>
          <t>E05-S08</t>
        </is>
      </c>
      <c r="B52" s="39" t="inlineStr">
        <is>
          <t>E05</t>
        </is>
      </c>
      <c r="C52" s="40" t="inlineStr">
        <is>
          <t>MARKET DATA INGESTION</t>
        </is>
      </c>
      <c r="D52" s="40" t="inlineStr">
        <is>
          <t>Quote state publishing</t>
        </is>
      </c>
      <c r="E52" s="40" t="inlineStr">
        <is>
          <t>QA-Success</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v>1</v>
      </c>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inlineStr">
        <is>
          <t>Quote state to state:quote:{symbol} with a TTL (a session key with no expiry is read next morning as live), plus optional tick archival to the stream. read_fresh() is separate from read() so staleness is an explicit caller decision rather than something silently tolerated.</t>
        </is>
      </c>
      <c r="W52" s="49" t="n"/>
    </row>
    <row r="53" ht="30" customHeight="1" s="59">
      <c r="A53" s="38" t="inlineStr">
        <is>
          <t>E06-S01</t>
        </is>
      </c>
      <c r="B53" s="39" t="inlineStr">
        <is>
          <t>E06</t>
        </is>
      </c>
      <c r="C53" s="40" t="inlineStr">
        <is>
          <t>TECHNICAL ANALYSIS ENGINE</t>
        </is>
      </c>
      <c r="D53" s="40" t="inlineStr">
        <is>
          <t>Incremental indicator framework</t>
        </is>
      </c>
      <c r="E53" s="40" t="inlineStr">
        <is>
          <t>QA-Success</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v>1</v>
      </c>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inlineStr">
        <is>
          <t>Incremental framework with the SEEDING CONVENTION FIXED and verified by experiment, not assumed. TA-Lib emits EMA(N) first at index N-1 seeded from the simple mean of the first N; RSI and ATR use Wilder smoothing seeded from the mean of the first N samples. A streaming EMA seeded from the first value stays close forever and never equals it - which passes a 'looks right' review and fails the four-decimal acceptance criterion. Every indicator asserted against TA-Lib batch directly.</t>
        </is>
      </c>
      <c r="W53" s="49" t="n"/>
      <c r="X53" s="75" t="inlineStr">
        <is>
          <t>RESOLVED Aug 2026, and the concern understated it. The seeding convention is now fixed AND verified by experiment against TA-Lib rather than taken from a formula. Warm-up and state-restore both use the same path, and restore-equals-rewarm is asserted for the rest of the session rather than only at the instant of restore.</t>
        </is>
      </c>
    </row>
    <row r="54" ht="30" customHeight="1" s="59">
      <c r="A54" s="38" t="inlineStr">
        <is>
          <t>E06-S02</t>
        </is>
      </c>
      <c r="B54" s="39" t="inlineStr">
        <is>
          <t>E06</t>
        </is>
      </c>
      <c r="C54" s="40" t="inlineStr">
        <is>
          <t>TECHNICAL ANALYSIS ENGINE</t>
        </is>
      </c>
      <c r="D54" s="40" t="inlineStr">
        <is>
          <t>Core indicator implementations</t>
        </is>
      </c>
      <c r="E54" s="40" t="inlineStr">
        <is>
          <t>Development Completed</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v>1</v>
      </c>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inlineStr">
        <is>
          <t>EMA, SMA, RSI, MACD, ATR, Bollinger, VWAP, VolumeRatio - all matched to TA-Lib within 1e-4. MACD needed a real fix found by that comparison: TA-Lib seeds BOTH its EMAs at the same bar (the slow period's start), not each at its own. Composing two independent EMAs read -18.75 where TA-Lib read -20.11 on a 200-bar series - a 7% error on a line whose CROSSINGS are the signal. Bollinger uses population not sample stddev (2.6% apart at n=20). VWAP is session-anchored and ignores synthetic bars. VolumeRatio excludes the current bar so a 10x spike does not damp itself.
NOT DONE: ADX. Listed in the story, deferred - it is the only one with no consumer yet.</t>
        </is>
      </c>
      <c r="W54" s="49" t="n"/>
    </row>
    <row r="55" ht="30" customHeight="1" s="59">
      <c r="A55" s="38" t="inlineStr">
        <is>
          <t>E06-S03</t>
        </is>
      </c>
      <c r="B55" s="39" t="inlineStr">
        <is>
          <t>E06</t>
        </is>
      </c>
      <c r="C55" s="40" t="inlineStr">
        <is>
          <t>TECHNICAL ANALYSIS ENGINE</t>
        </is>
      </c>
      <c r="D55" s="40" t="inlineStr">
        <is>
          <t>Warm-up orchestration</t>
        </is>
      </c>
      <c r="E55" s="40" t="inlineStr">
        <is>
          <t>QA-Success</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v>1</v>
      </c>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inlineStr">
        <is>
          <t>Warm-up runs through the SAME code path as live updates, so the two cannot disagree - a separate batch path would only show its divergence as a discontinuity at the moment the system switched between them, mid-session. Insufficient history EXCLUDES the symbol and the report names which indicator was short, so the operator knows why a symbol left the universe.
Restore-equals-rewarm is asserted, and not only at the same instant: the two must stay equal for the REST of the session, which is what catches a snapshot that captured a value but not its window.</t>
        </is>
      </c>
      <c r="W55" s="49" t="n"/>
      <c r="X55" s="75" t="inlineStr">
        <is>
          <t>RESOLVED Aug 2026. Tested exactly as the concern asked: warm from history, snapshot, restore, compare - and then keep feeding both for another twenty bars, which is what catches a snapshot that saved the value but not the window. A snapshot from a different build is refused rather than partially applied.</t>
        </is>
      </c>
    </row>
    <row r="56" ht="30" customHeight="1" s="59">
      <c r="A56" s="38" t="inlineStr">
        <is>
          <t>E06-S04</t>
        </is>
      </c>
      <c r="B56" s="39" t="inlineStr">
        <is>
          <t>E06</t>
        </is>
      </c>
      <c r="C56" s="40" t="inlineStr">
        <is>
          <t>TECHNICAL ANALYSIS ENGINE</t>
        </is>
      </c>
      <c r="D56" s="40" t="inlineStr">
        <is>
          <t>Multi-timeframe snapshot assembly</t>
        </is>
      </c>
      <c r="E56" s="40" t="inlineStr">
        <is>
          <t>QA-Success</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v>1</v>
      </c>
      <c r="R56" s="39" t="n">
        <v>3</v>
      </c>
      <c r="S56" s="48" t="n"/>
      <c r="T56" s="48" t="inlineStr">
        <is>
          <t>1. Assemble `MultiTimeframeSnapshot` from per-timeframe state
2. `all_ready` gate
3. Publish to Redis for `signal-engine` to read without IPC</t>
        </is>
      </c>
      <c r="U56" s="48" t="n"/>
      <c r="V56" s="48" t="inlineStr">
        <is>
          <t>MultiTimeframeSnapshot with all_ready gating evaluation. Values are still exposed when not ready so a health panel can show what is missing rather than an unexplained refusal. A feed gap marks EVERY timeframe for that symbol stale - a 15-minute hole is a missing 5m bar and a corrupted hourly bar alike, and the hourly one is harder to notice. Staleness is NOT cleared by the next bar.</t>
        </is>
      </c>
      <c r="W56" s="49" t="n"/>
    </row>
    <row r="57" ht="30" customHeight="1" s="59">
      <c r="A57" s="38" t="inlineStr">
        <is>
          <t>E06-S05</t>
        </is>
      </c>
      <c r="B57" s="39" t="inlineStr">
        <is>
          <t>E06</t>
        </is>
      </c>
      <c r="C57" s="40" t="inlineStr">
        <is>
          <t>TECHNICAL ANALYSIS ENGINE</t>
        </is>
      </c>
      <c r="D57" s="40" t="inlineStr">
        <is>
          <t>Support/resistance and pivot detection</t>
        </is>
      </c>
      <c r="E57" s="40" t="inlineStr">
        <is>
          <t>QA-Success</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v>1</v>
      </c>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inlineStr">
        <is>
          <t>Classic pivots, prior-day HLC, swing detection and level clustering. Clustering anchors to the first member rather than chaining, so a gently-rising staircase cannot merge into one 'level' spanning the day's range. Touches become strength, capped - a level touched twenty times is not twice as strong as one touched ten.</t>
        </is>
      </c>
      <c r="W57" s="49" t="n"/>
    </row>
    <row r="58" ht="30" customHeight="1" s="59">
      <c r="A58" s="77" t="inlineStr">
        <is>
          <t>E06-S06</t>
        </is>
      </c>
      <c r="B58" s="48" t="inlineStr">
        <is>
          <t>E06</t>
        </is>
      </c>
      <c r="C58" s="48" t="inlineStr">
        <is>
          <t>TECHNICAL ANALYSIS ENGINE</t>
        </is>
      </c>
      <c r="D58" s="48" t="inlineStr">
        <is>
          <t>Opening range computation</t>
        </is>
      </c>
      <c r="E58" s="48" t="inlineStr">
        <is>
          <t>QA-Success</t>
        </is>
      </c>
      <c r="F58" s="78" t="inlineStr">
        <is>
          <t>P0</t>
        </is>
      </c>
      <c r="G58" s="48" t="inlineStr">
        <is>
          <t>2</t>
        </is>
      </c>
      <c r="H58" s="79" t="inlineStr">
        <is>
          <t>Safety-critical</t>
        </is>
      </c>
      <c r="I58" s="48" t="inlineStr">
        <is>
          <t>FEAT</t>
        </is>
      </c>
      <c r="J58" s="80" t="n">
        <v>1</v>
      </c>
      <c r="K58" s="48" t="inlineStr">
        <is>
          <t>E06-S02</t>
        </is>
      </c>
      <c r="L58" s="48" t="n"/>
      <c r="M58" s="44" t="n"/>
      <c r="N58" s="45" t="n"/>
      <c r="O58" s="46" t="n"/>
      <c r="P58" s="46" t="n"/>
      <c r="Q58" s="47" t="n">
        <v>1</v>
      </c>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inlineStr">
        <is>
          <t>Opening range sealed at 09:30 and it NEVER moves. A late tick is refused AND COUNTED rather than silently dropped, because a silent no-op would hide a feed delivering out of order. breakout_direction() refuses to answer before sealing - answering early trades a breakout of a range still forming, which is not a breakout. An empty range is sealed-but-not-usable: a symbol that did not trade in the first fifteen minutes has no range, which is different from a narrow one.</t>
        </is>
      </c>
      <c r="W58" s="49" t="n"/>
      <c r="X58" s="75" t="inlineStr">
        <is>
          <t>RESOLVED Aug 2026. The explicit rule the concern asked for: a tick whose exchange timestamp falls inside the window but which ARRIVES after the seal is dropped and counted. Four tests cover it, including the control that a late tick OUTSIDE the window is not an anomaly.</t>
        </is>
      </c>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inlineStr">
        <is>
          <t>NOT STARTED. Needs sector index mapping per symbol, which is E04-S01's data - so it waits on the NSE access question (blocker B8) rather than on anything in this epic.</t>
        </is>
      </c>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NOT STARTED - deliberately. Low risk, and the only E06 story with no consumer until E13 exists.</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c r="X62" s="75" t="inlineStr">
        <is>
          <t>'Cheapest first' makes the recorded exclusion reason ORDER-DEPENDENT — a symbol that is both T2T and illiquid is attributed to whichever check ran first. If the audit answer 'why was this excluded' matters, either record every failing filter, or document that the field means 'first failing filter', not 'the reason'.</t>
        </is>
      </c>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c r="X63" s="75" t="inlineStr">
        <is>
          <t>The catalyst component is stubbed at 0 until E08, but the weights sum to 1.0 INCLUDING it. Every score is therefore depressed by 10% until news lands, and scores from before and after E08 are not comparable — which quietly invalidates E07-S06's 20-session validation report if the window spans the change. Renormalise over available components, or freeze the report window.</t>
        </is>
      </c>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c r="X69" s="75" t="inlineStr">
        <is>
          <t>Sanitisation and detection are different controls and the tasks mix them. Stripping tags is deterministic; detecting 'ignore previous' is a blocklist an attacker rewrites around. The REAL boundary is the structured output schema in E08-S05. Treat this as defence in depth and never let a passing sanitiser become the reason to trust article text.</t>
        </is>
      </c>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c r="X71" s="75" t="inlineStr">
        <is>
          <t>'Batch articles to control cost' creates a cross-contamination surface: several untrusted articles in one prompt means an injection in article 3 can influence the extracted fields of articles 1 and 2. If batching, bound the batch and keep per-article outputs independently attributable — or pay for one call per article for anything that will drive a trade.</t>
        </is>
      </c>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c r="X73" s="75" t="inlineStr">
        <is>
          <t>Decay in TRADING days is right, but the trading-day count depends on the holiday calendar — the known-incomplete one (B3 / E04-S07). Until that is verified, decay silently over- or under-weights across every long weekend.</t>
        </is>
      </c>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c r="X74" s="75" t="inlineStr">
        <is>
          <t>'Stale pipeline -&gt; score 0' — make sure 0 reads as NEUTRAL, not bearish, at every consumer. If one downstream treats 0 as 'no catalyst' and another as 'negative', staleness changes behaviour inconsistently and only under conditions you cannot easily reproduce.</t>
        </is>
      </c>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c r="X80" s="75" t="inlineStr">
        <is>
          <t>Blocking new entries during a blackout is only half of it. Decide explicitly what happens to positions ALREADY OPEN when a blackout starts — hold, or exit early? An RBI announcement mid-session with open positions is the case that matters, and the tasks do not say.</t>
        </is>
      </c>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c r="X82" s="75" t="inlineStr">
        <is>
          <t>A usable context with an explicit gap is right, but this is won or lost at the CONSUMERS. Every read site must branch on is_stale; one that ignores the flag reintroduces exactly the silent-stale-data failure this story exists to prevent. Consider making the value inaccessible without acknowledging the flag, rather than a flag sitting beside it.</t>
        </is>
      </c>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c r="X85" s="75" t="inlineStr">
        <is>
          <t>The cache-hit assertion needs a REAL second call, not a mock — this is precisely the class of thing that passes in tests and costs 10x in production. Also the daily-context layer changes each morning, so the cache is cold on the first call of every day BY DESIGN; set the alert threshold so it does not page you at 08:45 daily.</t>
        </is>
      </c>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c r="X87" s="75" t="inlineStr">
        <is>
          <t>'Degrade to score-only, keep trading' is the right direction, but verify the degraded path is actually exercised. A score-only mode that has never run will not work the first time it is needed — and the first time it is needed is mid-session with the budget already exhausted.</t>
        </is>
      </c>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c r="X89" s="75" t="inlineStr">
        <is>
          <t>The cache key must include the MODEL ID and the prompt template version. Without them, a model upgrade silently replays old answers against new prompts and the backtest becomes fiction while still looking green.</t>
        </is>
      </c>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c r="X92" s="75" t="inlineStr">
        <is>
          <t>Checkpoint-resume and the hard 09:12 deadline interact badly. A resumed run inherits the elapsed wall clock, so a job that died at 08:50 and restarts at 09:05 must know it cannot finish and publish a DEGRADED plan rather than a late one. Make the deadline absolute, not per-attempt.</t>
        </is>
      </c>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c r="X95" s="75" t="inlineStr">
        <is>
          <t>ProcessPoolExecutor pickles every object crossing the boundary. Decimal and Pydantic models pickle, but at 200 symbols x 3 timeframes the serialisation cost is real and this stage owns the binding 30-minute budget of the morning. Measure the serialisation share BEFORE optimising the compute.</t>
        </is>
      </c>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c r="X97" s="75" t="inlineStr">
        <is>
          <t>'AI may veto or re-rank within the shortlist' is the one place the AI touches selection. Bound it explicitly: it must NOT be able to introduce a symbol that failed a hard filter, and a veto must carry a recorded reason. Re-ranking is a judgement; adding a symbol would be a safety breach.</t>
        </is>
      </c>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c r="X99" s="75" t="inlineStr">
        <is>
          <t>'Immutable for the session' needs enforcement, not convention. E11-S07 runs at 09:02 and lock is at 09:12 — verify nothing in between can write after the lock, including a late-returning async task from an earlier stage that completes after its deadline.</t>
        </is>
      </c>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c r="X102" s="75" t="inlineStr">
        <is>
          <t>'The same strategy code runs in backtest and live' is the property everything else rests on, and it is easy to lose to bar TIMING: live evaluates on sealed bars arriving from the stream, backtest replays stored bars. Any difference in WHEN evaluation fires is look-ahead bias. Assert equality of the decision SEQUENCE, not just of the final equity curve.</t>
        </is>
      </c>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c r="X103" s="75" t="inlineStr">
        <is>
          <t>Effective trial count must include trials from strategies later deleted or abandoned, and any parameter sweeps run before the registry existed. If the count starts at zero when the registry is built, DSR is optimistic exactly when it matters most. Decide the starting count deliberately and record the reasoning.</t>
        </is>
      </c>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c r="X105" s="75" t="inlineStr">
        <is>
          <t>The purge window must be derived from the strategy's OWN holding period, not a constant. An intraday strategy needs a purge of hours; a fixed multi-day purge over-purges and destroys the sample, making a good strategy look untestable. Make it a function of the label horizon.</t>
        </is>
      </c>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c r="X108" s="75" t="inlineStr">
        <is>
          <t>'&gt;=80% agreement' needs a definition of agreement that survives timing jitter — the same signal one bar later is not a disagreement in substance but will score as one. Define the tolerance BEFORE collecting 20 sessions of data you then have to discard.</t>
        </is>
      </c>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c r="X110" s="75" t="inlineStr">
        <is>
          <t>The hypothesis-before-results protocol is the entire control, and it is only real if the AI genuinely cannot see outcomes when it writes the hypothesis. Verify the journal summary passed into the prompt does not leak realised P&amp;L, win rate or R-multiples for the setups it is being asked to hypothesise about — otherwise it is fitting, with a hypothesis attached for appearances.</t>
        </is>
      </c>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c r="X112" s="75" t="inlineStr">
        <is>
          <t>SEQUENCING BUG: this story is Phase 4 but depends on E12-S01 (strategy registry), which is Phase 5. Phase 4 cannot complete as currently sequenced. Either pull E12-S01 forward into Phase 4 or move this story into Phase 5.</t>
        </is>
      </c>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c r="X116" s="75" t="inlineStr">
        <is>
          <t>The symbol lock prevents two strategies double-entering, but the partial unique index uq_open_symbol is the actual guarantee. Make the lock-failure path a clean reject, not an exception that leaves the signal half-processed — and log lock contention, because a rising rate means two strategies are fighting over the same names and that is a config problem, not a race.</t>
        </is>
      </c>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150" customHeight="1" s="59">
      <c r="A118" s="38" t="inlineStr">
        <is>
          <t>E14-S01</t>
        </is>
      </c>
      <c r="B118" s="39" t="inlineStr">
        <is>
          <t>E14</t>
        </is>
      </c>
      <c r="C118" s="40" t="inlineStr">
        <is>
          <t>RISK ENGINE</t>
        </is>
      </c>
      <c r="D118" s="40" t="inlineStr">
        <is>
          <t>Risk check framework</t>
        </is>
      </c>
      <c r="E118" s="40" t="inlineStr">
        <is>
          <t>QA-Success</t>
        </is>
      </c>
      <c r="F118" s="41" t="inlineStr">
        <is>
          <t>P0</t>
        </is>
      </c>
      <c r="G118" s="39" t="inlineStr">
        <is>
          <t>5</t>
        </is>
      </c>
      <c r="H118" s="51" t="inlineStr">
        <is>
          <t>Safety-critical</t>
        </is>
      </c>
      <c r="I118" s="39" t="inlineStr">
        <is>
          <t>FEAT</t>
        </is>
      </c>
      <c r="J118" s="43" t="n">
        <v>1.5</v>
      </c>
      <c r="K118" s="40" t="inlineStr">
        <is>
          <t>E00-S02</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inlineStr">
        <is>
          <t>DEPENDENCY CORRECTED 25 Aug 2026. Was E13-S04 (Recommendation emission). Taken literally that chained E14-S01 behind E13-S03 -&gt; E10-S05 -&gt; E10-S03 -&gt; E10-S01, i.e. the deterministic risk engine could not start until the entire AI layer existed. That inverts the architecture's own boundary: Recommendation is the AI/deterministic seam precisely so the downstream side does not depend on how the upstream side produced it (constraint C4).
What E14-S01 actually needs is the Recommendation TYPE, from E00-S02 (Closed), plus RiskDecision and SizingResult which are defined in the same module. It does not need the emitter, the signal stream, or an AIReview from a real model - an AIReview is a Pydantic model a test can construct directly.
E13-S04 remains a genuine dependency for RUNTIME WIRING - the risk engine consuming from stream:signals - which is E13-S05/E15 work, not this story.</t>
        </is>
      </c>
      <c r="W118" s="49" t="n"/>
    </row>
    <row r="119" ht="30" customHeight="1" s="59">
      <c r="A119" s="38" t="inlineStr">
        <is>
          <t>E14-S02</t>
        </is>
      </c>
      <c r="B119" s="39" t="inlineStr">
        <is>
          <t>E14</t>
        </is>
      </c>
      <c r="C119" s="40" t="inlineStr">
        <is>
          <t>RISK ENGINE</t>
        </is>
      </c>
      <c r="D119" s="40" t="inlineStr">
        <is>
          <t>Pre-condition checks (1–4)</t>
        </is>
      </c>
      <c r="E119" s="40" t="inlineStr">
        <is>
          <t>New</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47" t="n"/>
      <c r="R119" s="39" t="n">
        <v>0</v>
      </c>
      <c r="S119" s="48" t="n"/>
      <c r="T119" s="48" t="n"/>
      <c r="U119" s="48" t="n"/>
      <c r="V119" s="48" t="inlineStr">
        <is>
          <t>Kill switch · health gate · trading window · no-trade window.</t>
        </is>
      </c>
      <c r="W119" s="49" t="n"/>
    </row>
    <row r="120" ht="30" customHeight="1" s="59">
      <c r="A120" s="38" t="inlineStr">
        <is>
          <t>E14-S03</t>
        </is>
      </c>
      <c r="B120" s="39" t="inlineStr">
        <is>
          <t>E14</t>
        </is>
      </c>
      <c r="C120" s="40" t="inlineStr">
        <is>
          <t>RISK ENGINE</t>
        </is>
      </c>
      <c r="D120" s="40" t="inlineStr">
        <is>
          <t>Symbol eligibility checks (5–7)</t>
        </is>
      </c>
      <c r="E120" s="40" t="inlineStr">
        <is>
          <t>New</t>
        </is>
      </c>
      <c r="F120" s="41" t="inlineStr">
        <is>
          <t>P0</t>
        </is>
      </c>
      <c r="G120" s="39" t="inlineStr">
        <is>
          <t>5</t>
        </is>
      </c>
      <c r="H120" s="51" t="inlineStr">
        <is>
          <t>Safety-critical</t>
        </is>
      </c>
      <c r="I120" s="39" t="inlineStr">
        <is>
          <t>FEAT</t>
        </is>
      </c>
      <c r="J120" s="43" t="n">
        <v>1</v>
      </c>
      <c r="K120" s="40" t="inlineStr">
        <is>
          <t>E14-S01, E04</t>
        </is>
      </c>
      <c r="L120" s="40" t="n"/>
      <c r="M120" s="44" t="n"/>
      <c r="N120" s="45" t="n"/>
      <c r="O120" s="46" t="n"/>
      <c r="P120" s="46" t="n"/>
      <c r="Q120" s="47" t="n"/>
      <c r="R120" s="39" t="n">
        <v>0</v>
      </c>
      <c r="S120" s="48" t="n"/>
      <c r="T120" s="48" t="n"/>
      <c r="U120" s="48" t="n"/>
      <c r="V120" s="48" t="inlineStr">
        <is>
          <t>Symbol tradable (re-verified at order time) · slot available · not already held.</t>
        </is>
      </c>
      <c r="W120" s="49" t="n"/>
    </row>
    <row r="121" ht="30" customHeight="1" s="59">
      <c r="A121" s="38" t="inlineStr">
        <is>
          <t>E14-S04</t>
        </is>
      </c>
      <c r="B121" s="39" t="inlineStr">
        <is>
          <t>E14</t>
        </is>
      </c>
      <c r="C121" s="40" t="inlineStr">
        <is>
          <t>RISK ENGINE</t>
        </is>
      </c>
      <c r="D121" s="40" t="inlineStr">
        <is>
          <t>Portfolio exposure checks (8–10)</t>
        </is>
      </c>
      <c r="E121" s="40" t="inlineStr">
        <is>
          <t>New</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47" t="n"/>
      <c r="R121" s="39" t="n">
        <v>4</v>
      </c>
      <c r="S121" s="48" t="n"/>
      <c r="T121" s="48" t="inlineStr">
        <is>
          <t>1. Correlation guard — reject N correlated names
2. Rolling correlation matrix over the watchlist
3. Sector exposure cap
4. Net directional exposure cap</t>
        </is>
      </c>
      <c r="U121" s="48" t="inlineStr">
        <is>
          <t>• 🔴 Four PSU banks cannot occupy four slots</t>
        </is>
      </c>
      <c r="V121" s="48" t="n"/>
      <c r="W121" s="49" t="n"/>
      <c r="X121" s="75" t="inlineStr">
        <is>
          <t>Over which window and which return frequency? Intraday correlation is unstable — a short window flaps, a long one misses regime change. Correlation is also not the only linkage: four PSU banks can show only moderate correlation and still be one bet. Make the SECTOR cap the primary control and correlation the secondary one.</t>
        </is>
      </c>
    </row>
    <row r="122" ht="30" customHeight="1" s="59">
      <c r="A122" s="38" t="inlineStr">
        <is>
          <t>E14-S05</t>
        </is>
      </c>
      <c r="B122" s="39" t="inlineStr">
        <is>
          <t>E14</t>
        </is>
      </c>
      <c r="C122" s="40" t="inlineStr">
        <is>
          <t>RISK ENGINE</t>
        </is>
      </c>
      <c r="D122" s="40" t="inlineStr">
        <is>
          <t>Loss limit checks (11–12)</t>
        </is>
      </c>
      <c r="E122" s="40" t="inlineStr">
        <is>
          <t>New</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47" t="n"/>
      <c r="R122" s="39" t="n">
        <v>0</v>
      </c>
      <c r="S122" s="48" t="n"/>
      <c r="T122" s="48" t="n"/>
      <c r="U122" s="48" t="n"/>
      <c r="V122" s="48" t="inlineStr">
        <is>
          <t>Daily loss limit → halt · consecutive loss limit → halt.</t>
        </is>
      </c>
      <c r="W122" s="49" t="n"/>
    </row>
    <row r="123" ht="30" customHeight="1" s="59">
      <c r="A123" s="38" t="inlineStr">
        <is>
          <t>E14-S06</t>
        </is>
      </c>
      <c r="B123" s="39" t="inlineStr">
        <is>
          <t>E14</t>
        </is>
      </c>
      <c r="C123" s="40" t="inlineStr">
        <is>
          <t>RISK ENGINE</t>
        </is>
      </c>
      <c r="D123" s="40" t="inlineStr">
        <is>
          <t>Margin and timing checks (13–14)</t>
        </is>
      </c>
      <c r="E123" s="40" t="inlineStr">
        <is>
          <t>New</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47" t="n"/>
      <c r="R123" s="39" t="n">
        <v>2</v>
      </c>
      <c r="S123" s="48" t="n"/>
      <c r="T123" s="48" t="inlineStr">
        <is>
          <t>1. Live broker margin sufficient for the intended position
2. Enough runway before the per-stock square-off deadline</t>
        </is>
      </c>
      <c r="U123" s="48" t="n"/>
      <c r="V123" s="48" t="n"/>
      <c r="W123" s="49" t="n"/>
    </row>
    <row r="124" ht="30" customHeight="1" s="59">
      <c r="A124" s="38" t="inlineStr">
        <is>
          <t>E14-S07</t>
        </is>
      </c>
      <c r="B124" s="39" t="inlineStr">
        <is>
          <t>E14</t>
        </is>
      </c>
      <c r="C124" s="40" t="inlineStr">
        <is>
          <t>RISK ENGINE</t>
        </is>
      </c>
      <c r="D124" s="40" t="inlineStr">
        <is>
          <t>ATR-based position sizing</t>
        </is>
      </c>
      <c r="E124" s="40" t="inlineStr">
        <is>
          <t>New</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47" t="n"/>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 🔴 Property test: risk never exceeds `risk_pct` for ANY generated input
• 🔴 A surprisingly small position is explainable from the binding constraint</t>
        </is>
      </c>
      <c r="V124" s="48" t="n"/>
      <c r="W124" s="49" t="n"/>
      <c r="X124" s="75" t="inlineStr">
        <is>
          <t>Quantity must round DOWN to lot size, never to nearest, or realised risk exceeds the configured percentage on every round-up. A zero quantity must REJECT, not silently place nothing. Both belong in the property test alongside the risk bound.</t>
        </is>
      </c>
    </row>
    <row r="125" ht="30" customHeight="1" s="59">
      <c r="A125" s="38" t="inlineStr">
        <is>
          <t>E14-S08</t>
        </is>
      </c>
      <c r="B125" s="39" t="inlineStr">
        <is>
          <t>E14</t>
        </is>
      </c>
      <c r="C125" s="40" t="inlineStr">
        <is>
          <t>RISK ENGINE</t>
        </is>
      </c>
      <c r="D125" s="40" t="inlineStr">
        <is>
          <t>Slot management</t>
        </is>
      </c>
      <c r="E125" s="40" t="inlineStr">
        <is>
          <t>New</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n"/>
      <c r="W125" s="49" t="n"/>
    </row>
    <row r="126" ht="30" customHeight="1" s="59">
      <c r="A126" s="38" t="inlineStr">
        <is>
          <t>E14-S09</t>
        </is>
      </c>
      <c r="B126" s="39" t="inlineStr">
        <is>
          <t>E14</t>
        </is>
      </c>
      <c r="C126" s="40" t="inlineStr">
        <is>
          <t>RISK ENGINE</t>
        </is>
      </c>
      <c r="D126" s="40" t="inlineStr">
        <is>
          <t>Kill switch</t>
        </is>
      </c>
      <c r="E126" s="40" t="inlineStr">
        <is>
          <t>New</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n"/>
      <c r="W126" s="49" t="n"/>
      <c r="X126" s="75" t="inlineStr">
        <is>
          <t>'Halts new entries, does NOT auto-liquidate' is correct and unusual — but make sure the SQUARE-OFF TIMER still runs while halted. A kill switch tripped at 14:00 that also stops the exit path leaves positions for the broker to close at 15:20 at whatever price exists. Halting must never disable the exit path.</t>
        </is>
      </c>
    </row>
    <row r="127" ht="30" customHeight="1" s="59">
      <c r="A127" s="38" t="inlineStr">
        <is>
          <t>E15-S01</t>
        </is>
      </c>
      <c r="B127" s="39" t="inlineStr">
        <is>
          <t>E15</t>
        </is>
      </c>
      <c r="C127" s="40" t="inlineStr">
        <is>
          <t>EXECUTION &amp; POSITIONS</t>
        </is>
      </c>
      <c r="D127" s="40" t="inlineStr">
        <is>
          <t>Order gateway</t>
        </is>
      </c>
      <c r="E127" s="40" t="inlineStr">
        <is>
          <t>New</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c r="R127" s="39" t="n">
        <v>5</v>
      </c>
      <c r="S127" s="48" t="n"/>
      <c r="T127" s="48" t="inlineStr">
        <is>
          <t>1. Build `OrderRequest` from `RiskDecision`
2. Attach Algo-ID and market protection
3. Round prices to tick size
4. Single-threaded serialised submission
5. Rate limiter integration</t>
        </is>
      </c>
      <c r="U127" s="48" t="n"/>
      <c r="V127" s="48" t="n"/>
      <c r="W127" s="49" t="n"/>
      <c r="X127" t="inlineStr">
        <is>
          <t>WIRE THE TICK RESOLVER. KiteTradingAdapter takes a tick_size_for callable and REFUSES any priced order when it is absent - fail-closed, so nothing slips through silently, but it means no LIMIT or SL order can be placed until this gateway connects it to the instrument repository (which already holds the per-instrument tick size from E02-S06's sync).
This is the deliberate loose end left by E02: the repository is in scope here and was not there. Until it is wired, every priced order raises OrderRejectedError with reason_code NO_TICK_RESOLVER.</t>
        </is>
      </c>
    </row>
    <row r="128" ht="30" customHeight="1" s="59">
      <c r="A128" s="38" t="inlineStr">
        <is>
          <t>E15-S02</t>
        </is>
      </c>
      <c r="B128" s="39" t="inlineStr">
        <is>
          <t>E15</t>
        </is>
      </c>
      <c r="C128" s="40" t="inlineStr">
        <is>
          <t>EXECUTION &amp; POSITIONS</t>
        </is>
      </c>
      <c r="D128" s="40" t="inlineStr">
        <is>
          <t>Idempotency</t>
        </is>
      </c>
      <c r="E128" s="40" t="inlineStr">
        <is>
          <t>New</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c r="R128" s="39" t="n">
        <v>3</v>
      </c>
      <c r="S128" s="48" t="n"/>
      <c r="T128" s="48" t="inlineStr">
        <is>
          <t>1. `client_order_id = sha256(correlation|symbol|side|intent|date)[:32]`
2. Persist before submission
3. On ambiguous failure: query by client_order_id, never retry</t>
        </is>
      </c>
      <c r="U128" s="48" t="inlineStr">
        <is>
          <t>• 🔴 Chaos test: timeout + reconnect produces exactly one order</t>
        </is>
      </c>
      <c r="V128" s="48" t="n"/>
      <c r="W128" s="49" t="n"/>
      <c r="X128" s="75" t="inlineStr">
        <is>
          <t>The key is sha256(correlation|symbol|side|intent|date) — which is right for idempotency but means a deliberate SECOND entry into the same symbol, same side, same intent, on the same day collides with the first and is silently suppressed. If re-entry after an exit is ever allowed, the key needs a discriminator. Decide now, not after the first suppressed re-entry.</t>
        </is>
      </c>
    </row>
    <row r="129" ht="30" customHeight="1" s="59">
      <c r="A129" s="38" t="inlineStr">
        <is>
          <t>E15-S03</t>
        </is>
      </c>
      <c r="B129" s="39" t="inlineStr">
        <is>
          <t>E15</t>
        </is>
      </c>
      <c r="C129" s="40" t="inlineStr">
        <is>
          <t>EXECUTION &amp; POSITIONS</t>
        </is>
      </c>
      <c r="D129" s="40" t="inlineStr">
        <is>
          <t>Order state machine</t>
        </is>
      </c>
      <c r="E129" s="40" t="inlineStr">
        <is>
          <t>New</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c r="R129" s="39" t="n">
        <v>0</v>
      </c>
      <c r="S129" s="48" t="n"/>
      <c r="T129" s="48" t="n"/>
      <c r="U129" s="48" t="n"/>
      <c r="V129" s="48" t="inlineStr">
        <is>
          <t>Full lifecycle per LOW_LEVEL_ARCHITECTURE §8.2 with illegal transitions rejected.</t>
        </is>
      </c>
      <c r="W129" s="49" t="n"/>
    </row>
    <row r="130" ht="30" customHeight="1" s="59">
      <c r="A130" s="38" t="inlineStr">
        <is>
          <t>E15-S04</t>
        </is>
      </c>
      <c r="B130" s="39" t="inlineStr">
        <is>
          <t>E15</t>
        </is>
      </c>
      <c r="C130" s="40" t="inlineStr">
        <is>
          <t>EXECUTION &amp; POSITIONS</t>
        </is>
      </c>
      <c r="D130" s="40" t="inlineStr">
        <is>
          <t>Protective stop attachment</t>
        </is>
      </c>
      <c r="E130" s="40" t="inlineStr">
        <is>
          <t>New</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 🔴 A position without a live stop cannot persist for more than one cycle</t>
        </is>
      </c>
      <c r="V130" s="48" t="n"/>
      <c r="W130" s="49" t="n"/>
      <c r="X130" s="75" t="inlineStr">
        <is>
          <t>The failure mode to test is the stop being ACCEPTED and then rejected asynchronously, which is not the same as a synchronous placement failure. Verify through the reconciliation loop that a position without a live stop is detected within one cycle even when placement appeared to succeed.</t>
        </is>
      </c>
    </row>
    <row r="131" ht="30" customHeight="1" s="59">
      <c r="A131" s="38" t="inlineStr">
        <is>
          <t>E15-S05</t>
        </is>
      </c>
      <c r="B131" s="39" t="inlineStr">
        <is>
          <t>E15</t>
        </is>
      </c>
      <c r="C131" s="40" t="inlineStr">
        <is>
          <t>EXECUTION &amp; POSITIONS</t>
        </is>
      </c>
      <c r="D131" s="40" t="inlineStr">
        <is>
          <t>Position manager</t>
        </is>
      </c>
      <c r="E131" s="40" t="inlineStr">
        <is>
          <t>New</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c r="R131" s="39" t="n">
        <v>4</v>
      </c>
      <c r="S131" s="48" t="n"/>
      <c r="T131" s="48" t="inlineStr">
        <is>
          <t>1. Track open positions with live P&amp;L
2. MFE/MAE tracking for the journal
3. R-multiple computation
4. Position state in Redis for fast reads</t>
        </is>
      </c>
      <c r="U131" s="48" t="n"/>
      <c r="V131" s="48" t="n"/>
      <c r="W131" s="49" t="n"/>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c r="X132" s="75" t="inlineStr">
        <is>
          <t>TWO issues. (1) A single polling loop for all positions is a single point of failure at the most time-critical moment of the day — if it dies at 14:00, nothing notices until the broker squares off. Monitor its liveness independently. (2) The market order at the deadline MUST carry market_protection (C9) or Zerodha rejects it — exactly when you cannot afford a rejection.</t>
        </is>
      </c>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row>
    <row r="135" ht="30" customHeight="1" s="59">
      <c r="A135" s="38" t="inlineStr">
        <is>
          <t>E15-S09</t>
        </is>
      </c>
      <c r="B135" s="39" t="inlineStr">
        <is>
          <t>E15</t>
        </is>
      </c>
      <c r="C135" s="40" t="inlineStr">
        <is>
          <t>EXECUTION &amp; POSITIONS</t>
        </is>
      </c>
      <c r="D135" s="40" t="inlineStr">
        <is>
          <t>Reconciliation loop</t>
        </is>
      </c>
      <c r="E135" s="40" t="inlineStr">
        <is>
          <t>New</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it is the legal record
4. `RECONCILIATION_DRIFT` audit event per difference
5. Unknown position → kill switch + P0 alert immediately</t>
        </is>
      </c>
      <c r="U135" s="48" t="inlineStr">
        <is>
          <t>• 🔴 An unknown position halts the system within one reconciliation cycle</t>
        </is>
      </c>
      <c r="V135" s="48" t="n"/>
      <c r="W135" s="49" t="n"/>
      <c r="X135" s="75" t="inlineStr">
        <is>
          <t>'Broker state wins' is right. The hazard is that the unknown-position path trips the kill switch, which halts ENTRIES — but an unknown position that is real and unprotected needs more than a halt. Make the P0 alert distinguish 'unknown position exists' from 'system halted': they need different human responses within different timeframes.</t>
        </is>
      </c>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c r="X136" s="75" t="inlineStr">
        <is>
          <t>'Switching paper-&gt;live changes exactly one dependency injection' is a strong claim and deserves a STRUCTURAL test, the way the ReadOnlyGuard test works. Otherwise one stray `if mode == PAPER` in the risk path makes every paper result unrepresentative of live.</t>
        </is>
      </c>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c r="X140" s="75" t="inlineStr">
        <is>
          <t>The 60-second window must start when the message is DELIVERED, not when it is sent. Telegram delivery can lag; a window that expires before you see it makes L3 unusable in practice and will push you to widen the envelope for the wrong reason — to stop the timeouts rather than because the envelope was too tight.</t>
        </is>
      </c>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c r="X144" s="75" t="inlineStr">
        <is>
          <t>ARCHITECTURAL CONFLICT: 'bind to 127.0.0.1 only' is incompatible with reaching the dashboard from a phone, which is how the kill switch (E14-S09, '10 seconds from a phone') and approvals (E16-S03) are meant to work. Decide the access path deliberately — WireGuard, Tailscale or an SSH tunnel — and write it down, because the option that gets chosen under pressure at 14:00 is exposing the port. This is the same network question as E02-S01's callback and E23-S03's egress rules; resolve all three once.</t>
        </is>
      </c>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c r="X146" s="75" t="inlineStr">
        <is>
          <t>A confirm dialog on a phone at speed is exactly where a mis-tap happens. Consider hold-to-confirm rather than a modal, and make sure E14-S09's 10-second requirement is measured INCLUDING the confirmation step, not just the request.</t>
        </is>
      </c>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c r="X154" s="75" t="inlineStr">
        <is>
          <t>'Immutable during an active session' and 'save produces a git commit' interact: a save attempted mid-session must fail BEFORE the commit, not after, or the repository and the running config diverge silently. Also, the re-auth requirement must not be satisfiable by a still-valid session cookie — that is not re-authentication.</t>
        </is>
      </c>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c r="X161" s="75" t="inlineStr">
        <is>
          <t>Use a WEBHOOK, not getUpdates polling. A leaked bot token lets an attacker poll getUpdates and steal your updates out from under the legitimate consumer — including approval callbacks. Also enable Telegram account 2FA with a non-SMS method: a SIM-swap on the Telegram account compromises trade approvals and the kill switch simultaneously.</t>
        </is>
      </c>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c r="X163" s="75" t="inlineStr">
        <is>
          <t>Inline-button callback data must be validated. An attacker able to invoke your bot's callback with a crafted payload could approve a trade. Sign or nonce the callback data and bind it to one specific pending approval, so a replayed or forged callback is rejected.</t>
        </is>
      </c>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c r="X168" s="75" t="inlineStr">
        <is>
          <t>'Degraded latency steps the interval DOWN, never up' is ambiguous and getting it backwards is catastrophic. Confirm 'down' means LESS FREQUENT (a longer interval). The system must slow down when it is struggling, never speed up.</t>
        </is>
      </c>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New</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c r="R173" s="39" t="n">
        <v>0</v>
      </c>
      <c r="S173" s="48" t="n"/>
      <c r="T173" s="48" t="n"/>
      <c r="U173" s="48" t="n"/>
      <c r="V173" s="48" t="inlineStr">
        <is>
          <t>Attach per the confirmed mechanic; verify present on every order.</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c r="X175" s="75" t="inlineStr">
        <is>
          <t>Contract notes arrive T+1, so same-day reconciliation compares against an ESTIMATE, not the note. Make the estimate/actual distinction explicit in the schema, or the tax figures silently inherit an estimate that was never corrected.</t>
        </is>
      </c>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c r="X176" s="75" t="inlineStr">
        <is>
          <t>The stated definition (absolute sum of profits and losses) is the INTRADAY/speculative one. If the system ever holds overnight, delivery turnover is computed differently (sale value). Guard the assumption explicitly, or the ITR figure is wrong the first time a position is carried.</t>
        </is>
      </c>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c r="X183" s="75" t="inlineStr">
        <is>
          <t>The replay is only as good as what was archived. Tick archival (E03-S06) is scheduled in Phase 6 and this in Phase 7 — but if archival starts late there is no history to replay and the harness has nothing to run against for months. Start archiving well before you need to replay.</t>
        </is>
      </c>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c r="X191" s="75" t="inlineStr">
        <is>
          <t>'Verify core has no internet access, by attempt' is the right test. Note the tension with E02-S01's auth callback and E17-S01's dashboard access — both want inbound reachability. Resolve the network design ONCE here rather than three times in three stories, or the answers will disagree.</t>
        </is>
      </c>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c r="X195" s="75" t="inlineStr">
        <is>
          <t>The Vault provider currently raises NotImplementedError, which fails closed correctly. Preserve that property when implementing: an unavailable secrets backend must STOP startup, never silently fall back to environment variables — which is precisely what would happen under pressure if the fallback exists.</t>
        </is>
      </c>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row r="198">
      <c r="A198" s="77" t="inlineStr">
        <is>
          <t>E00-S11</t>
        </is>
      </c>
      <c r="B198" s="48" t="inlineStr">
        <is>
          <t>E00</t>
        </is>
      </c>
      <c r="C198" s="48" t="inlineStr">
        <is>
          <t>FOUNDATION</t>
        </is>
      </c>
      <c r="D198" s="48" t="inlineStr">
        <is>
          <t>Strategy primitive evaluators and tri-state runtime</t>
        </is>
      </c>
      <c r="E198" s="48" t="inlineStr">
        <is>
          <t>QA-Success</t>
        </is>
      </c>
      <c r="F198" s="78" t="inlineStr">
        <is>
          <t>P0</t>
        </is>
      </c>
      <c r="G198" s="48" t="inlineStr">
        <is>
          <t>0</t>
        </is>
      </c>
      <c r="H198" s="79" t="inlineStr">
        <is>
          <t>Safety-critical</t>
        </is>
      </c>
      <c r="I198" s="48" t="inlineStr">
        <is>
          <t>FEAT</t>
        </is>
      </c>
      <c r="J198" s="80" t="n">
        <v>4</v>
      </c>
      <c r="K198" s="48" t="inlineStr">
        <is>
          <t>E00-S08, E06-S04</t>
        </is>
      </c>
      <c r="L198" s="48" t="inlineStr">
        <is>
          <t>-</t>
        </is>
      </c>
    </row>
    <row r="199">
      <c r="A199" s="77" t="inlineStr">
        <is>
          <t>E22-S00</t>
        </is>
      </c>
      <c r="B199" s="48" t="inlineStr">
        <is>
          <t>E22</t>
        </is>
      </c>
      <c r="C199" s="48" t="inlineStr">
        <is>
          <t>TESTING &amp; VALIDATION</t>
        </is>
      </c>
      <c r="D199" s="48" t="inlineStr">
        <is>
          <t>Mutation testing harness for the safety-critical paths</t>
        </is>
      </c>
      <c r="E199" s="48" t="inlineStr">
        <is>
          <t>QA-Success</t>
        </is>
      </c>
      <c r="F199" s="78" t="inlineStr">
        <is>
          <t>P1</t>
        </is>
      </c>
      <c r="G199" s="48" t="inlineStr">
        <is>
          <t>7</t>
        </is>
      </c>
      <c r="H199" s="79" t="inlineStr">
        <is>
          <t>Safety-critical</t>
        </is>
      </c>
      <c r="I199" s="48" t="inlineStr">
        <is>
          <t>INFRA</t>
        </is>
      </c>
      <c r="J199" s="80" t="n">
        <v>1</v>
      </c>
      <c r="K199" s="48" t="inlineStr">
        <is>
          <t>-</t>
        </is>
      </c>
      <c r="L199" s="48" t="inlineStr">
        <is>
          <t>-</t>
        </is>
      </c>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150" customHeight="1" s="59">
      <c r="A5" s="38" t="inlineStr">
        <is>
          <t>B1</t>
        </is>
      </c>
      <c r="B5" s="48" t="inlineStr">
        <is>
          <t>Algo-ID attachment mechanic unconfirmed</t>
        </is>
      </c>
      <c r="C5" s="48" t="inlineStr">
        <is>
          <t>E02-S04, E21-S01</t>
        </is>
      </c>
      <c r="D5" s="48" t="inlineStr">
        <is>
          <t>Research resolved the mechanic. Under SEBI's Feb 2025 circular (effective 1 Apr 2026) a self-developed personal algo under 10 OPS needs no separate exchange registration and the broker handles Strategy-ID tagging. Every algo order must carry an exchange-issued unique identifier, which the broker assigns during registration (format e.g. ALGO_XX_001). The process for a self-developed algo is a plain-English description of the strategy to the broker's compliance desk plus a mandatory mock trading session, usually on a Saturday, to show the algo does not loop or spam. Code already sends algo_id only when configured, which is the right shape. What remains is paperwork with Zerodha and needs your account.</t>
        </is>
      </c>
      <c r="E5" s="40" t="inlineStr">
        <is>
          <t>Active - mechanic understood, registration needs you</t>
        </is>
      </c>
      <c r="F5" s="44" t="inlineStr">
        <is>
          <t>Self</t>
        </is>
      </c>
      <c r="G5" s="46" t="n"/>
      <c r="H5" s="49" t="inlineStr">
        <is>
          <t>NARROWED Aug 2026 from a design question to a one-line email.
SEBI's framework: retail traders may run their own algorithms on their own account, and under 10 orders/sec no separate exchange registration is needed - the BROKER handles the Strategy ID tagging. Zerodha's own compliance thread covers static IP, the 10 OPS cap and market protection in detail and never mentions algo_id at all.
Working assumption: leave algo_id unset and Zerodha tags it. The code already reflects this - it is sent only when configured, and an empty value means let-the-broker-tag-it, not forgot. BrokerConfig.algo_id being optional was already correct.
This is inference from absence, so it still wants one confirmation before live. Not a design blocker.</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150" customHeight="1" s="59">
      <c r="A7" s="38" t="inlineStr">
        <is>
          <t>B3</t>
        </is>
      </c>
      <c r="B7" s="48" t="inlineStr">
        <is>
          <t>NSE holiday list incomplete</t>
        </is>
      </c>
      <c r="C7" s="48" t="inlineStr">
        <is>
          <t>E04-S07, all scheduling</t>
        </is>
      </c>
      <c r="D7" s="48" t="inlineStr">
        <is>
          <t>Full 2026 NSE holiday list transcribed and cross-checked against THREE independent publications of the circular, because the first two disagreed: one omitted 24 Nov (Guru Nanak Jayanti), the other omitted 15 Jan (Maharashtra municipal elections - a separate special closure rather than part of the annual circular). Both are real; both are included. 19 dates, verified_against_nse_circular: true, yielding 245 trading days in 2026. Muhurat trading (Sun 8 Nov) recorded as a special session with trade: false - it is a real session on a SUNDAY, so anything reasoning 'weekend implies closed' is wrong on that date. Also added: the calendar now REFUSES to answer for a year the file does not cover, because a 2026-only list would make 2027 look like a year with no holidays at all.</t>
        </is>
      </c>
      <c r="E7" s="40" t="inlineStr">
        <is>
          <t>RESOLVED 24 Aug 2026</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Closed</t>
        </is>
      </c>
      <c r="F8" s="44" t="inlineStr">
        <is>
          <t>Self</t>
        </is>
      </c>
      <c r="G8" s="46" t="n"/>
      <c r="H8" s="49" t="inlineStr">
        <is>
          <t>RESOLVED Aug 2026 by checking Zerodha's own pricing page rather than the working assumption.
Kite Connect was restructured. The Personal tier is FREE - order management, GTT, alerts, margins, portfolio - but carries NO data at all, so it cannot feed this system. Connect at Rs.500/month per app adds real-time data over WebSocket AND historical candle data.
There is no separate historical add-on any more. Total cost for what this system needs is Rs.500/month, not the Rs.500 + Rs.2000 the design documents assumed. broker/profiles.py updated: historical_data_extra_cost is now False.
ACTION: subscribe. It is the cheapest item on the critical path and it unblocks E03-S03 and all of E05.</t>
        </is>
      </c>
    </row>
    <row r="9" ht="150" customHeight="1" s="59">
      <c r="A9" s="38" t="inlineStr">
        <is>
          <t>B5</t>
        </is>
      </c>
      <c r="B9" s="48" t="inlineStr">
        <is>
          <t>Daily login mechanism untested</t>
        </is>
      </c>
      <c r="C9" s="48" t="inlineStr">
        <is>
          <t>E02-S01</t>
        </is>
      </c>
      <c r="D9" s="48" t="inlineStr">
        <is>
          <t>Unchanged and genuinely blocked on you: the daily re-auth flow cannot be exercised without a real Kite account. The code path is built and unit-tested against a fake client; what is untested is the live phone-to-callback round trip.</t>
        </is>
      </c>
      <c r="E9" s="40" t="inlineStr">
        <is>
          <t>Active - needs your credentials</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150" customHeight="1" s="59">
      <c r="A10" s="38" t="inlineStr">
        <is>
          <t>B6</t>
        </is>
      </c>
      <c r="B10" s="48" t="inlineStr">
        <is>
          <t>Static IP not procured</t>
        </is>
      </c>
      <c r="C10" s="48" t="inlineStr">
        <is>
          <t>E23-S02, all live trading</t>
        </is>
      </c>
      <c r="D10" s="48" t="inlineStr">
        <is>
          <t>Confirmed from Zerodha's own developer forum: the static IP applies to ORDER ENDPOINTS ONLY. WebSocket market data, order book, positions and every other endpoint remain accessible from any IP - so E03/E04/E05/E06 and all strategy work need no static IP. Registration is live at developers.kite.trade under 'IP Whitelist'; ONE IP per app; orders from an unregistered IP are rejected outright. Also confirmed there: 10 OPS is account-wide across all apps for a client ID (we cap at 5), market protection of 0 is rejected including for SL-M, and order slicing is capped at 10 slices. Only the procurement itself needs you.</t>
        </is>
      </c>
      <c r="E10" s="40" t="inlineStr">
        <is>
          <t>Active - research complete, procurement needs you</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
CONFIRMED Aug 2026 from Zerodha: all order requests from an unregistered IP will be rejected. Whitelist at the developer console, Profile, IP Whitelist; up to two IPs (one primary mandatory, one optional secondary); shareable only with immediate family.
IMPORTANT AND USEFUL: validation applies to ORDER endpoints only. Quotes, historical data and the WebSocket work from anywhere - so ALL of E03, E04, E05 and E06 can be built and tested before the VPS exists. Only order placement is gated.</t>
        </is>
      </c>
    </row>
    <row r="11" ht="210" customHeight="1" s="59">
      <c r="A11" s="77" t="inlineStr">
        <is>
          <t>B7</t>
        </is>
      </c>
      <c r="B11" s="48" t="inlineStr">
        <is>
          <t>kiteconnect pins a vulnerable autobahn (CVE-2020-35678)</t>
        </is>
      </c>
      <c r="C11" s="48" t="inlineStr">
        <is>
          <t>E02-S03 WebSocket ticker, all live market data</t>
        </is>
      </c>
      <c r="D11" s="48" t="inlineStr">
        <is>
          <t>CLOSED. No environment we build contains the vulnerable autobahn, and CI asserts that from inside its own runner rather than being told so.
HOW, and this is the part the first attempt got wrong: a floor of autobahn&gt;=20.12.3 in pyproject.toml is UNSATISFIABLE. kiteconnect's ==19.11.2 is a hard pin, so pip fails with ResolutionImpossible rather than warning, and every CI job broke for two commits. It passed locally only because the package had been force-installed over an already-resolved environment - the environment being verified was one that pip install could never produce.
The pin is DECLARATIVE, not a runtime requirement, so resolution runs first and the package is then replaced:
    pip install -c constraints.txt -e ".[dev]"
    pip install --no-deps --upgrade "autobahn==26.7.1"
applied in all three CI install jobs, ops/Dockerfile and `make install`.
EVIDENCE: tests/security/test_dependency_hygiene.py runs inside CI's Security job (pytest tests/security/) and asserts, without skipping, that the INSTALLED autobahn is &gt;= 20.12.3, that kiteconnect still imports under it, and that market_protection and algo_id survive on place_order. DEV 0acab9b and QA 24ae953 are green on all five jobs. pip-audit reports zero known vulnerabilities and is a hard gate.</t>
        </is>
      </c>
      <c r="E11" s="48" t="inlineStr">
        <is>
          <t>CLOSED 24 Aug 2026 - verified in CI</t>
        </is>
      </c>
      <c r="F11" s="49" t="inlineStr">
        <is>
          <t>Self</t>
        </is>
      </c>
      <c r="G11" s="81" t="inlineStr">
        <is>
          <t>None</t>
        </is>
      </c>
      <c r="H11" s="49" t="inlineStr">
        <is>
          <t>RE-SCOPED Aug 2026 - there is a real way out, and it removes a second problem at the same time.
kiteconnect 5.2.1 (July 2026, the latest) STILL pins autobahn[twisted]==19.11.2. Upstream has not fixed it and will not on our schedule.
BUT the Kite WebSocket protocol is fully documented - endpoint wss://ws.kite.trade, JSON subscribe messages, and byte-level packet layouts for ltp (8B), quote (44B) and full (184B). So E05-S01 can be built on the websockets library instead of KiteTicker. That makes the vulnerable autobahn code UNREACHABLE (never imported) and simultaneously removes the Twisted-to-asyncio bridging problem E05-S01 was carrying.
Honest caveat: autobahn stays INSTALLED, because kiteconnect hard-depends on it, so pip-audit will keep flagging it. The defensible position is installed-but-unreachable, provable with a test asserting autobahn is not in sys.modules after importing the app.
KiteMarketDataAdapter.subscribe() already raises NotImplementedError naming this decision, so nobody wires up the vulnerable path by reflex.</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row r="13" ht="150" customHeight="1" s="59">
      <c r="A13" s="38" t="inlineStr">
        <is>
          <t>B8</t>
        </is>
      </c>
      <c r="B13" s="48" t="inlineStr">
        <is>
          <t>NSE blocks programmatic access to its public data</t>
        </is>
      </c>
      <c r="C13" s="48" t="inlineStr">
        <is>
          <t>E04 (all 7 stories), E03-S01, E03-S02 feed</t>
        </is>
      </c>
      <c r="D13" s="48" t="inlineStr">
        <is>
          <t>What NSE blocks is OVERSEAS access, not programmatic access as such: its edge refuses non-Indian IPs and its robots policy excludes crawlers, but a polite client on an Indian host carrying the session cookie its own site issues is an ordinary visitor. Community libraries (nsepython, NseIndiaApi at 3 req/s) work on Indian servers. This collapses B8 into B6: SEBI already requires an India-hosted static IP for the order path, and the same host answers the data question. Built scripts/check_data_reachability.py so the answer is one command on the day there is a host - read-only, no credentials, safe during market hours. Run from THIS machine it already reaches 4 of 6 sources including Kite instruments and NSE marketStatus.</t>
        </is>
      </c>
      <c r="E13" s="40" t="inlineStr">
        <is>
          <t>Narrowed - same fix as B6</t>
        </is>
      </c>
      <c r="F13" s="44" t="inlineStr">
        <is>
          <t>Self</t>
        </is>
      </c>
      <c r="G13" s="44" t="n"/>
      <c r="H13" s="49" t="inlineStr">
        <is>
          <t>FOUND Aug 2026 during next-steps research. NSE actively blocks scripted access to its website, and in 2025 NSE and BSE restricted website access for overseas users entirely.
SCOPE - this affects DAILY REFERENCE DATA, not live market data. Live ticks and historical candles come from Kite Connect, an authenticated commercial API, and are completely unaffected. What is affected is the 05:30 fetch of ASM/GSM, T2T, F&amp;O ban, circuit bands, CAS scope, the earnings calendar, bhavcopy and corporate actions - all of which come from NSE's public site.
It is a fetch-RELIABILITY problem, not a wall. The data is public; the difficulty is that the site is hostile to automation and changes shape without notice. Kite's instrument dump does NOT help - it carries token, symbol, tick size, lot size and segment, with no series, ASM, GSM, T2T or ban field (verified against the API docs).
MITIGATIONS: jugaad-data (actively maintained, with caching specifically to avoid being blocked); nsefin for corporate actions, which is also E03-S02's missing feed; BSE as a fallback since ~90% of NSE equities are dual-listed; Zerodha's consolidated scrip sheet as a cross-check only (no SLA). The India-hosted VPS already required by constraint C1 sidesteps the geo-restriction.
WHY IT IS SURVIVABLE: the fetch runs at 05:30, hours before the open, so a failure has a long runway for a retry, a fallback source or a manual override. E04-S01's acceptance criterion already says a fetch failure blocks the trading day rather than proceeding blind - the right posture: a bad fetch costs a trading day, not money.
ACTION: spend an hour proving NSE reachability from the target environment before writing fetchers. That assumption sits under 8 stories and roughly 10 days of work.</t>
        </is>
      </c>
    </row>
    <row r="14" ht="250" customHeight="1" s="59">
      <c r="A14" s="77" t="inlineStr">
        <is>
          <t>B9</t>
        </is>
      </c>
      <c r="B14" s="48" t="inlineStr">
        <is>
          <t>kiteconnect runs against an autobahn it does not declare support for</t>
        </is>
      </c>
      <c r="C14" s="48" t="inlineStr">
        <is>
          <t>Nothing today. A future kiteconnect release could.</t>
        </is>
      </c>
      <c r="D14" s="48" t="inlineStr">
        <is>
          <t>Registered as its own row rather than folded into B7, because it is a different risk with a different resolution. B7 was 'a vulnerable package is present'. This is 'we run an undeclared combination'.
`pip check` reports it plainly: kiteconnect 5.2.1 has requirement autobahn[twisted]==19.11.2, but you have autobahn 26.7.1. Two consequences:
  1. Only kiteconnect.ticker imports autobahn, and we never construct a KiteTicker - the live feed is built on `websockets` against the documented binary protocol. So nothing we call depends on the pinned API.
  2. --no-deps means autobahn 26.7.1's own dependencies are not pulled by that step. They are satisfied in practice - CI imports kiteconnect successfully, which transitively imports autobahn.twisted.websocket - but that is an observed property of the environment rather than a declared one.
WATCHED BY: test_kiteconnect_still_imports_under_the_replacement and test_the_order_parameters_we_depend_on_survive. If a future kiteconnect genuinely needs 19.11.2's API, those fail rather than an order being rejected at the exchange.
RESOLVES PERMANENTLY when kiteconnect relaxes its pin, or when the REST client is replaced - we use it for KiteConnect and kiteconnect.exceptions only, and it is a thin requests wrapper. Not worth doing for this reason alone.</t>
        </is>
      </c>
      <c r="E14" s="48" t="inlineStr">
        <is>
          <t>Accepted risk - watched by tests</t>
        </is>
      </c>
      <c r="F14" s="49" t="inlineStr">
        <is>
          <t>Self</t>
        </is>
      </c>
      <c r="G14" s="81" t="inlineStr"/>
      <c r="H14" s="49" t="inlineStr">
        <is>
          <t>Opened 24 Aug 2026, as the residual of closing B7. Reviewed whenever kiteconnect is upgraded.</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68"/>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4">
      <c r="A4" s="82" t="inlineStr">
        <is>
          <t>QA ID</t>
        </is>
      </c>
      <c r="B4" s="82" t="inlineStr">
        <is>
          <t>Story</t>
        </is>
      </c>
      <c r="C4" s="82" t="inlineStr">
        <is>
          <t>Area</t>
        </is>
      </c>
      <c r="D4" s="82" t="inlineStr">
        <is>
          <t>Result</t>
        </is>
      </c>
      <c r="E4" s="82" t="inlineStr">
        <is>
          <t>What was verified</t>
        </is>
      </c>
      <c r="F4" s="82" t="inlineStr">
        <is>
          <t>Evidence</t>
        </is>
      </c>
      <c r="G4" s="82" t="inlineStr">
        <is>
          <t>Test file</t>
        </is>
      </c>
      <c r="I4" s="83" t="inlineStr">
        <is>
          <t>Result</t>
        </is>
      </c>
      <c r="J4" s="83"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30</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11</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row r="36">
      <c r="A36" s="65" t="inlineStr">
        <is>
          <t>QA-E02-01</t>
        </is>
      </c>
      <c r="B36" s="65" t="inlineStr">
        <is>
          <t>E02-S04</t>
        </is>
      </c>
      <c r="C36" s="65" t="inlineStr">
        <is>
          <t>Orderbook vs foreign order types</t>
        </is>
      </c>
      <c r="D36" s="66" t="inlineStr">
        <is>
          <t>FAIL -&gt; FIXED</t>
        </is>
      </c>
      <c r="E36" s="67" t="inlineStr">
        <is>
          <t>fetch_orderbook indexed private mapping dicts directly, so an order type this system does not model raised a bare KeyError - not in the broker taxonomy, so nothing caught it - and killed the WHOLE read. fetch_orderbook is what the 30-second reconciliation loop calls, so ONE iceberg order placed by hand in the Kite app made reconciliation return nothing at all: every other order invisible, including a genuinely unknown position, which is the condition the kill switch exists for. A personal account is also traded by a human, so foreign order types are normal here.</t>
        </is>
      </c>
      <c r="F36" s="67" t="inlineStr">
        <is>
          <t>Safe accessors raise MappingError; fetch_orderbook skips and logs at ERROR; new fetch_raw_orders() returns untouched dicts so reconciliation can still diff on identity, which needs no enum mapping</t>
        </is>
      </c>
      <c r="G36" s="67" t="inlineStr">
        <is>
          <t>test_broker_kite.py</t>
        </is>
      </c>
    </row>
    <row r="37">
      <c r="A37" s="65" t="inlineStr">
        <is>
          <t>QA-E02-02</t>
        </is>
      </c>
      <c r="B37" s="65" t="inlineStr">
        <is>
          <t>E02-S04</t>
        </is>
      </c>
      <c r="C37" s="65" t="inlineStr">
        <is>
          <t>Duplicate tag in the recovery path</t>
        </is>
      </c>
      <c r="D37" s="66" t="inlineStr">
        <is>
          <t>FAIL -&gt; FIXED</t>
        </is>
      </c>
      <c r="E37" s="67" t="inlineStr">
        <is>
          <t>find_by_client_order_id returned the FIRST row carrying our tag. Probed with a stale REJECTED order sitting ahead of the live OPEN one, it returned the rejected one - which after an ambiguous failure reads as "not placed" and invites a second submission on top of a real position.</t>
        </is>
      </c>
      <c r="F37" s="67" t="inlineStr">
        <is>
          <t>Two or more matches now raise DuplicateBrokerOrderError naming both broker order ids. A duplicate is the failure idempotency exists to prevent and must never be resolved by picking one.</t>
        </is>
      </c>
      <c r="G37" s="67" t="inlineStr">
        <is>
          <t>test_broker_kite.py, test_e02_end_to_end.py</t>
        </is>
      </c>
    </row>
    <row r="38">
      <c r="A38" s="65" t="inlineStr">
        <is>
          <t>QA-E02-03</t>
        </is>
      </c>
      <c r="B38" s="65" t="inlineStr">
        <is>
          <t>E02-S05</t>
        </is>
      </c>
      <c r="C38" s="65" t="inlineStr">
        <is>
          <t>Rate limiter wired into the real order path</t>
        </is>
      </c>
      <c r="D38" s="66" t="inlineStr">
        <is>
          <t>PASS</t>
        </is>
      </c>
      <c r="E38" s="67" t="inlineStr">
        <is>
          <t>Not the limiter in isolation - the limiter as place_order actually uses it. 60 concurrent orders capped at burst + rate x elapsed; a refused order verified never to reach the broker; 10 orderbook reads verified not to consume the order budget.</t>
        </is>
      </c>
      <c r="F38" s="67" t="inlineStr">
        <is>
          <t>reads cannot starve an exit order</t>
        </is>
      </c>
      <c r="G38" s="67" t="inlineStr">
        <is>
          <t>test_e02_end_to_end.py</t>
        </is>
      </c>
    </row>
    <row r="39">
      <c r="A39" s="65" t="inlineStr">
        <is>
          <t>QA-E02-04</t>
        </is>
      </c>
      <c r="B39" s="65" t="inlineStr">
        <is>
          <t>E02-S01</t>
        </is>
      </c>
      <c r="C39" s="65" t="inlineStr">
        <is>
          <t>Ambiguous failure -&gt; recovery loop</t>
        </is>
      </c>
      <c r="D39" s="66" t="inlineStr">
        <is>
          <t>PASS</t>
        </is>
      </c>
      <c r="E39" s="67" t="inlineStr">
        <is>
          <t>End to end with a broker that accepts the order and THEN drops the connection. Recovery finds exactly one order by tag; repeated recovery calls place nothing; a genuinely absent order reports absent (which is what authorises a resubmission); a foreign order in the book does not break the lookup.</t>
        </is>
      </c>
      <c r="F39" s="67" t="inlineStr">
        <is>
          <t>exactly one order at the broker after timeout + recovery</t>
        </is>
      </c>
      <c r="G39" s="67" t="inlineStr">
        <is>
          <t>test_e02_end_to_end.py</t>
        </is>
      </c>
    </row>
    <row r="40">
      <c r="A40" s="65" t="inlineStr">
        <is>
          <t>QA-E02-05</t>
        </is>
      </c>
      <c r="B40" s="65" t="inlineStr">
        <is>
          <t>E02-S06</t>
        </is>
      </c>
      <c r="C40" s="65" t="inlineStr">
        <is>
          <t>Instrument sync against the real repository</t>
        </is>
      </c>
      <c r="D40" s="66" t="inlineStr">
        <is>
          <t>PASS</t>
        </is>
      </c>
      <c r="E40" s="67" t="inlineStr">
        <is>
          <t>Dump lands in Postgres and the symbol resolves afterwards; a re-run updates in place rather than duplicating; a non-standard 0.01 tick survives the round trip and a price rounded for it is verified on-grid.</t>
        </is>
      </c>
      <c r="F40" s="67" t="inlineStr">
        <is>
          <t>full path: dump -&gt; stored tick -&gt; side-aware rounding -&gt; valid price</t>
        </is>
      </c>
      <c r="G40" s="67" t="inlineStr">
        <is>
          <t>test_e02_end_to_end.py</t>
        </is>
      </c>
    </row>
    <row r="41">
      <c r="A41" s="65" t="inlineStr">
        <is>
          <t>QA-E02-06</t>
        </is>
      </c>
      <c r="B41" s="65" t="inlineStr">
        <is>
          <t>cross</t>
        </is>
      </c>
      <c r="C41" s="65" t="inlineStr">
        <is>
          <t>Test isolation</t>
        </is>
      </c>
      <c r="D41" s="66" t="inlineStr">
        <is>
          <t>FAIL -&gt; FIXED</t>
        </is>
      </c>
      <c r="E41" s="67" t="inlineStr">
        <is>
          <t>My E2E fixture cleared the instruments table for a clean count. It passed alone and failed in the full suite: other tests hang bars and positions off those rows, so the DELETE hit a foreign key. Wiping a shared table to make an assertion convenient is the wrong trade.</t>
        </is>
      </c>
      <c r="F41" s="67" t="inlineStr">
        <is>
          <t>Tests now use their own E02X symbol prefix and assert only on that, so they hold regardless of suite order</t>
        </is>
      </c>
      <c r="G41" s="67" t="inlineStr">
        <is>
          <t>test_e02_end_to_end.py</t>
        </is>
      </c>
    </row>
    <row r="42">
      <c r="A42" s="65" t="inlineStr">
        <is>
          <t>QA-E02-07</t>
        </is>
      </c>
      <c r="B42" s="65" t="inlineStr">
        <is>
          <t>E02-S06</t>
        </is>
      </c>
      <c r="C42" s="65" t="inlineStr">
        <is>
          <t>ACC: limit price always snapped to tick</t>
        </is>
      </c>
      <c r="D42" s="66" t="inlineStr">
        <is>
          <t>FAIL -&gt; FIXED</t>
        </is>
      </c>
      <c r="E42" s="67" t="inlineStr">
        <is>
          <t>E02-S06's acceptance criterion is that a limit price is ALWAYS snapped to a valid tick before submission. round_to_tick existed, was correct, and was thoroughly unit-tested - and was never called in the order path. _build_params passed request.limit_price straight through.</t>
        </is>
      </c>
      <c r="F42" s="67" t="inlineStr">
        <is>
          <t>A stop derived from ATR is essentially never on a 0.05 grid by accident, so the exchange would have rejected every computed stop. The helper passing its own tests is precisely why this went unnoticed.</t>
        </is>
      </c>
      <c r="G42" s="67" t="inlineStr">
        <is>
          <t>test_broker_hardening.py</t>
        </is>
      </c>
    </row>
    <row r="43">
      <c r="A43" s="65" t="inlineStr">
        <is>
          <t>QA-E02-08</t>
        </is>
      </c>
      <c r="B43" s="65" t="inlineStr">
        <is>
          <t>E02-S01</t>
        </is>
      </c>
      <c r="C43" s="65" t="inlineStr">
        <is>
          <t>ACC: the flow must be completable</t>
        </is>
      </c>
      <c r="D43" s="66" t="inlineStr">
        <is>
          <t>FAIL -&gt; FIXED</t>
        </is>
      </c>
      <c r="E43" s="67" t="inlineStr">
        <is>
          <t>Nothing in the package constructed an authenticated KiteConnect client. Every piece of E02 existed and the flow could not actually be run - a gap no unit test can surface, because each unit passes.</t>
        </is>
      </c>
      <c r="F43" s="67" t="inlineStr">
        <is>
          <t>Added session.py: build_client() and exchange_request_token(), completing the redirect login. The raw token is revealed at exactly two points, both handing it straight to the SDK, and a test asserts the reveal sites stay at three or fewer.</t>
        </is>
      </c>
      <c r="G43" s="67" t="inlineStr">
        <is>
          <t>test_broker_hardening.py</t>
        </is>
      </c>
    </row>
    <row r="44">
      <c r="A44" s="67" t="inlineStr">
        <is>
          <t>QA-E02-09</t>
        </is>
      </c>
      <c r="B44" s="67" t="inlineStr">
        <is>
          <t>E02-S04</t>
        </is>
      </c>
      <c r="C44" s="67" t="inlineStr">
        <is>
          <t>BA: acceptance criteria re-checked against code</t>
        </is>
      </c>
      <c r="D44" s="66" t="inlineStr">
        <is>
          <t>PASS</t>
        </is>
      </c>
      <c r="E44" s="67" t="inlineStr">
        <is>
          <t>Re-read every E02 acceptance criterion against the built code rather than against intent. Verified: no retry loop anywhere in the mutating path; the access token absent from every logged form including exc_info tracebacks; market protection impossible to omit or zero.</t>
        </is>
      </c>
      <c r="F44" s="67" t="inlineStr">
        <is>
          <t>two criteria were NOT met and are logged above as QA-E02-07 and QA-E02-08</t>
        </is>
      </c>
      <c r="G44" s="67" t="inlineStr">
        <is>
          <t>test_broker_security.py</t>
        </is>
      </c>
    </row>
    <row r="45" ht="86" customHeight="1" s="59">
      <c r="A45" s="67" t="inlineStr">
        <is>
          <t>QA-AUD-01</t>
        </is>
      </c>
      <c r="B45" s="67" t="inlineStr">
        <is>
          <t>E05/E06</t>
        </is>
      </c>
      <c r="C45" s="67" t="inlineStr">
        <is>
          <t>Architecture: does anything compose the components?</t>
        </is>
      </c>
      <c r="D45" s="66" t="inlineStr">
        <is>
          <t>FAIL (on plan)</t>
        </is>
      </c>
      <c r="E45" s="67" t="inlineStr">
        <is>
          <t>Measured, not read: six service packages (orchestrator, signals, execution, premarket, api, notifier) are 1 line each - __init__.py only. No module in src/ imports both algotrader.ingest and algotrader.indicators. Zero production callers for set_atr_pct, set_circuit, MultiTimeframeBuilder, CleaningPipeline, QuotePublisher or warm_up_symbols.</t>
        </is>
      </c>
      <c r="F45" s="67" t="inlineStr">
        <is>
          <t>~7,000 lines of tested components with no assembly. Expected at this point - E07 is the orchestrator - but it means no test so far is an end-to-end test of the SYSTEM. Recorded so the gap is explicit rather than assumed.</t>
        </is>
      </c>
      <c r="G45" s="67" t="inlineStr">
        <is>
          <t>grep over src/</t>
        </is>
      </c>
      <c r="H45" s="76" t="n"/>
      <c r="I45" s="76" t="n"/>
      <c r="J45" s="76" t="n"/>
    </row>
    <row r="46" ht="86" customHeight="1" s="59">
      <c r="A46" s="67" t="inlineStr">
        <is>
          <t>QA-AUD-02</t>
        </is>
      </c>
      <c r="B46" s="67" t="inlineStr">
        <is>
          <t>E05/E06</t>
        </is>
      </c>
      <c r="C46" s="67" t="inlineStr">
        <is>
          <t>Architecture: the ingest/indicator dependency cycle</t>
        </is>
      </c>
      <c r="D46" s="66" t="inlineStr">
        <is>
          <t>PASS (documented)</t>
        </is>
      </c>
      <c r="E46" s="67" t="inlineStr">
        <is>
          <t>OutlierFilter needs ATR (E06) &lt;- needs bars (E05) &lt;- needs cleaned ticks &lt;- needs OutlierFilter. Reads as an unbreakable runtime loop.</t>
        </is>
      </c>
      <c r="F46" s="67" t="inlineStr">
        <is>
          <t>It is not a loop: the ATR that matters is the PREVIOUS session's, loaded from ohlcv at warm-up before the feed connects. The hazard is the wiring, not the design - feeding it live bars would widen the threshold in response to the very outliers it rejects, each bad print raising ATR and each raised ATR admitting a worse one. Now stated in CleaningPipeline's docstring where the wiring will be written.</t>
        </is>
      </c>
      <c r="G46" s="67" t="inlineStr">
        <is>
          <t>cleaning.py CleaningPipeline docstring</t>
        </is>
      </c>
      <c r="H46" s="76" t="n"/>
      <c r="I46" s="76" t="n"/>
      <c r="J46" s="76" t="n"/>
    </row>
    <row r="47" ht="86" customHeight="1" s="59">
      <c r="A47" s="67" t="inlineStr">
        <is>
          <t>QA-AUD-03</t>
        </is>
      </c>
      <c r="B47" s="67" t="inlineStr">
        <is>
          <t>E06-S01</t>
        </is>
      </c>
      <c r="C47" s="67" t="inlineStr">
        <is>
          <t>BA: performance criterion measured, not assumed</t>
        </is>
      </c>
      <c r="D47" s="66" t="inlineStr">
        <is>
          <t>PASS</t>
        </is>
      </c>
      <c r="E47" s="67" t="inlineStr">
        <is>
          <t>Budget is 50ms for a full indicator update cycle. Measured 3.9ms for 1200 indicator sets - 12x under budget.</t>
        </is>
      </c>
      <c r="F47" s="67" t="inlineStr">
        <is>
          <t>The criterion was written as a target and had never been measured against real volume.</t>
        </is>
      </c>
      <c r="G47" s="67" t="inlineStr">
        <is>
          <t>audit probe, 1200 sets</t>
        </is>
      </c>
      <c r="H47" s="76" t="n"/>
      <c r="I47" s="76" t="n"/>
      <c r="J47" s="76" t="n"/>
    </row>
    <row r="48" ht="86" customHeight="1" s="59">
      <c r="A48" s="67" t="inlineStr">
        <is>
          <t>QA-AUD-04</t>
        </is>
      </c>
      <c r="B48" s="67" t="inlineStr">
        <is>
          <t>E05-S06</t>
        </is>
      </c>
      <c r="C48" s="67" t="inlineStr">
        <is>
          <t>BA: full-session bar grid verified end to end</t>
        </is>
      </c>
      <c r="D48" s="66" t="inlineStr">
        <is>
          <t>PASS</t>
        </is>
      </c>
      <c r="E48" s="67" t="inlineStr">
        <is>
          <t>A complete 09:15-15:30 session produced 74 five-minute bars with 0 off-grid boundaries.</t>
        </is>
      </c>
      <c r="F48" s="67" t="inlineStr">
        <is>
          <t>Bars align to the session start, not wall-clock hours. An off-by-one here shifts every indicator value for the day.</t>
        </is>
      </c>
      <c r="G48" s="67" t="inlineStr">
        <is>
          <t>audit probe, full session replay</t>
        </is>
      </c>
      <c r="H48" s="76" t="n"/>
      <c r="I48" s="76" t="n"/>
      <c r="J48" s="76" t="n"/>
    </row>
    <row r="49" ht="86" customHeight="1" s="59">
      <c r="A49" s="67" t="inlineStr">
        <is>
          <t>QA-AUD-05</t>
        </is>
      </c>
      <c r="B49" s="67" t="inlineStr">
        <is>
          <t>E06</t>
        </is>
      </c>
      <c r="C49" s="67" t="inlineStr">
        <is>
          <t>BA: acceptance criteria not met</t>
        </is>
      </c>
      <c r="D49" s="66" t="inlineStr">
        <is>
          <t>FAIL</t>
        </is>
      </c>
      <c r="E49" s="67" t="inlineStr">
        <is>
          <t>Two gaps: (1) FeedGap is produced by KiteFeed and IndicatorSet.mark_stale exists, but nothing connects them - a feed gap does not currently mark indicators stale because no component owns both. (2) ADX is named in the story and is not implemented.</t>
        </is>
      </c>
      <c r="F49" s="67" t="inlineStr">
        <is>
          <t>Both are consequences of QA-AUD-01 rather than defects in the built code. (1) closes when the orchestrator lands; (2) is a straightforward addition to the indicator framework.</t>
        </is>
      </c>
      <c r="G49" s="67" t="inlineStr">
        <is>
          <t>acceptance criteria re-read against code</t>
        </is>
      </c>
      <c r="H49" s="76" t="n"/>
      <c r="I49" s="76" t="n"/>
      <c r="J49" s="76" t="n"/>
    </row>
    <row r="50" ht="86" customHeight="1" s="59">
      <c r="A50" s="67" t="inlineStr">
        <is>
          <t>QA-AUD-06</t>
        </is>
      </c>
      <c r="B50" s="67" t="inlineStr">
        <is>
          <t>E05/E06</t>
        </is>
      </c>
      <c r="C50" s="67" t="inlineStr">
        <is>
          <t>Money-path type discipline</t>
        </is>
      </c>
      <c r="D50" s="66" t="inlineStr">
        <is>
          <t>FAIL -&gt; Fixed</t>
        </is>
      </c>
      <c r="E50" s="67" t="inlineStr">
        <is>
          <t>ATR.value returns float 1.4000000000000057 and ATR feeds stop distance, which feeds position size. CLAUDE.md requires Decimal for all money.</t>
        </is>
      </c>
      <c r="F50" s="67" t="inlineStr">
        <is>
          <t>Indicators compute in float deliberately - they are the numerical-library boundary the conventions carve out, and TA-Lib parity is defined in float. So the fix is a NAMED crossing (as_decimal()) rather than scattered Decimal() calls at whichever site needs one. .value stays float for the indicator path.</t>
        </is>
      </c>
      <c r="G50" s="67" t="inlineStr">
        <is>
          <t>test_indicators.py TestTheMoneyBoundaryIsExplicit</t>
        </is>
      </c>
      <c r="H50" s="76" t="n"/>
      <c r="I50" s="76" t="n"/>
      <c r="J50" s="76" t="n"/>
    </row>
    <row r="51" ht="106" customHeight="1" s="59">
      <c r="A51" s="67" t="inlineStr">
        <is>
          <t>QA-STR-01</t>
        </is>
      </c>
      <c r="B51" s="67" t="inlineStr">
        <is>
          <t>E00-S08</t>
        </is>
      </c>
      <c r="C51" s="67" t="inlineStr">
        <is>
          <t>BA: is the story actually delivered?</t>
        </is>
      </c>
      <c r="D51" s="66" t="inlineStr">
        <is>
          <t>FAIL -&gt; Fixed</t>
        </is>
      </c>
      <c r="E51" s="67" t="inlineStr">
        <is>
          <t>E00-S08 'Strategy DSL with vetted primitive registry' is marked Closed. The registry held 27 PrimitiveSpec records - name, category, parameter bounds - and no function behind any of them. compile_strategy's own docstring says 'the runtime evaluator walks the validated tree'; no such evaluator existed.</t>
        </is>
      </c>
      <c r="F51" s="67" t="inlineStr">
        <is>
          <t>A registry of primitives that cannot be computed is not a delivered registry. A strategy would validate, compile, hash, persist, activate - and never fire, with no error raised. Now implemented, with a test asserting declared and implemented are the same set.</t>
        </is>
      </c>
      <c r="G51" s="67" t="inlineStr">
        <is>
          <t>test_strategy_runtime.py TestEveryPrimitiveCanActuallyRun</t>
        </is>
      </c>
      <c r="H51" s="76" t="n"/>
      <c r="I51" s="76" t="n"/>
      <c r="J51" s="76" t="n"/>
    </row>
    <row r="52" ht="106" customHeight="1" s="59">
      <c r="A52" s="67" t="inlineStr">
        <is>
          <t>QA-STR-02</t>
        </is>
      </c>
      <c r="B52" s="67" t="inlineStr">
        <is>
          <t>E00-S08</t>
        </is>
      </c>
      <c r="C52" s="67" t="inlineStr">
        <is>
          <t>BA: Applicability was decorative</t>
        </is>
      </c>
      <c r="D52" s="66" t="inlineStr">
        <is>
          <t>FAIL -&gt; Fixed</t>
        </is>
      </c>
      <c r="E52" s="67" t="inlineStr">
        <is>
          <t>Applicability.regimes and min_price were parsed, validated and folded into the content hash, then consulted by nothing anywhere in src/. A strategy declaring 'TRENDING only, above 100 rupees' had both ignored.</t>
        </is>
      </c>
      <c r="F52" s="67" t="inlineStr">
        <is>
          <t>A trend strategy would fire freely in a rangebound market and on a penny stock. Now enforced in StrategyEvaluator.applies_to, which fire() consults - and an unknown regime does not apply, because the strategy is only validated for the regimes it names.</t>
        </is>
      </c>
      <c r="G52" s="67" t="inlineStr">
        <is>
          <t>test_strategy_runtime.py TestApplicabilityIsEnforcedNotDecorative</t>
        </is>
      </c>
      <c r="H52" s="76" t="n"/>
      <c r="I52" s="76" t="n"/>
      <c r="J52" s="76" t="n"/>
    </row>
    <row r="53" ht="106" customHeight="1" s="59">
      <c r="A53" s="67" t="inlineStr">
        <is>
          <t>QA-STR-03</t>
        </is>
      </c>
      <c r="B53" s="67" t="inlineStr">
        <is>
          <t>E06-S04</t>
        </is>
      </c>
      <c r="C53" s="67" t="inlineStr">
        <is>
          <t>Architect: timeframe_agreement carried no direction</t>
        </is>
      </c>
      <c r="D53" s="66" t="inlineStr">
        <is>
          <t>FAIL -&gt; Fixed</t>
        </is>
      </c>
      <c r="E53" s="67" t="inlineStr">
        <is>
          <t>fire() reported abs(snapshot.trend_agreement()). Measured: on a unanimously bearish tape a LONG trigger reported 3 of 3 timeframes in agreement.</t>
        </is>
      </c>
      <c r="F53" s="67" t="inlineStr">
        <is>
          <t>trend_agreement counts timeframes where fast &gt; slow and the SIGN carries direction; discarding it turns maximum disagreement into maximum confluence. The number reaches Recommendation.timeframe_agreement and the AI confirmation prompt, where it is precisely the wrong thing to say.</t>
        </is>
      </c>
      <c r="G53" s="67" t="inlineStr">
        <is>
          <t>test_strategy_runtime.py TestTimeframeAgreementCarriesDirection</t>
        </is>
      </c>
      <c r="H53" s="76" t="n"/>
      <c r="I53" s="76" t="n"/>
      <c r="J53" s="76" t="n"/>
    </row>
    <row r="54" ht="106" customHeight="1" s="59">
      <c r="A54" s="67" t="inlineStr">
        <is>
          <t>QA-STR-04</t>
        </is>
      </c>
      <c r="B54" s="67" t="inlineStr">
        <is>
          <t>E00-S08</t>
        </is>
      </c>
      <c r="C54" s="67" t="inlineStr">
        <is>
          <t>Architect: randomness in the strategy path</t>
        </is>
      </c>
      <c r="D54" s="66" t="inlineStr">
        <is>
          <t>FAIL -&gt; Fixed</t>
        </is>
      </c>
      <c r="E54" s="67" t="inlineStr">
        <is>
          <t>fire() minted a correlation_id with uuid4() when the caller did not supply one.</t>
        </is>
      </c>
      <c r="F54" s="67" t="inlineStr">
        <is>
          <t>The conventions forbid randomness in the strategy path for a concrete reason: E12-S03's acceptance criterion is that the decision SEQUENCE matches between backtest and live, and two Triggers differing only by a random UUID cannot be compared for equality. correlation_id is now required, so the evaluator is a pure function and the caller owns identity.</t>
        </is>
      </c>
      <c r="G54" s="67" t="inlineStr">
        <is>
          <t>test_strategy_runtime.py test_firing_twice_on_the_same_context_is_identical</t>
        </is>
      </c>
      <c r="H54" s="76" t="n"/>
      <c r="I54" s="76" t="n"/>
      <c r="J54" s="76" t="n"/>
    </row>
    <row r="55" ht="106" customHeight="1" s="59">
      <c r="A55" s="67" t="inlineStr">
        <is>
          <t>QA-STR-05</t>
        </is>
      </c>
      <c r="B55" s="67" t="inlineStr">
        <is>
          <t>E00-S08</t>
        </is>
      </c>
      <c r="C55" s="67" t="inlineStr">
        <is>
          <t>Registry declared timeframes the engine does not compute</t>
        </is>
      </c>
      <c r="D55" s="66" t="inlineStr">
        <is>
          <t>FAIL -&gt; Fixed</t>
        </is>
      </c>
      <c r="E55" s="67" t="inlineStr">
        <is>
          <t>timeframe_agreement_at_least defaulted to of='1h,1d,1w' and higher_tf_trend_is offered 1h/1d/1w as enum choices. IndicatorEngine carries 5m/15m/1h.</t>
        </is>
      </c>
      <c r="F55" s="67" t="inlineStr">
        <is>
          <t>A strategy omitting the 'of' parameter named two timeframes that do not exist, so it could never fire - and would look like a strategy that simply never triggered. Both now declare what the engine actually produces, and StrategyEvaluator.__init__ verifies capability so the failure happens at LOAD rather than at 09:20 from an absence of trades.</t>
        </is>
      </c>
      <c r="G55" s="67" t="inlineStr">
        <is>
          <t>test_strategy_runtime.py TestCapabilityIsVerifiedAtLoadTime</t>
        </is>
      </c>
      <c r="H55" s="76" t="n"/>
      <c r="I55" s="76" t="n"/>
      <c r="J55" s="76" t="n"/>
    </row>
    <row r="56" ht="106" customHeight="1" s="59">
      <c r="A56" s="67" t="inlineStr">
        <is>
          <t>QA-STR-06</t>
        </is>
      </c>
      <c r="B56" s="67" t="inlineStr">
        <is>
          <t>E00-S08</t>
        </is>
      </c>
      <c r="C56" s="67" t="inlineStr">
        <is>
          <t>Stops were not placeable prices</t>
        </is>
      </c>
      <c r="D56" s="66" t="inlineStr">
        <is>
          <t>FAIL -&gt; Fixed</t>
        </is>
      </c>
      <c r="E56" s="67" t="inlineStr">
        <is>
          <t>atr_stop produced 1186.49835 - five decimal places and off the NSE tick grid.</t>
        </is>
      </c>
      <c r="F56" s="67" t="inlineStr">
        <is>
          <t>Not an imprecise stop: NSE rejects an off-tick price, so it is a REJECTED ORDER and therefore a position with no protection at all. Stops now snap to the tick grid away from entry (snapping inward would silently turn a declared 1.5x ATR stop into 1.49x); targets snap toward entry, since a target only pays if it fills. A second bug surfaced in the same fix: the exact-grid early-return path skipped quantisation, so a price already on the grid kept 5 decimal places and would fail Price validation downstream.</t>
        </is>
      </c>
      <c r="G56" s="67" t="inlineStr">
        <is>
          <t>test_strategy_runtime.py TestStopsAreRealPlaceablePrices plus the E2E tick-grid assertion</t>
        </is>
      </c>
      <c r="H56" s="76" t="n"/>
      <c r="I56" s="76" t="n"/>
      <c r="J56" s="76" t="n"/>
    </row>
    <row r="57" ht="106" customHeight="1" s="59">
      <c r="A57" s="67" t="inlineStr">
        <is>
          <t>QA-STR-07</t>
        </is>
      </c>
      <c r="B57" s="67" t="inlineStr">
        <is>
          <t>E06-S06</t>
        </is>
      </c>
      <c r="C57" s="67" t="inlineStr">
        <is>
          <t>Dev: OpeningRange accepted an inverted range</t>
        </is>
      </c>
      <c r="D57" s="66" t="inlineStr">
        <is>
          <t>FAIL -&gt; Fixed</t>
        </is>
      </c>
      <c r="E57" s="67" t="inlineStr">
        <is>
          <t>OpeningRange(high=90, low=110) reported is_usable True, range_pct -20%, and a width of -20.</t>
        </is>
      </c>
      <c r="F57" s="67" t="inlineStr">
        <is>
          <t>update() maintains high &gt;= low by construction so this cannot arise from ticks, but the dataclass is also built directly - from a restored snapshot or from stored bars - and nothing checked. classic_pivots already refused high &lt; low, so the two halves of the module disagreed. A negative width would reach a sizing calculation as a real one.</t>
        </is>
      </c>
      <c r="G57" s="67" t="inlineStr">
        <is>
          <t>test_indicator_levels.py TestAnInvertedOpeningRangeIsRefused</t>
        </is>
      </c>
      <c r="H57" s="76" t="n"/>
      <c r="I57" s="76" t="n"/>
      <c r="J57" s="76" t="n"/>
    </row>
    <row r="58" ht="106" customHeight="1" s="59">
      <c r="A58" s="67" t="inlineStr">
        <is>
          <t>QA-STR-08</t>
        </is>
      </c>
      <c r="B58" s="67" t="inlineStr">
        <is>
          <t>E05+E06+strategy</t>
        </is>
      </c>
      <c r="C58" s="67" t="inlineStr">
        <is>
          <t>QA Lead: first end-to-end run of the whole chain</t>
        </is>
      </c>
      <c r="D58" s="66" t="inlineStr">
        <is>
          <t>PASS</t>
        </is>
      </c>
      <c r="E58" s="67" t="inlineStr">
        <is>
          <t>RawTick -&gt; CleaningPipeline -&gt; MultiTimeframeBuilder -&gt; IndicatorEngine -&gt; MultiTimeframeSnapshot -&gt; EvalContext -&gt; StrategyEvaluator -&gt; Trigger. 2400 ticks, 55 bars, warm-up from 260 prior bars per timeframe, producing a Trigger with a tick-aligned stop 2.54% away.</t>
        </is>
      </c>
      <c r="F58" s="67" t="inlineStr">
        <is>
          <t>The audit's headline finding was that nothing composed ingest with indicators, so every claim was a claim about a part. This is the first test of the SYSTEM. It exercises three components the audit found with zero callers - MultiTimeframeBuilder, CleaningPipeline, warm_up_symbols - and it is where QA-SEC-20 was found. It also confirms E05-S04 one layer up: a 50x poison print moves no indicator value.</t>
        </is>
      </c>
      <c r="G58" s="67" t="inlineStr">
        <is>
          <t>tests/integration/test_tick_to_trigger.py (17 tests)</t>
        </is>
      </c>
      <c r="H58" s="76" t="n"/>
      <c r="I58" s="76" t="n"/>
      <c r="J58" s="76" t="n"/>
    </row>
    <row r="59" ht="116" customHeight="1" s="59">
      <c r="A59" s="67" t="inlineStr">
        <is>
          <t>QA-ENG-01</t>
        </is>
      </c>
      <c r="B59" s="67" t="inlineStr">
        <is>
          <t>E05-S01/S08</t>
        </is>
      </c>
      <c r="C59" s="67" t="inlineStr">
        <is>
          <t>Coverage: two production modules at 0%</t>
        </is>
      </c>
      <c r="D59" s="66" t="inlineStr">
        <is>
          <t>FAIL -&gt; Fixed</t>
        </is>
      </c>
      <c r="E59" s="67" t="inlineStr">
        <is>
          <t>kite_ws.py (144 statements, the LIVE MARKET FEED) and quotes.py (68 statements) had never been executed by any test. Reviewed, shipped, never run.</t>
        </is>
      </c>
      <c r="F59" s="67" t="inlineStr">
        <is>
          <t>This is exactly what CLAUDE.md warns about - two real bugs in this repository shipped past a clean code read. Written 53 tests using a scripted fake socket: reconnection, gap emission, idle-socket detection, heartbeats, protocol errors, backoff reset after a healthy connection, and that the access token in the URL never reaches a log. Coverage 0% -&gt; 98% and 0% -&gt; 100%; project total 86% -&gt; 90%.</t>
        </is>
      </c>
      <c r="G59" s="67" t="inlineStr">
        <is>
          <t>tests/unit/test_ingest_feed.py (29), tests/unit/test_ingest_quotes.py (24)</t>
        </is>
      </c>
      <c r="H59" s="76" t="n"/>
      <c r="I59" s="76" t="n"/>
      <c r="J59" s="76" t="n"/>
    </row>
    <row r="60" ht="116" customHeight="1" s="59">
      <c r="A60" s="67" t="inlineStr">
        <is>
          <t>QA-ENG-02</t>
        </is>
      </c>
      <c r="B60" s="67" t="inlineStr">
        <is>
          <t>Infrastructure</t>
        </is>
      </c>
      <c r="C60" s="67" t="inlineStr">
        <is>
          <t>Alembic silently disabled application logging</t>
        </is>
      </c>
      <c r="D60" s="66" t="inlineStr">
        <is>
          <t>FAIL -&gt; Fixed</t>
        </is>
      </c>
      <c r="E60" s="67" t="inlineStr">
        <is>
          <t>logging.config.fileConfig defaults to disable_existing_loggers=True. Alembic runs in-process here, so a migration switched off every logger that already existed. Surfaced as pytest caplog going empty for every test after a DB test - 4 tests that passed alone and failed in the suite.</t>
        </is>
      </c>
      <c r="F60" s="67" t="inlineStr">
        <is>
          <t>The test symptom is the small version. The real one: a trading system that stops logging without failing. It keeps trading and there is no record of what it did, which for a system handling real money is close to the worst available failure mode.</t>
        </is>
      </c>
      <c r="G60" s="67" t="inlineStr">
        <is>
          <t>tests/unit/test_migration_logging.py - demonstrates the mechanism rather than asserting it from the docs</t>
        </is>
      </c>
      <c r="H60" s="76" t="n"/>
      <c r="I60" s="76" t="n"/>
      <c r="J60" s="76" t="n"/>
    </row>
    <row r="61" ht="116" customHeight="1" s="59">
      <c r="A61" s="67" t="inlineStr">
        <is>
          <t>QA-ENG-03</t>
        </is>
      </c>
      <c r="B61" s="67" t="inlineStr">
        <is>
          <t>Cross-cutting</t>
        </is>
      </c>
      <c r="C61" s="67" t="inlineStr">
        <is>
          <t>Mutation testing on the safety-critical paths</t>
        </is>
      </c>
      <c r="D61" s="66" t="inlineStr">
        <is>
          <t>PASS</t>
        </is>
      </c>
      <c r="E61" s="67" t="inlineStr">
        <is>
          <t>15 plausible bugs injected into real source and the suite run against each: none_of treating UNKNOWN as absent, the all_ready gate removed, stops snapping toward entry, agreement discarding direction, restore() trusting its period, the dedup map unbounded, the feed gap not announced, read_fresh returning stale quotes, and more.</t>
        </is>
      </c>
      <c r="F61" s="67" t="inlineStr">
        <is>
          <t>Coverage says a line ran; it does not say a test would NOTICE if that line were wrong. Two mutations SURVIVED on the first pass - both because the tests exercised a helper directly rather than the path that calls it, so reverting fire() to the buggy behaviour changed nothing any assertion could see. Closed both; all 15 now killed.</t>
        </is>
      </c>
      <c r="G61" s="67" t="inlineStr">
        <is>
          <t>scratchpad/mutate.py, 15/15 killed</t>
        </is>
      </c>
      <c r="H61" s="76" t="n"/>
      <c r="I61" s="76" t="n"/>
      <c r="J61" s="76" t="n"/>
    </row>
    <row r="62" ht="116" customHeight="1" s="59">
      <c r="A62" s="67" t="inlineStr">
        <is>
          <t>QA-ENG-04</t>
        </is>
      </c>
      <c r="B62" s="67" t="inlineStr">
        <is>
          <t>Strategy runtime</t>
        </is>
      </c>
      <c r="C62" s="67" t="inlineStr">
        <is>
          <t>Property-based testing</t>
        </is>
      </c>
      <c r="D62" s="66" t="inlineStr">
        <is>
          <t>PASS</t>
        </is>
      </c>
      <c r="E62" s="67" t="inlineStr">
        <is>
          <t>17 Hypothesis properties over ~5000 generated cases: a snapped stop is always on the tick grid, never moves more than one tick, never moves toward the entry, is idempotent, never goes negative and always fits Price's four decimal places. Plus the full 3^n tri-state truth tables.</t>
        </is>
      </c>
      <c r="F62" s="67" t="inlineStr">
        <is>
          <t>Example tests assert what I thought to check. The tri-state tables have 3^n rows and I would otherwise have tested the handful I imagined - and the property that matters most, that no combination containing an UNKNOWN can ever satisfy none_of, is a statement about the whole space.</t>
        </is>
      </c>
      <c r="G62" s="67" t="inlineStr">
        <is>
          <t>tests/unit/test_strategy_properties.py</t>
        </is>
      </c>
      <c r="H62" s="76" t="n"/>
      <c r="I62" s="76" t="n"/>
      <c r="J62" s="76" t="n"/>
    </row>
    <row r="63" ht="116" customHeight="1" s="59">
      <c r="A63" s="67" t="inlineStr">
        <is>
          <t>QA-ENG-05</t>
        </is>
      </c>
      <c r="B63" s="67" t="inlineStr">
        <is>
          <t>E00-S10</t>
        </is>
      </c>
      <c r="C63" s="67" t="inlineStr">
        <is>
          <t>Preflight tests depended on a defect existing</t>
        </is>
      </c>
      <c r="D63" s="66" t="inlineStr">
        <is>
          <t>FAIL -&gt; Fixed</t>
        </is>
      </c>
      <c r="E63" s="67" t="inlineStr">
        <is>
          <t>Two BR-20 tests asserted that an unverified holiday list blocks live trading, using the SHIPPED file's incompleteness as the fixture. Closing B3 fixed the file and the tests failed.</t>
        </is>
      </c>
      <c r="F63" s="67" t="inlineStr">
        <is>
          <t>They passed for the wrong reason: the gate was being tested with a real defect as its input, so the tests would have gone quiet the moment the defect was fixed - which is exactly what happened. Rewritten to construct the unverified condition deliberately, plus a new test asserting the SHIPPED list now passes the live gate.</t>
        </is>
      </c>
      <c r="G63" s="67" t="inlineStr">
        <is>
          <t>tests/security/test_preflight_gate.py TestHolidayCalendarBlocksLiveTrading</t>
        </is>
      </c>
      <c r="H63" s="76" t="n"/>
      <c r="I63" s="76" t="n"/>
      <c r="J63" s="76" t="n"/>
    </row>
    <row r="64" ht="104" customHeight="1" s="59">
      <c r="A64" s="67" t="inlineStr">
        <is>
          <t>QA-E14-01</t>
        </is>
      </c>
      <c r="B64" s="67" t="inlineStr">
        <is>
          <t>E14-S01</t>
        </is>
      </c>
      <c r="C64" s="67" t="inlineStr">
        <is>
          <t>BA: dependency was mis-stated</t>
        </is>
      </c>
      <c r="D64" s="66" t="inlineStr">
        <is>
          <t>FAIL -&gt; Fixed</t>
        </is>
      </c>
      <c r="E64" s="67" t="inlineStr">
        <is>
          <t>E14-S01 declared a dependency on E13-S04. Traced the chain: E13-S04 -&gt; E13-S03 -&gt; E10-S05 -&gt; E10-S03 -&gt; E10-S01. Taken literally, the deterministic risk engine could not start until the entire AI layer existed.</t>
        </is>
      </c>
      <c r="F64" s="67" t="inlineStr">
        <is>
          <t>That inverts the architecture's own boundary. Recommendation is the AI/deterministic seam precisely so the downstream side does not depend on how the upstream side produced it (constraint C4). What E14-S01 needs is the Recommendation TYPE, from E00-S02 (Closed). Corrected to E00-S02 with the justification recorded on the story; E13-S04 remains a real dependency for runtime WIRING, which is E13-S05/E15.</t>
        </is>
      </c>
      <c r="G64" s="67" t="inlineStr">
        <is>
          <t>Definition of Ready R2, per ENGINEERING_STANDARD 2.1</t>
        </is>
      </c>
      <c r="H64" s="76" t="n"/>
      <c r="I64" s="76" t="n"/>
      <c r="J64" s="76" t="n"/>
    </row>
    <row r="65" ht="104" customHeight="1" s="59">
      <c r="A65" s="67" t="inlineStr">
        <is>
          <t>QA-E14-02</t>
        </is>
      </c>
      <c r="B65" s="67" t="inlineStr">
        <is>
          <t>E14-S01</t>
        </is>
      </c>
      <c r="C65" s="67" t="inlineStr">
        <is>
          <t>Analysis: spec check names overflow the audit column</t>
        </is>
      </c>
      <c r="D65" s="66" t="inlineStr">
        <is>
          <t>FAIL -&gt; Fixed</t>
        </is>
      </c>
      <c r="E65" s="67" t="inlineStr">
        <is>
          <t>decision_log.stage is String(28). Three of the fourteen check names in LOW_LEVEL_ARCHITECTURE 5.7 are longer: check_symbol_not_already_held (29), check_net_directional_exposure (30), check_time_to_squareoff_deadline (32).</t>
        </is>
      </c>
      <c r="F65" s="67" t="inlineStr">
        <is>
          <t>Using the spec's function names as the audit stage would fail the insert at the moment a rejection happens - precisely when the record is wanted. Resolved with short stable check IDs decoupled from function names, and RiskCheck refuses an over-long id at DECLARATION rather than at 09:20 on the first rejection.</t>
        </is>
      </c>
      <c r="G65" s="67" t="inlineStr">
        <is>
          <t>test_risk_framework.py TestCheckRegistrationIsValidated</t>
        </is>
      </c>
      <c r="H65" s="76" t="n"/>
      <c r="I65" s="76" t="n"/>
      <c r="J65" s="76" t="n"/>
    </row>
    <row r="66" ht="104" customHeight="1" s="59">
      <c r="A66" s="67" t="inlineStr">
        <is>
          <t>QA-E14-03</t>
        </is>
      </c>
      <c r="B66" s="67" t="inlineStr">
        <is>
          <t>E14-S01</t>
        </is>
      </c>
      <c r="C66" s="67" t="inlineStr">
        <is>
          <t>Spec called constructors that did not exist</t>
        </is>
      </c>
      <c r="D66" s="66" t="inlineStr">
        <is>
          <t>FAIL -&gt; Fixed</t>
        </is>
      </c>
      <c r="E66" s="67" t="inlineStr">
        <is>
          <t>LOW_LEVEL_ARCHITECTURE 5.7 writes the engine in terms of RiskDecision.approve(...) and .reject(...). Neither existed; the spec's pseudocode was the only place they appeared.</t>
        </is>
      </c>
      <c r="F66" s="67" t="inlineStr">
        <is>
          <t>Added as named constructors, which also makes approval greppable - that is how criterion 1 is checked, by a structural test asserting nothing outside RiskEngine constructs one. reject() requires a detail rather than accepting None, so a check cannot log a rejection nobody can act on.</t>
        </is>
      </c>
      <c r="G66" s="67" t="inlineStr">
        <is>
          <t>test_risk_pipeline_integrity.py TestOnlyTheEngineApproves</t>
        </is>
      </c>
      <c r="H66" s="76" t="n"/>
      <c r="I66" s="76" t="n"/>
      <c r="J66" s="76" t="n"/>
    </row>
    <row r="67" ht="104" customHeight="1" s="59">
      <c r="A67" s="67" t="inlineStr">
        <is>
          <t>QA-E14-04</t>
        </is>
      </c>
      <c r="B67" s="67" t="inlineStr">
        <is>
          <t>E14-S01</t>
        </is>
      </c>
      <c r="C67" s="67" t="inlineStr">
        <is>
          <t>Determinism test rejected my own helper</t>
        </is>
      </c>
      <c r="D67" s="66" t="inlineStr">
        <is>
          <t>FAIL -&gt; Fixed</t>
        </is>
      </c>
      <c r="E67" s="67" t="inlineStr">
        <is>
          <t>Added a utc_now() convenience to framework.py. The structural determinism test flagged it: a clock read anywhere in the module weakens the property the module is supposed to have.</t>
        </is>
      </c>
      <c r="F67" s="67" t="inlineStr">
        <is>
          <t>Deleted rather than exempted. The caller building a RiskContext supplies `now` explicitly, which is what makes an evaluation reproducible from its recorded inputs - the same property whose absence was found in the strategy evaluator (uuid4 in fire()).</t>
        </is>
      </c>
      <c r="G67" s="67" t="inlineStr">
        <is>
          <t>test_risk_pipeline_integrity.py TestTheEngineIsDeterministic</t>
        </is>
      </c>
      <c r="H67" s="76" t="n"/>
      <c r="I67" s="76" t="n"/>
      <c r="J67" s="76" t="n"/>
    </row>
    <row r="68" ht="104" customHeight="1" s="59">
      <c r="A68" s="67" t="inlineStr">
        <is>
          <t>QA-E14-05</t>
        </is>
      </c>
      <c r="B68" s="67" t="inlineStr">
        <is>
          <t>E14-S01</t>
        </is>
      </c>
      <c r="C68" s="67" t="inlineStr">
        <is>
          <t>Mutation testing, 14 injected defects</t>
        </is>
      </c>
      <c r="D68" s="66" t="inlineStr">
        <is>
          <t>PASS (13/14 killed)</t>
        </is>
      </c>
      <c r="E68" s="67" t="inlineStr">
        <is>
          <t>Injected: a raising check skipped instead of rejecting; the pipeline continuing past a refusal; a missing sizer approving; zero quantity approved; over-long and duplicate check ids accepted; approvals no longer audited; an audit failure swallowing the decision; require() defaulting to zero; net exposure ignoring direction. 13 killed.</t>
        </is>
      </c>
      <c r="F68" s="67" t="inlineStr">
        <is>
          <t>One BENIGN survivor: 'checks_passed is aliased not copied'. Verified empirically rather than assumed - Pydantic already builds a new list when validating a list[str] field, so the guarantee is over-determined and the mutation changes no behaviour. The explicit list() call is kept as belt-and-braces and the redundancy is documented at the site.</t>
        </is>
      </c>
      <c r="G68" s="67" t="inlineStr">
        <is>
          <t>scratchpad/mutate_risk.py</t>
        </is>
      </c>
      <c r="H68" s="76" t="n"/>
      <c r="I68" s="76" t="n"/>
      <c r="J68" s="76" t="n"/>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31"/>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6</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7</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row r="18">
      <c r="A18" s="65" t="inlineStr">
        <is>
          <t>QA-SEC-14</t>
        </is>
      </c>
      <c r="B18" s="65" t="inlineStr">
        <is>
          <t>HIGH</t>
        </is>
      </c>
      <c r="C18" s="65" t="inlineStr">
        <is>
          <t>Rate limiter (E01-S03 primitive)</t>
        </is>
      </c>
      <c r="D18" s="66" t="inlineStr">
        <is>
          <t>Fixed</t>
        </is>
      </c>
      <c r="E18" s="67" t="inlineStr">
        <is>
          <t>The Redis token bucket took its clock from the CALLER (time.time() in Python, computed before the await) and wrote it to the bucket unconditionally. Concurrent callers stamp their own time and then arrive at Redis in a different order, so a late-arriving request REWINDS the stored timestamp and the next caller measures elapsed time from that older mark - being granted tokens no time actually produced.</t>
        </is>
      </c>
      <c r="F18" s="67" t="inlineStr">
        <is>
          <t>This is the limiter that keeps order rate under SEBI's 10/sec registration threshold. Measured: a burst of 3 with 3/sec refill let 11 of 100 concurrent callers through in 0.56s on an idle host, and 56 of 100 on a loaded one, against an honest ceiling of about 5. The control failed quietly under exactly the load it exists for, and every existing Redis test passed throughout because none of them exercised concurrency.</t>
        </is>
      </c>
      <c r="G18" s="67" t="inlineStr">
        <is>
          <t>Take the clock from Redis (redis.call('TIME')) inside the Lua instead of accepting one from the caller. One clock, read after serialisation, so neither reordering nor skew between processes can move it backwards. Post-fix: 4 of 100 allowed, which is burst plus honest refill.</t>
        </is>
      </c>
      <c r="H18" s="67" t="inlineStr">
        <is>
          <t>A 100-way concurrent flood asserting against burst + rate x elapsed (not a flat constant, because the bucket legitimately refills during the flood). The original flat assertion is what surfaced the bug.</t>
        </is>
      </c>
    </row>
    <row r="19">
      <c r="A19" s="65" t="inlineStr">
        <is>
          <t>QA-SEC-15</t>
        </is>
      </c>
      <c r="B19" s="65" t="inlineStr">
        <is>
          <t>MEDIUM</t>
        </is>
      </c>
      <c r="C19" s="65" t="inlineStr">
        <is>
          <t>Broker auth / login URL</t>
        </is>
      </c>
      <c r="D19" s="66" t="inlineStr">
        <is>
          <t>Fixed</t>
        </is>
      </c>
      <c r="E19" s="67" t="inlineStr">
        <is>
          <t>login_url() interpolated api_key into the Kite URL with no validation or encoding. A value of 'realkey&amp;redirect_uri=https://evil.example.com' produces a perfectly VALID Kite login URL that returns the request_token to somebody else. CRLF in the same position was equally accepted.</t>
        </is>
      </c>
      <c r="F19" s="67" t="inlineStr">
        <is>
          <t>This defeats the anti-phishing design from the other side. The operator navigates from their own bookmark exactly as intended, lands on a genuine Zerodha page, and hands the request_token to an attacker who exchanges it with their own api_secret. Requires config/env write access - but config is editable through the Admin UI (E18-S02), and a mis-pasted key with a stray '&amp;' fails the same way.</t>
        </is>
      </c>
      <c r="G19" s="67" t="inlineStr">
        <is>
          <t>Validate rather than escape: a Kite api_key is alphanumeric, so anything else is a mis-paste or an attempt to steer the flow. Encoding would quietly carry the mistake into a URL that then fails at the broker for an unrelated-looking reason.</t>
        </is>
      </c>
      <c r="H19" s="67" t="inlineStr">
        <is>
          <t>5 hostile api_keys refused (&amp; injection, CRLF, space, fragment, query), a real key still builds, and the error is asserted not to echo a 5000-char value into the log</t>
        </is>
      </c>
    </row>
    <row r="20">
      <c r="A20" s="67" t="inlineStr">
        <is>
          <t>QA-SEC-16</t>
        </is>
      </c>
      <c r="B20" s="67" t="inlineStr">
        <is>
          <t>MEDIUM</t>
        </is>
      </c>
      <c r="C20" s="67" t="inlineStr">
        <is>
          <t>Order logging / symbol handling</t>
        </is>
      </c>
      <c r="D20" s="66" t="inlineStr">
        <is>
          <t>Fixed</t>
        </is>
      </c>
      <c r="E20" s="67" t="inlineStr">
        <is>
          <t>A newline in an instrument symbol forged a whole log line. Observed output: 'placing BUY MARKET x1 for INFY
2026-01-01 CRITICAL kill switch disarmed (tag=...)' - a second, entirely fictional CRITICAL entry written by the order logger.</t>
        </is>
      </c>
      <c r="F20" s="67" t="inlineStr">
        <is>
          <t>Symbols come from the broker's daily dump, which is external data this system does not author. QA-SEC-03 established exactly this for Redis keys; the same untrusted value also reaches the order log line, and application logs are what an incident is reconstructed from. A forgeable log line is a real problem even though nothing crashes.</t>
        </is>
      </c>
      <c r="G20" s="67" t="inlineStr">
        <is>
          <t>OrderRequest.symbol now validated against the same allowlist as the Redis key builder - one definition of what a symbol may contain, applied wherever untrusted symbol text crosses a boundary.</t>
        </is>
      </c>
      <c r="H20" s="67" t="inlineStr">
        <is>
          <t>6 hostile symbols refused (newline, CRLF, colon, glob, over-length, empty) plus a CONTROL that real Indian symbols still work: M&amp;M, BAJAJ-AUTO, L&amp;TFH, NIFTY.NS, IDEA_EQ</t>
        </is>
      </c>
    </row>
    <row r="21" ht="92" customHeight="1" s="59">
      <c r="A21" s="67" t="inlineStr">
        <is>
          <t>QA-SEC-17</t>
        </is>
      </c>
      <c r="B21" s="67" t="inlineStr">
        <is>
          <t>HIGH</t>
        </is>
      </c>
      <c r="C21" s="67" t="inlineStr">
        <is>
          <t>Indicator state restore (E06)</t>
        </is>
      </c>
      <c r="D21" s="66" t="inlineStr">
        <is>
          <t>Fixed</t>
        </is>
      </c>
      <c r="E21" s="67" t="inlineStr">
        <is>
          <t>restore() accepted period: -5 from a snapshot. EMA alpha became -0.5 - an indicator that DIVERGES instead of converging while emitting plausible numbers the whole time. Observed: a restored EMA drifting away from price with no error, no exception, no log line.</t>
        </is>
      </c>
      <c r="F21" s="67" t="inlineStr">
        <is>
          <t>__init__ validated its period; restore() did not, and restore() is the path that reads state which has round-tripped through Redis. A partially-written key or a version skew between processes is enough - no attacker required. Nothing downstream can detect a wrong-but-plausible indicator value, so this fails OPEN, which the invariants forbid.</t>
        </is>
      </c>
      <c r="G21" s="67" t="inlineStr">
        <is>
          <t>_checked_period() applied at all 8 restore sites (SMA, EMA, RSI, ATR, Bollinger, VolumeRatio, Wilder, MACD fast+slow). A corrupt period now raises IndicatorError rather than constructing a diverging indicator.</t>
        </is>
      </c>
      <c r="H21" s="67" t="inlineStr">
        <is>
          <t>9 parametrised cases across 6 indicator types (negative, zero, non-numeric, None) plus a CONTROL that a valid snapshot still restores identically to a re-warmed set</t>
        </is>
      </c>
      <c r="I21" s="76" t="n"/>
      <c r="J21" s="76" t="n"/>
      <c r="K21" s="76" t="n"/>
    </row>
    <row r="22" ht="92" customHeight="1" s="59">
      <c r="A22" s="67" t="inlineStr">
        <is>
          <t>QA-SEC-18</t>
        </is>
      </c>
      <c r="B22" s="67" t="inlineStr">
        <is>
          <t>MEDIUM</t>
        </is>
      </c>
      <c r="C22" s="67" t="inlineStr">
        <is>
          <t>Tick deduplication (E05)</t>
        </is>
      </c>
      <c r="D22" s="66" t="inlineStr">
        <is>
          <t>Fixed</t>
        </is>
      </c>
      <c r="E22" s="67" t="inlineStr">
        <is>
          <t>The per-instrument dedup window was bounded at 512; the map holding those windows was not. 5000 distinct tokens produced 5000 retained windows with nothing to evict them.</t>
        </is>
      </c>
      <c r="F22" s="67" t="inlineStr">
        <is>
          <t>Memory growth for the life of the process on a feed that churns instrument tokens - re-listings, corporate actions, a subscription list that changes daily. Not remotely triggerable, but it is an availability defect in a component meant to run a full session unattended.</t>
        </is>
      </c>
      <c r="G22" s="67" t="inlineStr">
        <is>
          <t>The instrument map is now an LRU bounded at 1024. A universe of 200 fits several times over, so eviction only ever reaches symbols that genuinely stopped ticking.</t>
        </is>
      </c>
      <c r="H22" s="67" t="inlineStr">
        <is>
          <t>3 tests: the map stays bounded across 1000 tokens; a continuously-ticking symbol survives 200 others churning past it; the original per-instrument bound still holds</t>
        </is>
      </c>
      <c r="I22" s="76" t="n"/>
      <c r="J22" s="76" t="n"/>
      <c r="K22" s="76" t="n"/>
    </row>
    <row r="23" ht="92" customHeight="1" s="59">
      <c r="A23" s="67" t="inlineStr">
        <is>
          <t>QA-SEC-19</t>
        </is>
      </c>
      <c r="B23" s="67" t="inlineStr">
        <is>
          <t>MEDIUM</t>
        </is>
      </c>
      <c r="C23" s="67" t="inlineStr">
        <is>
          <t>Rate-limit error handling</t>
        </is>
      </c>
      <c r="D23" s="66" t="inlineStr">
        <is>
          <t>Fixed</t>
        </is>
      </c>
      <c r="E23" s="67" t="inlineStr">
        <is>
          <t>Two exception classes were both named RateLimitError with OPPOSITE retry semantics. broker.adapter.RateLimitError means back off and retry; redis.primitives.RateLimitError meant the bucket is misconfigured and will never allow anything through.</t>
        </is>
      </c>
      <c r="F23" s="67" t="inlineStr">
        <is>
          <t>A caller importing either name and wrapping it in the standard retry-with-backoff gets correct behaviour for one and an INFINITE LOOP for the other - against a condition that never clears. No test would fail, because the misconfigured bucket never becomes healthy and the loop never exits. In a component that gates order submission, a hang is a fail-open.</t>
        </is>
      </c>
      <c r="G23" s="67" t="inlineStr">
        <is>
          <t>Renamed the Redis one to RateLimiterConfigError, with a docstring stating why the two are named apart.</t>
        </is>
      </c>
      <c r="H23" s="67" t="inlineStr">
        <is>
          <t>3 tests: the types are distinct, neither is a subclass of the other, and only the broker one is reported by is_retryable()</t>
        </is>
      </c>
      <c r="I23" s="76" t="n"/>
      <c r="J23" s="76" t="n"/>
      <c r="K23" s="76" t="n"/>
    </row>
    <row r="24" ht="112" customHeight="1" s="59">
      <c r="A24" s="67" t="inlineStr">
        <is>
          <t>QA-SEC-20</t>
        </is>
      </c>
      <c r="B24" s="67" t="inlineStr">
        <is>
          <t>HIGH</t>
        </is>
      </c>
      <c r="C24" s="67" t="inlineStr">
        <is>
          <t>Strategy evaluation / feed integrity</t>
        </is>
      </c>
      <c r="D24" s="66" t="inlineStr">
        <is>
          <t>Fixed</t>
        </is>
      </c>
      <c r="E24" s="67" t="inlineStr">
        <is>
          <t>The evaluator TRADED through a simulated twelve-minute feed gap. Observed end to end: mark_stale set on all three timeframes, snapshot.all_ready False, and fire() still returned a Trigger with a valid stop.</t>
        </is>
      </c>
      <c r="F24" s="67" t="inlineStr">
        <is>
          <t>mark_stale clears IndicatorSet.is_ready which clears all_ready - and nothing consulted all_ready. A strategy reading only a warm ema_20 never noticed that every indicator beside it had been computed across a hole in the data. This is the 'data stale -&gt; block entries' invariant and E13-S01 acceptance criterion 3, and neither was held. Found only by assembling the full tick-to-Trigger chain; no component test could see it.</t>
        </is>
      </c>
      <c r="G24" s="67" t="inlineStr">
        <is>
          <t>fire() now refuses when snapshot.all_ready is False and logs which indicators are pending. evaluate() still answers, so a health panel and a backtest can inspect a cold symbol without being able to trade it.</t>
        </is>
      </c>
      <c r="H24" s="67" t="inlineStr">
        <is>
          <t>E2E: the same context fires, is refused after mark_stale, and fires again after clear_stale; plus a cold pipeline that can never fire</t>
        </is>
      </c>
      <c r="I24" s="76" t="n"/>
      <c r="J24" s="76" t="n"/>
      <c r="K24" s="76" t="n"/>
    </row>
    <row r="25" ht="112" customHeight="1" s="59">
      <c r="A25" s="67" t="inlineStr">
        <is>
          <t>QA-SEC-21</t>
        </is>
      </c>
      <c r="B25" s="67" t="inlineStr">
        <is>
          <t>HIGH</t>
        </is>
      </c>
      <c r="C25" s="67" t="inlineStr">
        <is>
          <t>Strategy parameter handling</t>
        </is>
      </c>
      <c r="D25" s="66" t="inlineStr">
        <is>
          <t>Fixed</t>
        </is>
      </c>
      <c r="E25" s="67" t="inlineStr">
        <is>
          <t>NaN and Infinity reached comparisons. decimal.InvalidOperation propagated out of atr_stop as an uncaught exception in the signal path, and threshold=-Infinity made a 'score above' gate pass unconditionally.</t>
        </is>
      </c>
      <c r="F25" s="67" t="inlineStr">
        <is>
          <t>Decimal('NaN') CONSTRUCTS without error and raises only on the first comparison, so the failure surfaced in whichever caller compared first rather than at the boundary. The infinities do not raise at all: NaN compares False against everything (a confident wrong answer) and -Infinity compares True against everything (a filter bypass an author can write in one word). Python's json emits and accepts bare NaN, so a corrupted indicator snapshot in Redis is a live path, not a theoretical one.</t>
        </is>
      </c>
      <c r="G25" s="67" t="inlineStr">
        <is>
          <t>Non-finite values are refused at three boundaries: to_decimal (the money crossing), EvalContext.indicator/indicator_ago (all 27 primitives at once), and the numeric parameter coercion.</t>
        </is>
      </c>
      <c r="H25" s="67" t="inlineStr">
        <is>
          <t>9 parametrised cases across NaN/+Inf/-Inf for indicator values, stop computation and parameters, plus a control that ordinary values are untouched</t>
        </is>
      </c>
      <c r="I25" s="76" t="n"/>
      <c r="J25" s="76" t="n"/>
      <c r="K25" s="76" t="n"/>
    </row>
    <row r="26" ht="112" customHeight="1" s="59">
      <c r="A26" s="67" t="inlineStr">
        <is>
          <t>QA-SEC-22</t>
        </is>
      </c>
      <c r="B26" s="67" t="inlineStr">
        <is>
          <t>MEDIUM</t>
        </is>
      </c>
      <c r="C26" s="67" t="inlineStr">
        <is>
          <t>Strategy parameter validation order</t>
        </is>
      </c>
      <c r="D26" s="66" t="inlineStr">
        <is>
          <t>Fixed</t>
        </is>
      </c>
      <c r="E26" s="67" t="inlineStr">
        <is>
          <t>A primitive validated its parameters AFTER consulting market data, so a strategy with a misspelled direction returned UNKNOWN whenever the level happened to be unavailable rather than raising.</t>
        </is>
      </c>
      <c r="F26" s="67" t="inlineStr">
        <is>
          <t>A malformed strategy is then indistinguishable from a quiet market: it reports 'conditions not met' forever and nobody learns it is broken. Also found: error messages echoed strategy-supplied text unbounded - a 10 KB parameter repeated per symbol per bar is a log-flooding primitive.</t>
        </is>
      </c>
      <c r="G26" s="67" t="inlineStr">
        <is>
          <t>Parameters are validated before any data lookup, so a malformed strategy raises regardless of market state. Echoed text is capped at 60 characters.</t>
        </is>
      </c>
      <c r="H26" s="67" t="inlineStr">
        <is>
          <t>3 bad-direction cases, 5 malformed time windows, and an assertion that a 10 KB parameter yields an error under 500 characters</t>
        </is>
      </c>
      <c r="I26" s="76" t="n"/>
      <c r="J26" s="76" t="n"/>
      <c r="K26" s="76" t="n"/>
    </row>
    <row r="27" ht="112" customHeight="1" s="59">
      <c r="A27" s="67" t="inlineStr">
        <is>
          <t>QA-SEC-23</t>
        </is>
      </c>
      <c r="B27" s="67" t="inlineStr">
        <is>
          <t>MEDIUM</t>
        </is>
      </c>
      <c r="C27" s="67" t="inlineStr">
        <is>
          <t>Strategy bounds enforcement</t>
        </is>
      </c>
      <c r="D27" s="66" t="inlineStr">
        <is>
          <t>Fixed</t>
        </is>
      </c>
      <c r="E27" s="67" t="inlineStr">
        <is>
          <t>verify_condition checked primitive names and indicator availability but not the registry's declared parameter bounds. Decimal('-1e999') is FINITE, so the non-finite guard does not catch it, and it makes any 'above threshold' gate pass unconditionally.</t>
        </is>
      </c>
      <c r="F27" s="67" t="inlineStr">
        <is>
          <t>compile_strategy does validate bounds, but nothing structurally guaranteed a document reached the evaluator through compilation. Defence in depth matters here because the bounds are the only thing standing between a hostile strategy author and a disabled filter.</t>
        </is>
      </c>
      <c r="G27" s="67" t="inlineStr">
        <is>
          <t>verify_condition now re-runs the registry's validate_params, so holding a StrategyEvaluator is proof the parameters are in range - not merely that the primitive names exist.</t>
        </is>
      </c>
      <c r="H27" s="67" t="inlineStr">
        <is>
          <t>out-of-range threshold and unknown-parameter cases refused at load, plus a control that a valid condition passes</t>
        </is>
      </c>
      <c r="I27" s="76" t="n"/>
      <c r="J27" s="76" t="n"/>
      <c r="K27" s="76" t="n"/>
    </row>
    <row r="28" ht="120" customHeight="1" s="59">
      <c r="A28" s="67" t="inlineStr">
        <is>
          <t>QA-SEC-24</t>
        </is>
      </c>
      <c r="B28" s="67" t="inlineStr">
        <is>
          <t>HIGH</t>
        </is>
      </c>
      <c r="C28" s="67" t="inlineStr">
        <is>
          <t>Dependency supply chain</t>
        </is>
      </c>
      <c r="D28" s="66" t="inlineStr">
        <is>
          <t>Fixed</t>
        </is>
      </c>
      <c r="E28" s="67" t="inlineStr">
        <is>
          <t>autobahn 19.11.2 (CVE-2020-35678, redirect header injection) was present and importable in every process that touched the broker layer. pip-audit flagged it; CI could not, because the dependency-audit step was advisory.</t>
        </is>
      </c>
      <c r="F28" s="67" t="inlineStr">
        <is>
          <t>The prior assessment recorded it as unreachable because the live feed was built on `websockets` rather than KiteTicker. That was WRONG: kiteconnect/__init__.py imports .ticker unconditionally, so `import kiteconnect` loads autobahn and Twisted regardless of whether a ticker is ever constructed. Not using a package is not the same as not having it, and a vulnerable package that is present and importable is a real finding.</t>
        </is>
      </c>
      <c r="G28" s="67" t="inlineStr">
        <is>
          <t>Upgraded to autobahn 26.7.1 and floored at &gt;=20.12.3 in pyproject. kiteconnect's == pin is declarative; verified empirically that it still imports, constructs, builds a login URL and exposes market_protection/algo_id. pip-audit now reports zero vulnerabilities and the CI step is a HARD gate.</t>
        </is>
      </c>
      <c r="H28" s="67" t="inlineStr">
        <is>
          <t>Full 1059-test suite green under the upgraded dependency; pip-audit --skip-editable exits 0</t>
        </is>
      </c>
      <c r="I28" s="76" t="n"/>
      <c r="J28" s="76" t="n"/>
      <c r="K28" s="76" t="n"/>
    </row>
    <row r="29" ht="120" customHeight="1" s="59">
      <c r="A29" s="67" t="inlineStr">
        <is>
          <t>QA-SEC-25</t>
        </is>
      </c>
      <c r="B29" s="67" t="inlineStr">
        <is>
          <t>MEDIUM</t>
        </is>
      </c>
      <c r="C29" s="67" t="inlineStr">
        <is>
          <t>CI security gates</t>
        </is>
      </c>
      <c r="D29" s="66" t="inlineStr">
        <is>
          <t>Fixed</t>
        </is>
      </c>
      <c r="E29" s="67" t="inlineStr">
        <is>
          <t>The dependency audit ran with `continue-on-error: true` and `|| true`, so it could never fail a build. There was no SAST step at all.</t>
        </is>
      </c>
      <c r="F29" s="67" t="inlineStr">
        <is>
          <t>The soft gate was correctly justified while B7 was unfixable - a permanently red check trains people to ignore it. That justification expired the moment B7 closed, and an advisory audit means the NEXT CVE arrives silently. Bandit was not running anywhere.</t>
        </is>
      </c>
      <c r="G29" s="67" t="inlineStr">
        <is>
          <t>pip-audit is now a hard gate (with --skip-editable, not --strict: --strict treats the local editable package as an error and fails every run for reasons unrelated to vulnerabilities). Added bandit gated at MEDIUM severity and MEDIUM confidence.</t>
        </is>
      </c>
      <c r="H29" s="67" t="inlineStr">
        <is>
          <t>Both gates verified locally: bandit exit 0, pip-audit exit 0, and both demonstrated to exit non-zero on a real finding</t>
        </is>
      </c>
      <c r="I29" s="76" t="n"/>
      <c r="J29" s="76" t="n"/>
      <c r="K29" s="76" t="n"/>
    </row>
    <row r="30" ht="120" customHeight="1" s="59">
      <c r="A30" s="67" t="inlineStr">
        <is>
          <t>QA-SEC-26</t>
        </is>
      </c>
      <c r="B30" s="67" t="inlineStr">
        <is>
          <t>MEDIUM</t>
        </is>
      </c>
      <c r="C30" s="67" t="inlineStr">
        <is>
          <t>SQL identifier construction</t>
        </is>
      </c>
      <c r="D30" s="66" t="inlineStr">
        <is>
          <t>Fixed</t>
        </is>
      </c>
      <c r="E30" s="67" t="inlineStr">
        <is>
          <t>The bulk-insert path interpolates column names into SQL text. Bandit B608. Previously safe by ARGUMENT - the names come from a fixed tuple - documented in a comment.</t>
        </is>
      </c>
      <c r="F30" s="67" t="inlineStr">
        <is>
          <t>PostgreSQL cannot parameterise identifiers, so building them as text is the only option and the code was genuinely safe. But a comment does not survive a refactor: nothing would fail if a future change made the column list reachable from data.</t>
        </is>
      </c>
      <c r="G30" s="67" t="inlineStr">
        <is>
          <t>Every identifier is now matched against a strict allowlist pattern immediately before interpolation, so the bandit suppression is backed by an executed check rather than by a promise. A change that made the list data-reachable fails loudly instead of building a query.</t>
        </is>
      </c>
      <c r="H30" s="67" t="inlineStr">
        <is>
          <t>10 hostile identifiers refused (statement terminator, subquery, quoting, whitespace, comment, dotted, empty, leading digit, case, newline) plus a control that the 8 real column names pass, plus a structural test that the guard runs BEFORE interpolation</t>
        </is>
      </c>
      <c r="I30" s="76" t="n"/>
      <c r="J30" s="76" t="n"/>
      <c r="K30" s="76" t="n"/>
    </row>
    <row r="31" ht="120" customHeight="1" s="59">
      <c r="A31" s="67" t="inlineStr">
        <is>
          <t>QA-SEC-27</t>
        </is>
      </c>
      <c r="B31" s="67" t="inlineStr">
        <is>
          <t>MEDIUM</t>
        </is>
      </c>
      <c r="C31" s="67" t="inlineStr">
        <is>
          <t>Secret containment</t>
        </is>
      </c>
      <c r="D31" s="66" t="inlineStr">
        <is>
          <t>Fixed</t>
        </is>
      </c>
      <c r="E31" s="67" t="inlineStr">
        <is>
          <t>26 statements of secrets.py had never been executed by any test - including __reduce__, __getstate__, __eq__, __hash__ and every rendering dunder. These are precisely the methods that enforce invariant 4, 'secrets never render'.</t>
        </is>
      </c>
      <c r="F31" s="67" t="inlineStr">
        <is>
          <t>The quiet exfiltration path is serialisation: anything picklable can reach Redis, a cache or a crash dump. Untested containment is indistinguishable from absent containment until the day it matters.</t>
        </is>
      </c>
      <c r="G31" s="67" t="inlineStr">
        <is>
          <t>15 probes covering pickle, deepcopy, constant-time comparison, hashing that does not derive from the plaintext, and every string-formatting path.</t>
        </is>
      </c>
      <c r="H31" s="67" t="inlineStr">
        <is>
          <t>tests/security/test_secrets_providers.py TestSecretStringCannotEscapeItsWrapper</t>
        </is>
      </c>
      <c r="I31" s="76" t="n"/>
      <c r="J31" s="76" t="n"/>
      <c r="K31" s="76" t="n"/>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1" customWidth="1" style="59" min="1" max="1"/>
    <col width="12" customWidth="1" style="59" min="2" max="2"/>
    <col width="11" customWidth="1" style="59" min="3" max="3"/>
    <col width="10" customWidth="1" style="59" min="4" max="4"/>
    <col width="22" customWidth="1" style="59" min="5" max="5"/>
    <col width="14" customWidth="1" style="59" min="6" max="6"/>
    <col width="46" customWidth="1" style="59" min="7" max="7"/>
    <col width="40" customWidth="1" style="59" min="8" max="8"/>
    <col width="40" customWidth="1" style="59" min="9" max="9"/>
    <col width="40" customWidth="1" style="59" min="10" max="10"/>
    <col width="34" customWidth="1" style="59" min="11" max="11"/>
    <col width="18" customWidth="1" style="59" min="12" max="12"/>
  </cols>
  <sheetData>
    <row r="1">
      <c r="A1" s="61" t="inlineStr">
        <is>
          <t>SIT DEFECTS — System Integration Testing</t>
        </is>
      </c>
    </row>
    <row r="2" ht="42" customHeight="1" s="59">
      <c r="A2" s="76" t="inlineStr">
        <is>
          <t>Raised during SIT on the QA branch, after component and integration QA have passed. A defect here is by definition something no component test could see — record what the SYSTEM did, not what a unit returned.</t>
        </is>
      </c>
    </row>
    <row r="4" ht="32" customHeight="1" s="59">
      <c r="A4" s="82" t="inlineStr">
        <is>
          <t>SIT ID</t>
        </is>
      </c>
      <c r="B4" s="82" t="inlineStr">
        <is>
          <t>Date</t>
        </is>
      </c>
      <c r="C4" s="82" t="inlineStr">
        <is>
          <t>Story</t>
        </is>
      </c>
      <c r="D4" s="82" t="inlineStr">
        <is>
          <t>Severity</t>
        </is>
      </c>
      <c r="E4" s="82" t="inlineStr">
        <is>
          <t>Component</t>
        </is>
      </c>
      <c r="F4" s="82" t="inlineStr">
        <is>
          <t>Status</t>
        </is>
      </c>
      <c r="G4" s="82" t="inlineStr">
        <is>
          <t>What happened</t>
        </is>
      </c>
      <c r="H4" s="84" t="inlineStr">
        <is>
          <t>Why component tests missed it</t>
        </is>
      </c>
      <c r="I4" s="83" t="inlineStr">
        <is>
          <t>Root cause</t>
        </is>
      </c>
      <c r="J4" s="83" t="inlineStr">
        <is>
          <t>Fix</t>
        </is>
      </c>
      <c r="K4" s="85" t="inlineStr">
        <is>
          <t>Regression test</t>
        </is>
      </c>
      <c r="L4" s="85" t="inlineStr">
        <is>
          <t>Backlog item raised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2026-08-05T16:21:12Z</dcterms:created>
  <dcterms:modified xsi:type="dcterms:W3CDTF">2026-09-01T15:21:25Z</dcterms:modified>
  <cp:lastModifiedBy>Gopikrishnan Sreekumar</cp:lastModifiedBy>
  <cp:revision>0</cp:revision>
</cp:coreProperties>
</file>