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xmlns:r="http://schemas.openxmlformats.org/officeDocument/2006/relationships" name="Dashboard" sheetId="1" state="visible" r:id="rId1"/>
    <sheet xmlns:r="http://schemas.openxmlformats.org/officeDocument/2006/relationships" name="Backlog" sheetId="2" state="visible" r:id="rId2"/>
    <sheet xmlns:r="http://schemas.openxmlformats.org/officeDocument/2006/relationships" name="Blockers" sheetId="3" state="visible" r:id="rId3"/>
    <sheet xmlns:r="http://schemas.openxmlformats.org/officeDocument/2006/relationships" name="E01 Blockers" sheetId="4" state="visible" r:id="rId4"/>
    <sheet xmlns:r="http://schemas.openxmlformats.org/officeDocument/2006/relationships" name="QA Results" sheetId="5" state="visible" r:id="rId5"/>
    <sheet xmlns:r="http://schemas.openxmlformats.org/officeDocument/2006/relationships" name="Security Findings" sheetId="6" state="visible" r:id="rId6"/>
    <sheet xmlns:r="http://schemas.openxmlformats.org/officeDocument/2006/relationships" name="Sprint Plan" sheetId="7" state="visible" r:id="rId7"/>
    <sheet xmlns:r="http://schemas.openxmlformats.org/officeDocument/2006/relationships" name="Reference" sheetId="8" state="visible" r:id="rId8"/>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6"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5">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s>
  <fills count="27">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Stories by status</a:t>
            </a:r>
          </a:p>
        </rich>
      </tx>
    </title>
    <plotArea>
      <pieChart>
        <varyColors val="1"/>
        <ser>
          <idx val="0"/>
          <order val="0"/>
          <tx>
            <strRef>
              <f>'Dashboard'!B60</f>
            </strRef>
          </tx>
          <spPr>
            <a:ln xmlns:a="http://schemas.openxmlformats.org/drawingml/2006/mai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Effort by phase — closed vs remaining</a:t>
            </a:r>
          </a:p>
        </rich>
      </tx>
    </title>
    <plotArea>
      <barChart>
        <barDir val="col"/>
        <grouping val="stacked"/>
        <ser>
          <idx val="0"/>
          <order val="0"/>
          <tx>
            <strRef>
              <f>'Dashboard'!B76</f>
            </strRef>
          </tx>
          <spPr>
            <a:ln xmlns:a="http://schemas.openxmlformats.org/drawingml/2006/main">
              <a:prstDash val="solid"/>
            </a:ln>
          </spPr>
          <cat>
            <numRef>
              <f>'Dashboard'!$A$77:$A$85</f>
            </numRef>
          </cat>
          <val>
            <numRef>
              <f>'Dashboard'!$B$77:$B$85</f>
            </numRef>
          </val>
        </ser>
        <ser>
          <idx val="1"/>
          <order val="1"/>
          <tx>
            <strRef>
              <f>'Dashboard'!C76</f>
            </strRef>
          </tx>
          <spPr>
            <a:ln xmlns:a="http://schemas.openxmlformats.org/drawingml/2006/main">
              <a:prstDash val="solid"/>
            </a:ln>
          </spPr>
          <cat>
            <numRef>
              <f>'Dashboard'!$A$77:$A$85</f>
            </numRef>
          </cat>
          <val>
            <numRef>
              <f>'Dashboard'!$C$77:$C$85</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Phase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Completion by epic</a:t>
            </a:r>
          </a:p>
        </rich>
      </tx>
    </title>
    <plotArea>
      <barChart>
        <barDir val="bar"/>
        <grouping val="clustered"/>
        <ser>
          <idx val="0"/>
          <order val="0"/>
          <tx>
            <strRef>
              <f>'Dashboard'!B88</f>
            </strRef>
          </tx>
          <spPr>
            <a:ln xmlns:a="http://schemas.openxmlformats.org/drawingml/2006/main">
              <a:prstDash val="solid"/>
            </a:ln>
          </spPr>
          <cat>
            <numRef>
              <f>'Dashboard'!$A$89:$A$112</f>
            </numRef>
          </cat>
          <val>
            <numRef>
              <f>'Dashboard'!$B$89:$B$112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E01 security findings by severity (all fixed)</a:t>
            </a:r>
          </a:p>
        </rich>
      </tx>
    </title>
    <plotArea>
      <barChart>
        <barDir val="col"/>
        <grouping val="clustered"/>
        <ser>
          <idx val="0"/>
          <order val="0"/>
          <spPr>
            <a:ln xmlns:a="http://schemas.openxmlformats.org/drawingml/2006/mai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Findings</a:t>
                </a:r>
              </a:p>
            </rich>
          </tx>
        </title>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E01 QA outcomes</a:t>
            </a:r>
          </a:p>
        </rich>
      </tx>
    </title>
    <plotArea>
      <pieChart>
        <varyColors val="1"/>
        <ser>
          <idx val="0"/>
          <order val="0"/>
          <tx>
            <strRef>
              <f>'QA Results'!J4</f>
            </strRef>
          </tx>
          <spPr>
            <a:ln xmlns:a="http://schemas.openxmlformats.org/drawingml/2006/mai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Findings by severity (all fixed)</a:t>
            </a:r>
          </a:p>
        </rich>
      </tx>
    </title>
    <plotArea>
      <barChart>
        <barDir val="col"/>
        <grouping val="clustered"/>
        <ser>
          <idx val="0"/>
          <order val="0"/>
          <tx>
            <strRef>
              <f>'Security Findings'!K4</f>
            </strRef>
          </tx>
          <spPr>
            <a:ln xmlns:a="http://schemas.openxmlformats.org/drawingml/2006/mai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_rels/drawing3.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3</col>
      <colOff>0</colOff>
      <row>59</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75</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87</row>
      <rowOff>0</rowOff>
    </from>
    <ext cx="5040000" cy="57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3</col>
      <colOff>0</colOff>
      <row>114</row>
      <rowOff>0</rowOff>
    </from>
    <ext cx="504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8</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9</col>
      <colOff>0</colOff>
      <row>9</row>
      <rowOff>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COUNTA(Backlog!$A$5:$A$197)</f>
        <v/>
      </c>
      <c r="F6" s="7" t="inlineStr">
        <is>
          <t>E00</t>
        </is>
      </c>
      <c r="G6" s="5" t="inlineStr">
        <is>
          <t>FOUNDATION</t>
        </is>
      </c>
      <c r="H6" s="8" t="inlineStr">
        <is>
          <t>0</t>
        </is>
      </c>
      <c r="I6" s="8">
        <f>COUNTIF(Backlog!$B$5:$B$197,$F6)</f>
        <v/>
      </c>
      <c r="J6" s="9">
        <f>SUMIF(Backlog!$B$5:$B$197,$F6,Backlog!$J$5:$J$197)</f>
        <v/>
      </c>
      <c r="K6" s="8">
        <f>COUNTIFS(Backlog!$B$5:$B$197,$F6,Backlog!$E$5:$E$197,"Closed")</f>
        <v/>
      </c>
      <c r="L6" s="10">
        <f>IFERROR($K6/$I6,0)</f>
        <v/>
      </c>
    </row>
    <row r="7">
      <c r="A7" s="5" t="inlineStr">
        <is>
          <t>Total estimated days</t>
        </is>
      </c>
      <c r="B7" s="11">
        <f>SUM(Backlog!$J$5:$J$197)</f>
        <v/>
      </c>
      <c r="F7" s="7" t="inlineStr">
        <is>
          <t>E01</t>
        </is>
      </c>
      <c r="G7" s="5" t="inlineStr">
        <is>
          <t>PERSISTENCE &amp; DATA LAYER</t>
        </is>
      </c>
      <c r="H7" s="8" t="inlineStr">
        <is>
          <t>1</t>
        </is>
      </c>
      <c r="I7" s="8">
        <f>COUNTIF(Backlog!$B$5:$B$197,$F7)</f>
        <v/>
      </c>
      <c r="J7" s="9">
        <f>SUMIF(Backlog!$B$5:$B$197,$F7,Backlog!$J$5:$J$197)</f>
        <v/>
      </c>
      <c r="K7" s="8">
        <f>COUNTIFS(Backlog!$B$5:$B$197,$F7,Backlog!$E$5:$E$197,"Closed")</f>
        <v/>
      </c>
      <c r="L7" s="10">
        <f>IFERROR($K7/$I7,0)</f>
        <v/>
      </c>
    </row>
    <row r="8">
      <c r="A8" s="5" t="inlineStr">
        <is>
          <t>Closed</t>
        </is>
      </c>
      <c r="B8" s="6">
        <f>COUNTIF(Backlog!$E$5:$E$197,"Closed")</f>
        <v/>
      </c>
      <c r="F8" s="7" t="inlineStr">
        <is>
          <t>E02</t>
        </is>
      </c>
      <c r="G8" s="5" t="inlineStr">
        <is>
          <t>BROKER INTEGRATION</t>
        </is>
      </c>
      <c r="H8" s="8" t="inlineStr">
        <is>
          <t>1</t>
        </is>
      </c>
      <c r="I8" s="8">
        <f>COUNTIF(Backlog!$B$5:$B$197,$F8)</f>
        <v/>
      </c>
      <c r="J8" s="9">
        <f>SUMIF(Backlog!$B$5:$B$197,$F8,Backlog!$J$5:$J$197)</f>
        <v/>
      </c>
      <c r="K8" s="8">
        <f>COUNTIFS(Backlog!$B$5:$B$197,$F8,Backlog!$E$5:$E$197,"Closed")</f>
        <v/>
      </c>
      <c r="L8" s="10">
        <f>IFERROR($K8/$I8,0)</f>
        <v/>
      </c>
    </row>
    <row r="9">
      <c r="A9" s="5" t="inlineStr">
        <is>
          <t>In flight (Active→QA)</t>
        </is>
      </c>
      <c r="B9" s="6">
        <f>SUMPRODUCT(COUNTIF(Backlog!$E$5:$E$197,{"Active","Development In-Progress","Development Completed","QA In-Progress","QA-Success"}))</f>
        <v/>
      </c>
      <c r="F9" s="7" t="inlineStr">
        <is>
          <t>E03</t>
        </is>
      </c>
      <c r="G9" s="5" t="inlineStr">
        <is>
          <t>HISTORICAL DATA</t>
        </is>
      </c>
      <c r="H9" s="8" t="inlineStr">
        <is>
          <t>1</t>
        </is>
      </c>
      <c r="I9" s="8">
        <f>COUNTIF(Backlog!$B$5:$B$197,$F9)</f>
        <v/>
      </c>
      <c r="J9" s="9">
        <f>SUMIF(Backlog!$B$5:$B$197,$F9,Backlog!$J$5:$J$197)</f>
        <v/>
      </c>
      <c r="K9" s="8">
        <f>COUNTIFS(Backlog!$B$5:$B$197,$F9,Backlog!$E$5:$E$197,"Closed")</f>
        <v/>
      </c>
      <c r="L9" s="10">
        <f>IFERROR($K9/$I9,0)</f>
        <v/>
      </c>
    </row>
    <row r="10">
      <c r="A10" s="5" t="inlineStr">
        <is>
          <t>Not started (New)</t>
        </is>
      </c>
      <c r="B10" s="6">
        <f>COUNTIF(Backlog!$E$5:$E$197,"New")</f>
        <v/>
      </c>
      <c r="F10" s="7" t="inlineStr">
        <is>
          <t>E04</t>
        </is>
      </c>
      <c r="G10" s="5" t="inlineStr">
        <is>
          <t>INDIA HAZARD LISTS</t>
        </is>
      </c>
      <c r="H10" s="8" t="inlineStr">
        <is>
          <t>1</t>
        </is>
      </c>
      <c r="I10" s="8">
        <f>COUNTIF(Backlog!$B$5:$B$197,$F10)</f>
        <v/>
      </c>
      <c r="J10" s="9">
        <f>SUMIF(Backlog!$B$5:$B$197,$F10,Backlog!$J$5:$J$197)</f>
        <v/>
      </c>
      <c r="K10" s="8">
        <f>COUNTIFS(Backlog!$B$5:$B$197,$F10,Backlog!$E$5:$E$197,"Closed")</f>
        <v/>
      </c>
      <c r="L10" s="10">
        <f>IFERROR($K10/$I10,0)</f>
        <v/>
      </c>
    </row>
    <row r="11">
      <c r="A11" s="5" t="inlineStr">
        <is>
          <t>Blocked / On Hold</t>
        </is>
      </c>
      <c r="B11" s="6">
        <f>COUNTIF(Backlog!$E$5:$E$197,"Blocked")+COUNTIF(Backlog!$E$5:$E$197,"On Hold")</f>
        <v/>
      </c>
      <c r="F11" s="7" t="inlineStr">
        <is>
          <t>E05</t>
        </is>
      </c>
      <c r="G11" s="5" t="inlineStr">
        <is>
          <t>MARKET DATA INGESTION</t>
        </is>
      </c>
      <c r="H11" s="8" t="inlineStr">
        <is>
          <t>1</t>
        </is>
      </c>
      <c r="I11" s="8">
        <f>COUNTIF(Backlog!$B$5:$B$197,$F11)</f>
        <v/>
      </c>
      <c r="J11" s="9">
        <f>SUMIF(Backlog!$B$5:$B$197,$F11,Backlog!$J$5:$J$197)</f>
        <v/>
      </c>
      <c r="K11" s="8">
        <f>COUNTIFS(Backlog!$B$5:$B$197,$F11,Backlog!$E$5:$E$197,"Closed")</f>
        <v/>
      </c>
      <c r="L11" s="10">
        <f>IFERROR($K11/$I11,0)</f>
        <v/>
      </c>
    </row>
    <row r="12">
      <c r="A12" s="5" t="inlineStr">
        <is>
          <t>% Complete</t>
        </is>
      </c>
      <c r="B12" s="12">
        <f>IFERROR(COUNTIF(Backlog!$E$5:$E$197,"Closed")/COUNTA(Backlog!$A$5:$A$197),0)</f>
        <v/>
      </c>
      <c r="F12" s="7" t="inlineStr">
        <is>
          <t>E06</t>
        </is>
      </c>
      <c r="G12" s="5" t="inlineStr">
        <is>
          <t>TECHNICAL ANALYSIS ENGINE</t>
        </is>
      </c>
      <c r="H12" s="8" t="inlineStr">
        <is>
          <t>2</t>
        </is>
      </c>
      <c r="I12" s="8">
        <f>COUNTIF(Backlog!$B$5:$B$197,$F12)</f>
        <v/>
      </c>
      <c r="J12" s="9">
        <f>SUMIF(Backlog!$B$5:$B$197,$F12,Backlog!$J$5:$J$197)</f>
        <v/>
      </c>
      <c r="K12" s="8">
        <f>COUNTIFS(Backlog!$B$5:$B$197,$F12,Backlog!$E$5:$E$197,"Closed")</f>
        <v/>
      </c>
      <c r="L12" s="10">
        <f>IFERROR($K12/$I12,0)</f>
        <v/>
      </c>
    </row>
    <row r="13">
      <c r="A13" s="5" t="inlineStr">
        <is>
          <t>Days closed</t>
        </is>
      </c>
      <c r="B13" s="11">
        <f>SUMIF(Backlog!$E$5:$E$197,"Closed",Backlog!$J$5:$J$197)</f>
        <v/>
      </c>
      <c r="F13" s="7" t="inlineStr">
        <is>
          <t>E07</t>
        </is>
      </c>
      <c r="G13" s="5" t="inlineStr">
        <is>
          <t>UNIVERSE &amp; SCORING</t>
        </is>
      </c>
      <c r="H13" s="8" t="inlineStr">
        <is>
          <t>2</t>
        </is>
      </c>
      <c r="I13" s="8">
        <f>COUNTIF(Backlog!$B$5:$B$197,$F13)</f>
        <v/>
      </c>
      <c r="J13" s="9">
        <f>SUMIF(Backlog!$B$5:$B$197,$F13,Backlog!$J$5:$J$197)</f>
        <v/>
      </c>
      <c r="K13" s="8">
        <f>COUNTIFS(Backlog!$B$5:$B$197,$F13,Backlog!$E$5:$E$197,"Closed")</f>
        <v/>
      </c>
      <c r="L13" s="10">
        <f>IFERROR($K13/$I13,0)</f>
        <v/>
      </c>
    </row>
    <row r="14">
      <c r="A14" s="5" t="inlineStr">
        <is>
          <t>Days remaining</t>
        </is>
      </c>
      <c r="B14" s="11">
        <f>SUM(Backlog!$J$5:$J$197)-SUMIF(Backlog!$E$5:$E$197,"Closed",Backlog!$J$5:$J$197)</f>
        <v/>
      </c>
      <c r="F14" s="7" t="inlineStr">
        <is>
          <t>E08</t>
        </is>
      </c>
      <c r="G14" s="5" t="inlineStr">
        <is>
          <t>NEWS INTELLIGENCE</t>
        </is>
      </c>
      <c r="H14" s="8" t="inlineStr">
        <is>
          <t>3</t>
        </is>
      </c>
      <c r="I14" s="8">
        <f>COUNTIF(Backlog!$B$5:$B$197,$F14)</f>
        <v/>
      </c>
      <c r="J14" s="9">
        <f>SUMIF(Backlog!$B$5:$B$197,$F14,Backlog!$J$5:$J$197)</f>
        <v/>
      </c>
      <c r="K14" s="8">
        <f>COUNTIFS(Backlog!$B$5:$B$197,$F14,Backlog!$E$5:$E$197,"Closed")</f>
        <v/>
      </c>
      <c r="L14" s="10">
        <f>IFERROR($K14/$I14,0)</f>
        <v/>
      </c>
    </row>
    <row r="15">
      <c r="F15" s="7" t="inlineStr">
        <is>
          <t>E09</t>
        </is>
      </c>
      <c r="G15" s="5" t="inlineStr">
        <is>
          <t>MACRO CONTEXT</t>
        </is>
      </c>
      <c r="H15" s="8" t="inlineStr">
        <is>
          <t>3</t>
        </is>
      </c>
      <c r="I15" s="8">
        <f>COUNTIF(Backlog!$B$5:$B$197,$F15)</f>
        <v/>
      </c>
      <c r="J15" s="9">
        <f>SUMIF(Backlog!$B$5:$B$197,$F15,Backlog!$J$5:$J$197)</f>
        <v/>
      </c>
      <c r="K15" s="8">
        <f>COUNTIFS(Backlog!$B$5:$B$197,$F15,Backlog!$E$5:$E$197,"Closed")</f>
        <v/>
      </c>
      <c r="L15" s="10">
        <f>IFERROR($K15/$I15,0)</f>
        <v/>
      </c>
    </row>
    <row r="16">
      <c r="A16" s="3" t="inlineStr">
        <is>
          <t>BY STATUS</t>
        </is>
      </c>
      <c r="F16" s="7" t="inlineStr">
        <is>
          <t>E10</t>
        </is>
      </c>
      <c r="G16" s="5" t="inlineStr">
        <is>
          <t>AI LAYER</t>
        </is>
      </c>
      <c r="H16" s="8" t="inlineStr">
        <is>
          <t>3</t>
        </is>
      </c>
      <c r="I16" s="8">
        <f>COUNTIF(Backlog!$B$5:$B$197,$F16)</f>
        <v/>
      </c>
      <c r="J16" s="9">
        <f>SUMIF(Backlog!$B$5:$B$197,$F16,Backlog!$J$5:$J$197)</f>
        <v/>
      </c>
      <c r="K16" s="8">
        <f>COUNTIFS(Backlog!$B$5:$B$197,$F16,Backlog!$E$5:$E$197,"Closed")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COUNTIF(Backlog!$B$5:$B$197,$F17)</f>
        <v/>
      </c>
      <c r="J17" s="9">
        <f>SUMIF(Backlog!$B$5:$B$197,$F17,Backlog!$J$5:$J$197)</f>
        <v/>
      </c>
      <c r="K17" s="8">
        <f>COUNTIFS(Backlog!$B$5:$B$197,$F17,Backlog!$E$5:$E$197,"Closed")</f>
        <v/>
      </c>
      <c r="L17" s="10">
        <f>IFERROR($K17/$I17,0)</f>
        <v/>
      </c>
    </row>
    <row r="18">
      <c r="A18" s="13" t="inlineStr">
        <is>
          <t>New</t>
        </is>
      </c>
      <c r="B18" s="8">
        <f>COUNTIF(Backlog!$E$5:$E$197,$A18)</f>
        <v/>
      </c>
      <c r="C18" s="14">
        <f>IFERROR($B18/COUNTA(Backlog!$A$5:$A$197),0)</f>
        <v/>
      </c>
      <c r="D18" s="9">
        <f>SUMIF(Backlog!$E$5:$E$197,$A18,Backlog!$J$5:$J$197)</f>
        <v/>
      </c>
      <c r="F18" s="7" t="inlineStr">
        <is>
          <t>E12</t>
        </is>
      </c>
      <c r="G18" s="5" t="inlineStr">
        <is>
          <t>STRATEGY ENGINE</t>
        </is>
      </c>
      <c r="H18" s="8" t="inlineStr">
        <is>
          <t>5</t>
        </is>
      </c>
      <c r="I18" s="8">
        <f>COUNTIF(Backlog!$B$5:$B$197,$F18)</f>
        <v/>
      </c>
      <c r="J18" s="9">
        <f>SUMIF(Backlog!$B$5:$B$197,$F18,Backlog!$J$5:$J$197)</f>
        <v/>
      </c>
      <c r="K18" s="8">
        <f>COUNTIFS(Backlog!$B$5:$B$197,$F18,Backlog!$E$5:$E$197,"Closed")</f>
        <v/>
      </c>
      <c r="L18" s="10">
        <f>IFERROR($K18/$I18,0)</f>
        <v/>
      </c>
    </row>
    <row r="19">
      <c r="A19" s="15" t="inlineStr">
        <is>
          <t>Business Review</t>
        </is>
      </c>
      <c r="B19" s="8">
        <f>COUNTIF(Backlog!$E$5:$E$197,$A19)</f>
        <v/>
      </c>
      <c r="C19" s="14">
        <f>IFERROR($B19/COUNTA(Backlog!$A$5:$A$197),0)</f>
        <v/>
      </c>
      <c r="D19" s="9">
        <f>SUMIF(Backlog!$E$5:$E$197,$A19,Backlog!$J$5:$J$197)</f>
        <v/>
      </c>
      <c r="F19" s="7" t="inlineStr">
        <is>
          <t>E13</t>
        </is>
      </c>
      <c r="G19" s="5" t="inlineStr">
        <is>
          <t>SIGNAL ENGINE</t>
        </is>
      </c>
      <c r="H19" s="8" t="inlineStr">
        <is>
          <t>4</t>
        </is>
      </c>
      <c r="I19" s="8">
        <f>COUNTIF(Backlog!$B$5:$B$197,$F19)</f>
        <v/>
      </c>
      <c r="J19" s="9">
        <f>SUMIF(Backlog!$B$5:$B$197,$F19,Backlog!$J$5:$J$197)</f>
        <v/>
      </c>
      <c r="K19" s="8">
        <f>COUNTIFS(Backlog!$B$5:$B$197,$F19,Backlog!$E$5:$E$197,"Closed")</f>
        <v/>
      </c>
      <c r="L19" s="10">
        <f>IFERROR($K19/$I19,0)</f>
        <v/>
      </c>
    </row>
    <row r="20">
      <c r="A20" s="16" t="inlineStr">
        <is>
          <t>Business Approved</t>
        </is>
      </c>
      <c r="B20" s="8">
        <f>COUNTIF(Backlog!$E$5:$E$197,$A20)</f>
        <v/>
      </c>
      <c r="C20" s="14">
        <f>IFERROR($B20/COUNTA(Backlog!$A$5:$A$197),0)</f>
        <v/>
      </c>
      <c r="D20" s="9">
        <f>SUMIF(Backlog!$E$5:$E$197,$A20,Backlog!$J$5:$J$197)</f>
        <v/>
      </c>
      <c r="F20" s="7" t="inlineStr">
        <is>
          <t>E14</t>
        </is>
      </c>
      <c r="G20" s="5" t="inlineStr">
        <is>
          <t>RISK ENGINE</t>
        </is>
      </c>
      <c r="H20" s="8" t="inlineStr">
        <is>
          <t>5</t>
        </is>
      </c>
      <c r="I20" s="8">
        <f>COUNTIF(Backlog!$B$5:$B$197,$F20)</f>
        <v/>
      </c>
      <c r="J20" s="9">
        <f>SUMIF(Backlog!$B$5:$B$197,$F20,Backlog!$J$5:$J$197)</f>
        <v/>
      </c>
      <c r="K20" s="8">
        <f>COUNTIFS(Backlog!$B$5:$B$197,$F20,Backlog!$E$5:$E$197,"Closed")</f>
        <v/>
      </c>
      <c r="L20" s="10">
        <f>IFERROR($K20/$I20,0)</f>
        <v/>
      </c>
    </row>
    <row r="21">
      <c r="A21" s="17" t="inlineStr">
        <is>
          <t>Active</t>
        </is>
      </c>
      <c r="B21" s="8">
        <f>COUNTIF(Backlog!$E$5:$E$197,$A21)</f>
        <v/>
      </c>
      <c r="C21" s="14">
        <f>IFERROR($B21/COUNTA(Backlog!$A$5:$A$197),0)</f>
        <v/>
      </c>
      <c r="D21" s="9">
        <f>SUMIF(Backlog!$E$5:$E$197,$A21,Backlog!$J$5:$J$197)</f>
        <v/>
      </c>
      <c r="F21" s="7" t="inlineStr">
        <is>
          <t>E15</t>
        </is>
      </c>
      <c r="G21" s="5" t="inlineStr">
        <is>
          <t>EXECUTION &amp; POSITIONS</t>
        </is>
      </c>
      <c r="H21" s="8" t="inlineStr">
        <is>
          <t>5</t>
        </is>
      </c>
      <c r="I21" s="8">
        <f>COUNTIF(Backlog!$B$5:$B$197,$F21)</f>
        <v/>
      </c>
      <c r="J21" s="9">
        <f>SUMIF(Backlog!$B$5:$B$197,$F21,Backlog!$J$5:$J$197)</f>
        <v/>
      </c>
      <c r="K21" s="8">
        <f>COUNTIFS(Backlog!$B$5:$B$197,$F21,Backlog!$E$5:$E$197,"Closed")</f>
        <v/>
      </c>
      <c r="L21" s="10">
        <f>IFERROR($K21/$I21,0)</f>
        <v/>
      </c>
    </row>
    <row r="22">
      <c r="A22" s="18" t="inlineStr">
        <is>
          <t>Development In-Progress</t>
        </is>
      </c>
      <c r="B22" s="8">
        <f>COUNTIF(Backlog!$E$5:$E$197,$A22)</f>
        <v/>
      </c>
      <c r="C22" s="14">
        <f>IFERROR($B22/COUNTA(Backlog!$A$5:$A$197),0)</f>
        <v/>
      </c>
      <c r="D22" s="9">
        <f>SUMIF(Backlog!$E$5:$E$197,$A22,Backlog!$J$5:$J$197)</f>
        <v/>
      </c>
      <c r="F22" s="7" t="inlineStr">
        <is>
          <t>E16</t>
        </is>
      </c>
      <c r="G22" s="5" t="inlineStr">
        <is>
          <t>AUTONOMY &amp; APPROVAL</t>
        </is>
      </c>
      <c r="H22" s="8" t="inlineStr">
        <is>
          <t>5</t>
        </is>
      </c>
      <c r="I22" s="8">
        <f>COUNTIF(Backlog!$B$5:$B$197,$F22)</f>
        <v/>
      </c>
      <c r="J22" s="9">
        <f>SUMIF(Backlog!$B$5:$B$197,$F22,Backlog!$J$5:$J$197)</f>
        <v/>
      </c>
      <c r="K22" s="8">
        <f>COUNTIFS(Backlog!$B$5:$B$197,$F22,Backlog!$E$5:$E$197,"Closed")</f>
        <v/>
      </c>
      <c r="L22" s="10">
        <f>IFERROR($K22/$I22,0)</f>
        <v/>
      </c>
    </row>
    <row r="23">
      <c r="A23" s="19" t="inlineStr">
        <is>
          <t>Development Completed</t>
        </is>
      </c>
      <c r="B23" s="8">
        <f>COUNTIF(Backlog!$E$5:$E$197,$A23)</f>
        <v/>
      </c>
      <c r="C23" s="14">
        <f>IFERROR($B23/COUNTA(Backlog!$A$5:$A$197),0)</f>
        <v/>
      </c>
      <c r="D23" s="9">
        <f>SUMIF(Backlog!$E$5:$E$197,$A23,Backlog!$J$5:$J$197)</f>
        <v/>
      </c>
      <c r="F23" s="7" t="inlineStr">
        <is>
          <t>E17</t>
        </is>
      </c>
      <c r="G23" s="5" t="inlineStr">
        <is>
          <t>DASHBOARD UI</t>
        </is>
      </c>
      <c r="H23" s="8" t="inlineStr">
        <is>
          <t>4/6</t>
        </is>
      </c>
      <c r="I23" s="8">
        <f>COUNTIF(Backlog!$B$5:$B$197,$F23)</f>
        <v/>
      </c>
      <c r="J23" s="9">
        <f>SUMIF(Backlog!$B$5:$B$197,$F23,Backlog!$J$5:$J$197)</f>
        <v/>
      </c>
      <c r="K23" s="8">
        <f>COUNTIFS(Backlog!$B$5:$B$197,$F23,Backlog!$E$5:$E$197,"Closed")</f>
        <v/>
      </c>
      <c r="L23" s="10">
        <f>IFERROR($K23/$I23,0)</f>
        <v/>
      </c>
    </row>
    <row r="24">
      <c r="A24" s="20" t="inlineStr">
        <is>
          <t>QA In-Progress</t>
        </is>
      </c>
      <c r="B24" s="8">
        <f>COUNTIF(Backlog!$E$5:$E$197,$A24)</f>
        <v/>
      </c>
      <c r="C24" s="14">
        <f>IFERROR($B24/COUNTA(Backlog!$A$5:$A$197),0)</f>
        <v/>
      </c>
      <c r="D24" s="9">
        <f>SUMIF(Backlog!$E$5:$E$197,$A24,Backlog!$J$5:$J$197)</f>
        <v/>
      </c>
      <c r="F24" s="7" t="inlineStr">
        <is>
          <t>E18</t>
        </is>
      </c>
      <c r="G24" s="5" t="inlineStr">
        <is>
          <t>ADMIN UI</t>
        </is>
      </c>
      <c r="H24" s="8" t="inlineStr">
        <is>
          <t>6</t>
        </is>
      </c>
      <c r="I24" s="8">
        <f>COUNTIF(Backlog!$B$5:$B$197,$F24)</f>
        <v/>
      </c>
      <c r="J24" s="9">
        <f>SUMIF(Backlog!$B$5:$B$197,$F24,Backlog!$J$5:$J$197)</f>
        <v/>
      </c>
      <c r="K24" s="8">
        <f>COUNTIFS(Backlog!$B$5:$B$197,$F24,Backlog!$E$5:$E$197,"Closed")</f>
        <v/>
      </c>
      <c r="L24" s="10">
        <f>IFERROR($K24/$I24,0)</f>
        <v/>
      </c>
    </row>
    <row r="25">
      <c r="A25" s="21" t="inlineStr">
        <is>
          <t>QA-Success</t>
        </is>
      </c>
      <c r="B25" s="8">
        <f>COUNTIF(Backlog!$E$5:$E$197,$A25)</f>
        <v/>
      </c>
      <c r="C25" s="14">
        <f>IFERROR($B25/COUNTA(Backlog!$A$5:$A$197),0)</f>
        <v/>
      </c>
      <c r="D25" s="9">
        <f>SUMIF(Backlog!$E$5:$E$197,$A25,Backlog!$J$5:$J$197)</f>
        <v/>
      </c>
      <c r="F25" s="7" t="inlineStr">
        <is>
          <t>E19</t>
        </is>
      </c>
      <c r="G25" s="5" t="inlineStr">
        <is>
          <t>NOTIFICATIONS</t>
        </is>
      </c>
      <c r="H25" s="8" t="inlineStr">
        <is>
          <t>3/4</t>
        </is>
      </c>
      <c r="I25" s="8">
        <f>COUNTIF(Backlog!$B$5:$B$197,$F25)</f>
        <v/>
      </c>
      <c r="J25" s="9">
        <f>SUMIF(Backlog!$B$5:$B$197,$F25,Backlog!$J$5:$J$197)</f>
        <v/>
      </c>
      <c r="K25" s="8">
        <f>COUNTIFS(Backlog!$B$5:$B$197,$F25,Backlog!$E$5:$E$197,"Closed")</f>
        <v/>
      </c>
      <c r="L25" s="10">
        <f>IFERROR($K25/$I25,0)</f>
        <v/>
      </c>
    </row>
    <row r="26">
      <c r="A26" s="22" t="inlineStr">
        <is>
          <t>QA-Fail</t>
        </is>
      </c>
      <c r="B26" s="8">
        <f>COUNTIF(Backlog!$E$5:$E$197,$A26)</f>
        <v/>
      </c>
      <c r="C26" s="14">
        <f>IFERROR($B26/COUNTA(Backlog!$A$5:$A$197),0)</f>
        <v/>
      </c>
      <c r="D26" s="9">
        <f>SUMIF(Backlog!$E$5:$E$197,$A26,Backlog!$J$5:$J$197)</f>
        <v/>
      </c>
      <c r="F26" s="7" t="inlineStr">
        <is>
          <t>E20</t>
        </is>
      </c>
      <c r="G26" s="5" t="inlineStr">
        <is>
          <t>OBSERVABILITY</t>
        </is>
      </c>
      <c r="H26" s="8" t="inlineStr">
        <is>
          <t>6</t>
        </is>
      </c>
      <c r="I26" s="8">
        <f>COUNTIF(Backlog!$B$5:$B$197,$F26)</f>
        <v/>
      </c>
      <c r="J26" s="9">
        <f>SUMIF(Backlog!$B$5:$B$197,$F26,Backlog!$J$5:$J$197)</f>
        <v/>
      </c>
      <c r="K26" s="8">
        <f>COUNTIFS(Backlog!$B$5:$B$197,$F26,Backlog!$E$5:$E$197,"Closed")</f>
        <v/>
      </c>
      <c r="L26" s="10">
        <f>IFERROR($K26/$I26,0)</f>
        <v/>
      </c>
    </row>
    <row r="27">
      <c r="A27" s="23" t="inlineStr">
        <is>
          <t>Closed</t>
        </is>
      </c>
      <c r="B27" s="8">
        <f>COUNTIF(Backlog!$E$5:$E$197,$A27)</f>
        <v/>
      </c>
      <c r="C27" s="14">
        <f>IFERROR($B27/COUNTA(Backlog!$A$5:$A$197),0)</f>
        <v/>
      </c>
      <c r="D27" s="9">
        <f>SUMIF(Backlog!$E$5:$E$197,$A27,Backlog!$J$5:$J$197)</f>
        <v/>
      </c>
      <c r="F27" s="7" t="inlineStr">
        <is>
          <t>E21</t>
        </is>
      </c>
      <c r="G27" s="5" t="inlineStr">
        <is>
          <t>COMPLIANCE &amp; TAX</t>
        </is>
      </c>
      <c r="H27" s="8" t="inlineStr">
        <is>
          <t>6</t>
        </is>
      </c>
      <c r="I27" s="8">
        <f>COUNTIF(Backlog!$B$5:$B$197,$F27)</f>
        <v/>
      </c>
      <c r="J27" s="9">
        <f>SUMIF(Backlog!$B$5:$B$197,$F27,Backlog!$J$5:$J$197)</f>
        <v/>
      </c>
      <c r="K27" s="8">
        <f>COUNTIFS(Backlog!$B$5:$B$197,$F27,Backlog!$E$5:$E$197,"Closed")</f>
        <v/>
      </c>
      <c r="L27" s="10">
        <f>IFERROR($K27/$I27,0)</f>
        <v/>
      </c>
    </row>
    <row r="28">
      <c r="A28" s="24" t="inlineStr">
        <is>
          <t>Removed</t>
        </is>
      </c>
      <c r="B28" s="8">
        <f>COUNTIF(Backlog!$E$5:$E$197,$A28)</f>
        <v/>
      </c>
      <c r="C28" s="14">
        <f>IFERROR($B28/COUNTA(Backlog!$A$5:$A$197),0)</f>
        <v/>
      </c>
      <c r="D28" s="9">
        <f>SUMIF(Backlog!$E$5:$E$197,$A28,Backlog!$J$5:$J$197)</f>
        <v/>
      </c>
      <c r="F28" s="7" t="inlineStr">
        <is>
          <t>E22</t>
        </is>
      </c>
      <c r="G28" s="5" t="inlineStr">
        <is>
          <t>TESTING &amp; VALIDATION</t>
        </is>
      </c>
      <c r="H28" s="8" t="inlineStr">
        <is>
          <t>7</t>
        </is>
      </c>
      <c r="I28" s="8">
        <f>COUNTIF(Backlog!$B$5:$B$197,$F28)</f>
        <v/>
      </c>
      <c r="J28" s="9">
        <f>SUMIF(Backlog!$B$5:$B$197,$F28,Backlog!$J$5:$J$197)</f>
        <v/>
      </c>
      <c r="K28" s="8">
        <f>COUNTIFS(Backlog!$B$5:$B$197,$F28,Backlog!$E$5:$E$197,"Closed")</f>
        <v/>
      </c>
      <c r="L28" s="10">
        <f>IFERROR($K28/$I28,0)</f>
        <v/>
      </c>
    </row>
    <row r="29">
      <c r="A29" s="25" t="inlineStr">
        <is>
          <t>Moved to Backlog</t>
        </is>
      </c>
      <c r="B29" s="8">
        <f>COUNTIF(Backlog!$E$5:$E$197,$A29)</f>
        <v/>
      </c>
      <c r="C29" s="14">
        <f>IFERROR($B29/COUNTA(Backlog!$A$5:$A$197),0)</f>
        <v/>
      </c>
      <c r="D29" s="9">
        <f>SUMIF(Backlog!$E$5:$E$197,$A29,Backlog!$J$5:$J$197)</f>
        <v/>
      </c>
      <c r="F29" s="7" t="inlineStr">
        <is>
          <t>E23</t>
        </is>
      </c>
      <c r="G29" s="5" t="inlineStr">
        <is>
          <t>DEPLOYMENT &amp; OPS</t>
        </is>
      </c>
      <c r="H29" s="8" t="inlineStr">
        <is>
          <t>7/8</t>
        </is>
      </c>
      <c r="I29" s="8">
        <f>COUNTIF(Backlog!$B$5:$B$197,$F29)</f>
        <v/>
      </c>
      <c r="J29" s="9">
        <f>SUMIF(Backlog!$B$5:$B$197,$F29,Backlog!$J$5:$J$197)</f>
        <v/>
      </c>
      <c r="K29" s="8">
        <f>COUNTIFS(Backlog!$B$5:$B$197,$F29,Backlog!$E$5:$E$197,"Closed")</f>
        <v/>
      </c>
      <c r="L29" s="10">
        <f>IFERROR($K29/$I29,0)</f>
        <v/>
      </c>
    </row>
    <row r="30">
      <c r="A30" s="26" t="inlineStr">
        <is>
          <t>Blocked</t>
        </is>
      </c>
      <c r="B30" s="8">
        <f>COUNTIF(Backlog!$E$5:$E$197,$A30)</f>
        <v/>
      </c>
      <c r="C30" s="14">
        <f>IFERROR($B30/COUNTA(Backlog!$A$5:$A$197),0)</f>
        <v/>
      </c>
      <c r="D30" s="9">
        <f>SUMIF(Backlog!$E$5:$E$197,$A30,Backlog!$J$5:$J$197)</f>
        <v/>
      </c>
      <c r="F30" s="7" t="inlineStr">
        <is>
          <t>TOTAL</t>
        </is>
      </c>
      <c r="G30" s="27" t="n"/>
      <c r="H30" s="27" t="n"/>
      <c r="I30" s="28">
        <f>SUM(I6:I29)</f>
        <v/>
      </c>
      <c r="J30" s="11">
        <f>SUM(J6:J29)</f>
        <v/>
      </c>
      <c r="K30" s="28">
        <f>SUM(K6:K29)</f>
        <v/>
      </c>
      <c r="L30" s="29">
        <f>IFERROR(K30/I30,0)</f>
        <v/>
      </c>
    </row>
    <row r="31">
      <c r="A31" s="30" t="inlineStr">
        <is>
          <t>On Hold</t>
        </is>
      </c>
      <c r="B31" s="8">
        <f>COUNTIF(Backlog!$E$5:$E$197,$A31)</f>
        <v/>
      </c>
      <c r="C31" s="14">
        <f>IFERROR($B31/COUNTA(Backlog!$A$5:$A$197),0)</f>
        <v/>
      </c>
      <c r="D31" s="9">
        <f>SUMIF(Backlog!$E$5:$E$197,$A31,Backlog!$J$5:$J$197)</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COUNTIF(Backlog!$F$5:$F$197,$A36)</f>
        <v/>
      </c>
      <c r="C36" s="9">
        <f>SUMIF(Backlog!$F$5:$F$197,$A36,Backlog!$J$5:$J$197)</f>
        <v/>
      </c>
      <c r="D36" s="31">
        <f>COUNTIFS(Backlog!$F$5:$F$197,$A36,Backlog!$E$5:$E$197,"Closed")</f>
        <v/>
      </c>
    </row>
    <row r="37">
      <c r="A37" s="15" t="inlineStr">
        <is>
          <t>P1</t>
        </is>
      </c>
      <c r="B37" s="31">
        <f>COUNTIF(Backlog!$F$5:$F$197,$A37)</f>
        <v/>
      </c>
      <c r="C37" s="9">
        <f>SUMIF(Backlog!$F$5:$F$197,$A37,Backlog!$J$5:$J$197)</f>
        <v/>
      </c>
      <c r="D37" s="31">
        <f>COUNTIFS(Backlog!$F$5:$F$197,$A37,Backlog!$E$5:$E$197,"Closed")</f>
        <v/>
      </c>
    </row>
    <row r="38">
      <c r="A38" s="21" t="inlineStr">
        <is>
          <t>P2</t>
        </is>
      </c>
      <c r="B38" s="31">
        <f>COUNTIF(Backlog!$F$5:$F$197,$A38)</f>
        <v/>
      </c>
      <c r="C38" s="9">
        <f>SUMIF(Backlog!$F$5:$F$197,$A38,Backlog!$J$5:$J$197)</f>
        <v/>
      </c>
      <c r="D38" s="31">
        <f>COUNTIFS(Backlog!$F$5:$F$197,$A38,Backlog!$E$5:$E$197,"Closed")</f>
        <v/>
      </c>
    </row>
    <row r="39">
      <c r="A39" s="32" t="inlineStr">
        <is>
          <t>P3</t>
        </is>
      </c>
      <c r="B39" s="31">
        <f>COUNTIF(Backlog!$F$5:$F$197,$A39)</f>
        <v/>
      </c>
      <c r="C39" s="9">
        <f>SUMIF(Backlog!$F$5:$F$197,$A39,Backlog!$J$5:$J$197)</f>
        <v/>
      </c>
      <c r="D39" s="31">
        <f>COUNTIFS(Backlog!$F$5:$F$197,$A39,Backlog!$E$5:$E$197,"Closed")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COUNTIF(Backlog!$H$5:$H$197,$A43)</f>
        <v/>
      </c>
      <c r="C43" s="9">
        <f>SUMIF(Backlog!$H$5:$H$197,$A43,Backlog!$J$5:$J$197)</f>
        <v/>
      </c>
      <c r="D43" s="31">
        <f>COUNTIFS(Backlog!$H$5:$H$197,$A43,Backlog!$E$5:$E$197,"Closed")</f>
        <v/>
      </c>
    </row>
    <row r="44">
      <c r="A44" s="34" t="inlineStr">
        <is>
          <t>Correctness-critical</t>
        </is>
      </c>
      <c r="B44" s="31">
        <f>COUNTIF(Backlog!$H$5:$H$197,$A44)</f>
        <v/>
      </c>
      <c r="C44" s="9">
        <f>SUMIF(Backlog!$H$5:$H$197,$A44,Backlog!$J$5:$J$197)</f>
        <v/>
      </c>
      <c r="D44" s="31">
        <f>COUNTIFS(Backlog!$H$5:$H$197,$A44,Backlog!$E$5:$E$197,"Closed")</f>
        <v/>
      </c>
    </row>
    <row r="45">
      <c r="A45" s="35" t="inlineStr">
        <is>
          <t>Low</t>
        </is>
      </c>
      <c r="B45" s="31">
        <f>COUNTIF(Backlog!$H$5:$H$197,$A45)</f>
        <v/>
      </c>
      <c r="C45" s="9">
        <f>SUMIF(Backlog!$H$5:$H$197,$A45,Backlog!$J$5:$J$197)</f>
        <v/>
      </c>
      <c r="D45" s="31">
        <f>COUNTIFS(Backlog!$H$5:$H$197,$A45,Backlog!$E$5:$E$197,"Closed")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COUNTIF(Backlog!$I$5:$I$197,$A49)</f>
        <v/>
      </c>
      <c r="C49" s="9">
        <f>SUMIF(Backlog!$I$5:$I$197,$A49,Backlog!$J$5:$J$197)</f>
        <v/>
      </c>
      <c r="D49" s="31">
        <f>COUNTIFS(Backlog!$I$5:$I$197,$A49,Backlog!$E$5:$E$197,"Closed")</f>
        <v/>
      </c>
    </row>
    <row r="50">
      <c r="A50" s="7" t="inlineStr">
        <is>
          <t>INFRA</t>
        </is>
      </c>
      <c r="B50" s="31">
        <f>COUNTIF(Backlog!$I$5:$I$197,$A50)</f>
        <v/>
      </c>
      <c r="C50" s="9">
        <f>SUMIF(Backlog!$I$5:$I$197,$A50,Backlog!$J$5:$J$197)</f>
        <v/>
      </c>
      <c r="D50" s="31">
        <f>COUNTIFS(Backlog!$I$5:$I$197,$A50,Backlog!$E$5:$E$197,"Closed")</f>
        <v/>
      </c>
    </row>
    <row r="51">
      <c r="A51" s="7" t="inlineStr">
        <is>
          <t>SEC</t>
        </is>
      </c>
      <c r="B51" s="31">
        <f>COUNTIF(Backlog!$I$5:$I$197,$A51)</f>
        <v/>
      </c>
      <c r="C51" s="9">
        <f>SUMIF(Backlog!$I$5:$I$197,$A51,Backlog!$J$5:$J$197)</f>
        <v/>
      </c>
      <c r="D51" s="31">
        <f>COUNTIFS(Backlog!$I$5:$I$197,$A51,Backlog!$E$5:$E$197,"Closed")</f>
        <v/>
      </c>
    </row>
    <row r="52">
      <c r="A52" s="7" t="inlineStr">
        <is>
          <t>TEST</t>
        </is>
      </c>
      <c r="B52" s="31">
        <f>COUNTIF(Backlog!$I$5:$I$197,$A52)</f>
        <v/>
      </c>
      <c r="C52" s="9">
        <f>SUMIF(Backlog!$I$5:$I$197,$A52,Backlog!$J$5:$J$197)</f>
        <v/>
      </c>
      <c r="D52" s="31">
        <f>COUNTIFS(Backlog!$I$5:$I$197,$A52,Backlog!$E$5:$E$197,"Closed")</f>
        <v/>
      </c>
    </row>
    <row r="53">
      <c r="A53" s="7" t="inlineStr">
        <is>
          <t>OPS</t>
        </is>
      </c>
      <c r="B53" s="31">
        <f>COUNTIF(Backlog!$I$5:$I$197,$A53)</f>
        <v/>
      </c>
      <c r="C53" s="9">
        <f>SUMIF(Backlog!$I$5:$I$197,$A53,Backlog!$J$5:$J$197)</f>
        <v/>
      </c>
      <c r="D53" s="31">
        <f>COUNTIFS(Backlog!$I$5:$I$197,$A53,Backlog!$E$5:$E$197,"Closed")</f>
        <v/>
      </c>
    </row>
    <row r="54">
      <c r="A54" s="7" t="inlineStr">
        <is>
          <t>DOC</t>
        </is>
      </c>
      <c r="B54" s="31">
        <f>COUNTIF(Backlog!$I$5:$I$197,$A54)</f>
        <v/>
      </c>
      <c r="C54" s="9">
        <f>SUMIF(Backlog!$I$5:$I$197,$A54,Backlog!$J$5:$J$197)</f>
        <v/>
      </c>
      <c r="D54" s="31">
        <f>COUNTIFS(Backlog!$I$5:$I$197,$A54,Backlog!$E$5:$E$197,"Closed")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COUNTIF(Backlog!$E$5:$E$197,$A$61)</f>
        <v/>
      </c>
    </row>
    <row r="62">
      <c r="A62" t="inlineStr">
        <is>
          <t>Business Review</t>
        </is>
      </c>
      <c r="B62">
        <f>COUNTIF(Backlog!$E$5:$E$197,$A$62)</f>
        <v/>
      </c>
    </row>
    <row r="63">
      <c r="A63" t="inlineStr">
        <is>
          <t>Business Approved</t>
        </is>
      </c>
      <c r="B63">
        <f>COUNTIF(Backlog!$E$5:$E$197,$A$63)</f>
        <v/>
      </c>
    </row>
    <row r="64">
      <c r="A64" t="inlineStr">
        <is>
          <t>Active</t>
        </is>
      </c>
      <c r="B64">
        <f>COUNTIF(Backlog!$E$5:$E$197,$A$64)</f>
        <v/>
      </c>
    </row>
    <row r="65">
      <c r="A65" t="inlineStr">
        <is>
          <t>Development In-Progress</t>
        </is>
      </c>
      <c r="B65">
        <f>COUNTIF(Backlog!$E$5:$E$197,$A$65)</f>
        <v/>
      </c>
    </row>
    <row r="66">
      <c r="A66" t="inlineStr">
        <is>
          <t>Development Completed</t>
        </is>
      </c>
      <c r="B66">
        <f>COUNTIF(Backlog!$E$5:$E$197,$A$66)</f>
        <v/>
      </c>
    </row>
    <row r="67">
      <c r="A67" t="inlineStr">
        <is>
          <t>QA In-Progress</t>
        </is>
      </c>
      <c r="B67">
        <f>COUNTIF(Backlog!$E$5:$E$197,$A$67)</f>
        <v/>
      </c>
    </row>
    <row r="68">
      <c r="A68" t="inlineStr">
        <is>
          <t>QA-Success</t>
        </is>
      </c>
      <c r="B68">
        <f>COUNTIF(Backlog!$E$5:$E$197,$A$68)</f>
        <v/>
      </c>
    </row>
    <row r="69">
      <c r="A69" t="inlineStr">
        <is>
          <t>QA-Fail</t>
        </is>
      </c>
      <c r="B69">
        <f>COUNTIF(Backlog!$E$5:$E$197,$A$69)</f>
        <v/>
      </c>
    </row>
    <row r="70">
      <c r="A70" t="inlineStr">
        <is>
          <t>Closed</t>
        </is>
      </c>
      <c r="B70">
        <f>COUNTIF(Backlog!$E$5:$E$197,$A$70)</f>
        <v/>
      </c>
    </row>
    <row r="71">
      <c r="A71" t="inlineStr">
        <is>
          <t>Blocked</t>
        </is>
      </c>
      <c r="B71">
        <f>COUNTIF(Backlog!$E$5:$E$197,$A$71)</f>
        <v/>
      </c>
    </row>
    <row r="72">
      <c r="A72" t="inlineStr">
        <is>
          <t>On Hold</t>
        </is>
      </c>
      <c r="B72">
        <f>COUNTIF(Backlog!$E$5:$E$197,$A$72)</f>
        <v/>
      </c>
    </row>
    <row r="73">
      <c r="A73" t="inlineStr">
        <is>
          <t>Moved to Backlog</t>
        </is>
      </c>
      <c r="B73">
        <f>COUNTIF(Backlog!$E$5:$E$197,$A$73)</f>
        <v/>
      </c>
    </row>
    <row r="75">
      <c r="A75" s="71" t="inlineStr">
        <is>
          <t>Effort by phase (days)</t>
        </is>
      </c>
    </row>
    <row r="76">
      <c r="A76" s="64" t="inlineStr">
        <is>
          <t>Phase</t>
        </is>
      </c>
      <c r="B76" s="64" t="inlineStr">
        <is>
          <t>Closed</t>
        </is>
      </c>
      <c r="C76" s="64" t="inlineStr">
        <is>
          <t>Remaining</t>
        </is>
      </c>
    </row>
    <row r="77">
      <c r="A77" t="inlineStr">
        <is>
          <t>0</t>
        </is>
      </c>
      <c r="B77">
        <f>SUMIFS(Backlog!$J$5:$J$197,Backlog!$G$5:$G$197,$A$77,Backlog!$E$5:$E$197,"Closed")</f>
        <v/>
      </c>
      <c r="C77">
        <f>SUMIF(Backlog!$G$5:$G$197,$A$77,Backlog!$J$5:$J$197)-$B$77</f>
        <v/>
      </c>
    </row>
    <row r="78">
      <c r="A78" t="inlineStr">
        <is>
          <t>1</t>
        </is>
      </c>
      <c r="B78">
        <f>SUMIFS(Backlog!$J$5:$J$197,Backlog!$G$5:$G$197,$A$78,Backlog!$E$5:$E$197,"Closed")</f>
        <v/>
      </c>
      <c r="C78">
        <f>SUMIF(Backlog!$G$5:$G$197,$A$78,Backlog!$J$5:$J$197)-$B$78</f>
        <v/>
      </c>
    </row>
    <row r="79">
      <c r="A79" t="inlineStr">
        <is>
          <t>2</t>
        </is>
      </c>
      <c r="B79">
        <f>SUMIFS(Backlog!$J$5:$J$197,Backlog!$G$5:$G$197,$A$79,Backlog!$E$5:$E$197,"Closed")</f>
        <v/>
      </c>
      <c r="C79">
        <f>SUMIF(Backlog!$G$5:$G$197,$A$79,Backlog!$J$5:$J$197)-$B$79</f>
        <v/>
      </c>
    </row>
    <row r="80">
      <c r="A80" t="inlineStr">
        <is>
          <t>3</t>
        </is>
      </c>
      <c r="B80">
        <f>SUMIFS(Backlog!$J$5:$J$197,Backlog!$G$5:$G$197,$A$80,Backlog!$E$5:$E$197,"Closed")</f>
        <v/>
      </c>
      <c r="C80">
        <f>SUMIF(Backlog!$G$5:$G$197,$A$80,Backlog!$J$5:$J$197)-$B$80</f>
        <v/>
      </c>
    </row>
    <row r="81">
      <c r="A81" t="inlineStr">
        <is>
          <t>4</t>
        </is>
      </c>
      <c r="B81">
        <f>SUMIFS(Backlog!$J$5:$J$197,Backlog!$G$5:$G$197,$A$81,Backlog!$E$5:$E$197,"Closed")</f>
        <v/>
      </c>
      <c r="C81">
        <f>SUMIF(Backlog!$G$5:$G$197,$A$81,Backlog!$J$5:$J$197)-$B$81</f>
        <v/>
      </c>
    </row>
    <row r="82">
      <c r="A82" t="inlineStr">
        <is>
          <t>5</t>
        </is>
      </c>
      <c r="B82">
        <f>SUMIFS(Backlog!$J$5:$J$197,Backlog!$G$5:$G$197,$A$82,Backlog!$E$5:$E$197,"Closed")</f>
        <v/>
      </c>
      <c r="C82">
        <f>SUMIF(Backlog!$G$5:$G$197,$A$82,Backlog!$J$5:$J$197)-$B$82</f>
        <v/>
      </c>
    </row>
    <row r="83">
      <c r="A83" t="inlineStr">
        <is>
          <t>6</t>
        </is>
      </c>
      <c r="B83">
        <f>SUMIFS(Backlog!$J$5:$J$197,Backlog!$G$5:$G$197,$A$83,Backlog!$E$5:$E$197,"Closed")</f>
        <v/>
      </c>
      <c r="C83">
        <f>SUMIF(Backlog!$G$5:$G$197,$A$83,Backlog!$J$5:$J$197)-$B$83</f>
        <v/>
      </c>
    </row>
    <row r="84">
      <c r="A84" t="inlineStr">
        <is>
          <t>7</t>
        </is>
      </c>
      <c r="B84">
        <f>SUMIFS(Backlog!$J$5:$J$197,Backlog!$G$5:$G$197,$A$84,Backlog!$E$5:$E$197,"Closed")</f>
        <v/>
      </c>
      <c r="C84">
        <f>SUMIF(Backlog!$G$5:$G$197,$A$84,Backlog!$J$5:$J$197)-$B$84</f>
        <v/>
      </c>
    </row>
    <row r="85">
      <c r="A85" t="inlineStr">
        <is>
          <t>8</t>
        </is>
      </c>
      <c r="B85">
        <f>SUMIFS(Backlog!$J$5:$J$197,Backlog!$G$5:$G$197,$A$85,Backlog!$E$5:$E$197,"Closed")</f>
        <v/>
      </c>
      <c r="C85">
        <f>SUMIF(Backlog!$G$5:$G$197,$A$85,Backlog!$J$5:$J$197)-$B$85</f>
        <v/>
      </c>
    </row>
    <row r="87">
      <c r="A87" s="71" t="inlineStr">
        <is>
          <t>Epic completion</t>
        </is>
      </c>
    </row>
    <row r="88">
      <c r="A88" s="64" t="inlineStr">
        <is>
          <t>Epic</t>
        </is>
      </c>
      <c r="B88" s="64" t="inlineStr">
        <is>
          <t>% complete</t>
        </is>
      </c>
    </row>
    <row r="89">
      <c r="A89">
        <f>$F$6</f>
        <v/>
      </c>
      <c r="B89" s="73">
        <f>IFERROR(SUMIFS(Backlog!$J$5:$J$197,Backlog!$B$5:$B$197,$A$89,Backlog!$E$5:$E$197,"Closed")/SUMIF(Backlog!$B$5:$B$197,$A$89,Backlog!$J$5:$J$197),0)</f>
        <v/>
      </c>
    </row>
    <row r="90">
      <c r="A90">
        <f>$F$7</f>
        <v/>
      </c>
      <c r="B90" s="73">
        <f>IFERROR(SUMIFS(Backlog!$J$5:$J$197,Backlog!$B$5:$B$197,$A$90,Backlog!$E$5:$E$197,"Closed")/SUMIF(Backlog!$B$5:$B$197,$A$90,Backlog!$J$5:$J$197),0)</f>
        <v/>
      </c>
    </row>
    <row r="91">
      <c r="A91">
        <f>$F$8</f>
        <v/>
      </c>
      <c r="B91" s="73">
        <f>IFERROR(SUMIFS(Backlog!$J$5:$J$197,Backlog!$B$5:$B$197,$A$91,Backlog!$E$5:$E$197,"Closed")/SUMIF(Backlog!$B$5:$B$197,$A$91,Backlog!$J$5:$J$197),0)</f>
        <v/>
      </c>
    </row>
    <row r="92">
      <c r="A92">
        <f>$F$9</f>
        <v/>
      </c>
      <c r="B92" s="73">
        <f>IFERROR(SUMIFS(Backlog!$J$5:$J$197,Backlog!$B$5:$B$197,$A$92,Backlog!$E$5:$E$197,"Closed")/SUMIF(Backlog!$B$5:$B$197,$A$92,Backlog!$J$5:$J$197),0)</f>
        <v/>
      </c>
    </row>
    <row r="93">
      <c r="A93">
        <f>$F$10</f>
        <v/>
      </c>
      <c r="B93" s="73">
        <f>IFERROR(SUMIFS(Backlog!$J$5:$J$197,Backlog!$B$5:$B$197,$A$93,Backlog!$E$5:$E$197,"Closed")/SUMIF(Backlog!$B$5:$B$197,$A$93,Backlog!$J$5:$J$197),0)</f>
        <v/>
      </c>
    </row>
    <row r="94">
      <c r="A94">
        <f>$F$11</f>
        <v/>
      </c>
      <c r="B94" s="73">
        <f>IFERROR(SUMIFS(Backlog!$J$5:$J$197,Backlog!$B$5:$B$197,$A$94,Backlog!$E$5:$E$197,"Closed")/SUMIF(Backlog!$B$5:$B$197,$A$94,Backlog!$J$5:$J$197),0)</f>
        <v/>
      </c>
    </row>
    <row r="95">
      <c r="A95">
        <f>$F$12</f>
        <v/>
      </c>
      <c r="B95" s="73">
        <f>IFERROR(SUMIFS(Backlog!$J$5:$J$197,Backlog!$B$5:$B$197,$A$95,Backlog!$E$5:$E$197,"Closed")/SUMIF(Backlog!$B$5:$B$197,$A$95,Backlog!$J$5:$J$197),0)</f>
        <v/>
      </c>
    </row>
    <row r="96">
      <c r="A96">
        <f>$F$13</f>
        <v/>
      </c>
      <c r="B96" s="73">
        <f>IFERROR(SUMIFS(Backlog!$J$5:$J$197,Backlog!$B$5:$B$197,$A$96,Backlog!$E$5:$E$197,"Closed")/SUMIF(Backlog!$B$5:$B$197,$A$96,Backlog!$J$5:$J$197),0)</f>
        <v/>
      </c>
    </row>
    <row r="97">
      <c r="A97">
        <f>$F$14</f>
        <v/>
      </c>
      <c r="B97" s="73">
        <f>IFERROR(SUMIFS(Backlog!$J$5:$J$197,Backlog!$B$5:$B$197,$A$97,Backlog!$E$5:$E$197,"Closed")/SUMIF(Backlog!$B$5:$B$197,$A$97,Backlog!$J$5:$J$197),0)</f>
        <v/>
      </c>
    </row>
    <row r="98">
      <c r="A98">
        <f>$F$15</f>
        <v/>
      </c>
      <c r="B98" s="73">
        <f>IFERROR(SUMIFS(Backlog!$J$5:$J$197,Backlog!$B$5:$B$197,$A$98,Backlog!$E$5:$E$197,"Closed")/SUMIF(Backlog!$B$5:$B$197,$A$98,Backlog!$J$5:$J$197),0)</f>
        <v/>
      </c>
    </row>
    <row r="99">
      <c r="A99">
        <f>$F$16</f>
        <v/>
      </c>
      <c r="B99" s="73">
        <f>IFERROR(SUMIFS(Backlog!$J$5:$J$197,Backlog!$B$5:$B$197,$A$99,Backlog!$E$5:$E$197,"Closed")/SUMIF(Backlog!$B$5:$B$197,$A$99,Backlog!$J$5:$J$197),0)</f>
        <v/>
      </c>
    </row>
    <row r="100">
      <c r="A100">
        <f>$F$17</f>
        <v/>
      </c>
      <c r="B100" s="73">
        <f>IFERROR(SUMIFS(Backlog!$J$5:$J$197,Backlog!$B$5:$B$197,$A$100,Backlog!$E$5:$E$197,"Closed")/SUMIF(Backlog!$B$5:$B$197,$A$100,Backlog!$J$5:$J$197),0)</f>
        <v/>
      </c>
    </row>
    <row r="101">
      <c r="A101">
        <f>$F$18</f>
        <v/>
      </c>
      <c r="B101" s="73">
        <f>IFERROR(SUMIFS(Backlog!$J$5:$J$197,Backlog!$B$5:$B$197,$A$101,Backlog!$E$5:$E$197,"Closed")/SUMIF(Backlog!$B$5:$B$197,$A$101,Backlog!$J$5:$J$197),0)</f>
        <v/>
      </c>
    </row>
    <row r="102">
      <c r="A102">
        <f>$F$19</f>
        <v/>
      </c>
      <c r="B102" s="73">
        <f>IFERROR(SUMIFS(Backlog!$J$5:$J$197,Backlog!$B$5:$B$197,$A$102,Backlog!$E$5:$E$197,"Closed")/SUMIF(Backlog!$B$5:$B$197,$A$102,Backlog!$J$5:$J$197),0)</f>
        <v/>
      </c>
    </row>
    <row r="103">
      <c r="A103">
        <f>$F$20</f>
        <v/>
      </c>
      <c r="B103" s="73">
        <f>IFERROR(SUMIFS(Backlog!$J$5:$J$197,Backlog!$B$5:$B$197,$A$103,Backlog!$E$5:$E$197,"Closed")/SUMIF(Backlog!$B$5:$B$197,$A$103,Backlog!$J$5:$J$197),0)</f>
        <v/>
      </c>
    </row>
    <row r="104">
      <c r="A104">
        <f>$F$21</f>
        <v/>
      </c>
      <c r="B104" s="73">
        <f>IFERROR(SUMIFS(Backlog!$J$5:$J$197,Backlog!$B$5:$B$197,$A$104,Backlog!$E$5:$E$197,"Closed")/SUMIF(Backlog!$B$5:$B$197,$A$104,Backlog!$J$5:$J$197),0)</f>
        <v/>
      </c>
    </row>
    <row r="105">
      <c r="A105">
        <f>$F$22</f>
        <v/>
      </c>
      <c r="B105" s="73">
        <f>IFERROR(SUMIFS(Backlog!$J$5:$J$197,Backlog!$B$5:$B$197,$A$105,Backlog!$E$5:$E$197,"Closed")/SUMIF(Backlog!$B$5:$B$197,$A$105,Backlog!$J$5:$J$197),0)</f>
        <v/>
      </c>
    </row>
    <row r="106">
      <c r="A106">
        <f>$F$23</f>
        <v/>
      </c>
      <c r="B106" s="73">
        <f>IFERROR(SUMIFS(Backlog!$J$5:$J$197,Backlog!$B$5:$B$197,$A$106,Backlog!$E$5:$E$197,"Closed")/SUMIF(Backlog!$B$5:$B$197,$A$106,Backlog!$J$5:$J$197),0)</f>
        <v/>
      </c>
    </row>
    <row r="107">
      <c r="A107">
        <f>$F$24</f>
        <v/>
      </c>
      <c r="B107" s="73">
        <f>IFERROR(SUMIFS(Backlog!$J$5:$J$197,Backlog!$B$5:$B$197,$A$107,Backlog!$E$5:$E$197,"Closed")/SUMIF(Backlog!$B$5:$B$197,$A$107,Backlog!$J$5:$J$197),0)</f>
        <v/>
      </c>
    </row>
    <row r="108">
      <c r="A108">
        <f>$F$25</f>
        <v/>
      </c>
      <c r="B108" s="73">
        <f>IFERROR(SUMIFS(Backlog!$J$5:$J$197,Backlog!$B$5:$B$197,$A$108,Backlog!$E$5:$E$197,"Closed")/SUMIF(Backlog!$B$5:$B$197,$A$108,Backlog!$J$5:$J$197),0)</f>
        <v/>
      </c>
    </row>
    <row r="109">
      <c r="A109">
        <f>$F$26</f>
        <v/>
      </c>
      <c r="B109" s="73">
        <f>IFERROR(SUMIFS(Backlog!$J$5:$J$197,Backlog!$B$5:$B$197,$A$109,Backlog!$E$5:$E$197,"Closed")/SUMIF(Backlog!$B$5:$B$197,$A$109,Backlog!$J$5:$J$197),0)</f>
        <v/>
      </c>
    </row>
    <row r="110">
      <c r="A110">
        <f>$F$27</f>
        <v/>
      </c>
      <c r="B110" s="73">
        <f>IFERROR(SUMIFS(Backlog!$J$5:$J$197,Backlog!$B$5:$B$197,$A$110,Backlog!$E$5:$E$197,"Closed")/SUMIF(Backlog!$B$5:$B$197,$A$110,Backlog!$J$5:$J$197),0)</f>
        <v/>
      </c>
    </row>
    <row r="111">
      <c r="A111">
        <f>$F$28</f>
        <v/>
      </c>
      <c r="B111" s="73">
        <f>IFERROR(SUMIFS(Backlog!$J$5:$J$197,Backlog!$B$5:$B$197,$A$111,Backlog!$E$5:$E$197,"Closed")/SUMIF(Backlog!$B$5:$B$197,$A$111,Backlog!$J$5:$J$197),0)</f>
        <v/>
      </c>
    </row>
    <row r="112">
      <c r="A112">
        <f>$F$29</f>
        <v/>
      </c>
      <c r="B112" s="73">
        <f>IFERROR(SUMIFS(Backlog!$J$5:$J$197,Backlog!$B$5:$B$197,$A$112,Backlog!$E$5:$E$197,"Closed")/SUMIF(Backlog!$B$5:$B$197,$A$112,Backlog!$J$5:$J$197),0)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W197"/>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New</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n"/>
      <c r="W23" s="49" t="n"/>
    </row>
    <row r="24" ht="30" customHeight="1" s="59">
      <c r="A24" s="38" t="inlineStr">
        <is>
          <t>E02-S02</t>
        </is>
      </c>
      <c r="B24" s="39" t="inlineStr">
        <is>
          <t>E02</t>
        </is>
      </c>
      <c r="C24" s="40" t="inlineStr">
        <is>
          <t>BROKER INTEGRATION</t>
        </is>
      </c>
      <c r="D24" s="40" t="inlineStr">
        <is>
          <t>Session lifecycle and daily re-auth scheduling</t>
        </is>
      </c>
      <c r="E24" s="40" t="inlineStr">
        <is>
          <t>New</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n"/>
      <c r="W24" s="49" t="n"/>
    </row>
    <row r="25" ht="30" customHeight="1" s="59">
      <c r="A25" s="38" t="inlineStr">
        <is>
          <t>E02-S03</t>
        </is>
      </c>
      <c r="B25" s="39" t="inlineStr">
        <is>
          <t>E02</t>
        </is>
      </c>
      <c r="C25" s="40" t="inlineStr">
        <is>
          <t>BROKER INTEGRATION</t>
        </is>
      </c>
      <c r="D25" s="40" t="inlineStr">
        <is>
          <t>Read-only market data adapter</t>
        </is>
      </c>
      <c r="E25" s="40" t="inlineStr">
        <is>
          <t>New</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n"/>
      <c r="W25" s="49" t="n"/>
    </row>
    <row r="26" ht="30" customHeight="1" s="59">
      <c r="A26" s="38" t="inlineStr">
        <is>
          <t>E02-S04</t>
        </is>
      </c>
      <c r="B26" s="39" t="inlineStr">
        <is>
          <t>E02</t>
        </is>
      </c>
      <c r="C26" s="40" t="inlineStr">
        <is>
          <t>BROKER INTEGRATION</t>
        </is>
      </c>
      <c r="D26" s="40" t="inlineStr">
        <is>
          <t>Trading adapter with market protection</t>
        </is>
      </c>
      <c r="E26" s="40" t="inlineStr">
        <is>
          <t>New</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n"/>
      <c r="W26" s="49" t="n"/>
    </row>
    <row r="27" ht="30" customHeight="1" s="59">
      <c r="A27" s="38" t="inlineStr">
        <is>
          <t>E02-S05</t>
        </is>
      </c>
      <c r="B27" s="39" t="inlineStr">
        <is>
          <t>E02</t>
        </is>
      </c>
      <c r="C27" s="40" t="inlineStr">
        <is>
          <t>BROKER INTEGRATION</t>
        </is>
      </c>
      <c r="D27" s="40" t="inlineStr">
        <is>
          <t>Order rate limiting</t>
        </is>
      </c>
      <c r="E27" s="40" t="inlineStr">
        <is>
          <t>New</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n"/>
      <c r="W27" s="49" t="n"/>
    </row>
    <row r="28" ht="30" customHeight="1" s="59">
      <c r="A28" s="38" t="inlineStr">
        <is>
          <t>E02-S06</t>
        </is>
      </c>
      <c r="B28" s="39" t="inlineStr">
        <is>
          <t>E02</t>
        </is>
      </c>
      <c r="C28" s="40" t="inlineStr">
        <is>
          <t>BROKER INTEGRATION</t>
        </is>
      </c>
      <c r="D28" s="40" t="inlineStr">
        <is>
          <t>Instrument master synchronisation</t>
        </is>
      </c>
      <c r="E28" s="40" t="inlineStr">
        <is>
          <t>New</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n"/>
      <c r="W28" s="49" t="n"/>
    </row>
    <row r="29" ht="30" customHeight="1" s="59">
      <c r="A29" s="38" t="inlineStr">
        <is>
          <t>E02-S07</t>
        </is>
      </c>
      <c r="B29" s="39" t="inlineStr">
        <is>
          <t>E02</t>
        </is>
      </c>
      <c r="C29" s="40" t="inlineStr">
        <is>
          <t>BROKER INTEGRATION</t>
        </is>
      </c>
      <c r="D29" s="40" t="inlineStr">
        <is>
          <t>Live margin retrieval</t>
        </is>
      </c>
      <c r="E29" s="40" t="inlineStr">
        <is>
          <t>New</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n"/>
      <c r="W29" s="49" t="n"/>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n"/>
      <c r="W30" s="49" t="n"/>
    </row>
    <row r="31" ht="30" customHeight="1" s="59">
      <c r="A31" s="38" t="inlineStr">
        <is>
          <t>E02-S09</t>
        </is>
      </c>
      <c r="B31" s="39" t="inlineStr">
        <is>
          <t>E02</t>
        </is>
      </c>
      <c r="C31" s="40" t="inlineStr">
        <is>
          <t>BROKER INTEGRATION</t>
        </is>
      </c>
      <c r="D31" s="40" t="inlineStr">
        <is>
          <t>Broker error taxonomy handling</t>
        </is>
      </c>
      <c r="E31" s="40" t="inlineStr">
        <is>
          <t>New</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n"/>
      <c r="W31" s="49" t="n"/>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row>
    <row r="33" ht="30" customHeight="1" s="59">
      <c r="A33" s="38" t="inlineStr">
        <is>
          <t>E03-S02</t>
        </is>
      </c>
      <c r="B33" s="39" t="inlineStr">
        <is>
          <t>E03</t>
        </is>
      </c>
      <c r="C33" s="40" t="inlineStr">
        <is>
          <t>HISTORICAL DATA</t>
        </is>
      </c>
      <c r="D33" s="40" t="inlineStr">
        <is>
          <t>Corporate action adjustment</t>
        </is>
      </c>
      <c r="E33" s="40" t="inlineStr">
        <is>
          <t>Development In-Progress</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row>
    <row r="45" ht="30" customHeight="1" s="59">
      <c r="A45" s="38" t="inlineStr">
        <is>
          <t>E05-S01</t>
        </is>
      </c>
      <c r="B45" s="39" t="inlineStr">
        <is>
          <t>E05</t>
        </is>
      </c>
      <c r="C45" s="40" t="inlineStr">
        <is>
          <t>MARKET DATA INGESTION</t>
        </is>
      </c>
      <c r="D45" s="40" t="inlineStr">
        <is>
          <t>WebSocket client with reconnection</t>
        </is>
      </c>
      <c r="E45" s="40" t="inlineStr">
        <is>
          <t>New</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n"/>
      <c r="W45" s="49" t="n"/>
    </row>
    <row r="46" ht="30" customHeight="1" s="59">
      <c r="A46" s="38" t="inlineStr">
        <is>
          <t>E05-S02</t>
        </is>
      </c>
      <c r="B46" s="39" t="inlineStr">
        <is>
          <t>E05</t>
        </is>
      </c>
      <c r="C46" s="40" t="inlineStr">
        <is>
          <t>MARKET DATA INGESTION</t>
        </is>
      </c>
      <c r="D46" s="40" t="inlineStr">
        <is>
          <t>Tick validation</t>
        </is>
      </c>
      <c r="E46" s="40" t="inlineStr">
        <is>
          <t>New</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n"/>
      <c r="W46" s="49" t="n"/>
    </row>
    <row r="47" ht="30" customHeight="1" s="59">
      <c r="A47" s="38" t="inlineStr">
        <is>
          <t>E05-S03</t>
        </is>
      </c>
      <c r="B47" s="39" t="inlineStr">
        <is>
          <t>E05</t>
        </is>
      </c>
      <c r="C47" s="40" t="inlineStr">
        <is>
          <t>MARKET DATA INGESTION</t>
        </is>
      </c>
      <c r="D47" s="40" t="inlineStr">
        <is>
          <t>Deduplication</t>
        </is>
      </c>
      <c r="E47" s="40" t="inlineStr">
        <is>
          <t>New</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n"/>
      <c r="W47" s="49" t="n"/>
    </row>
    <row r="48" ht="30" customHeight="1" s="59">
      <c r="A48" s="38" t="inlineStr">
        <is>
          <t>E05-S04</t>
        </is>
      </c>
      <c r="B48" s="39" t="inlineStr">
        <is>
          <t>E05</t>
        </is>
      </c>
      <c r="C48" s="40" t="inlineStr">
        <is>
          <t>MARKET DATA INGESTION</t>
        </is>
      </c>
      <c r="D48" s="40" t="inlineStr">
        <is>
          <t>Outlier filtering</t>
        </is>
      </c>
      <c r="E48" s="40" t="inlineStr">
        <is>
          <t>New</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n"/>
      <c r="W48" s="49" t="n"/>
    </row>
    <row r="49" ht="30" customHeight="1" s="59">
      <c r="A49" s="38" t="inlineStr">
        <is>
          <t>E05-S05</t>
        </is>
      </c>
      <c r="B49" s="39" t="inlineStr">
        <is>
          <t>E05</t>
        </is>
      </c>
      <c r="C49" s="40" t="inlineStr">
        <is>
          <t>MARKET DATA INGESTION</t>
        </is>
      </c>
      <c r="D49" s="40" t="inlineStr">
        <is>
          <t>Normalisation</t>
        </is>
      </c>
      <c r="E49" s="40" t="inlineStr">
        <is>
          <t>New</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n"/>
      <c r="W49" s="49" t="n"/>
    </row>
    <row r="50" ht="30" customHeight="1" s="59">
      <c r="A50" s="38" t="inlineStr">
        <is>
          <t>E05-S06</t>
        </is>
      </c>
      <c r="B50" s="39" t="inlineStr">
        <is>
          <t>E05</t>
        </is>
      </c>
      <c r="C50" s="40" t="inlineStr">
        <is>
          <t>MARKET DATA INGESTION</t>
        </is>
      </c>
      <c r="D50" s="40" t="inlineStr">
        <is>
          <t>Bar builder with session alignment</t>
        </is>
      </c>
      <c r="E50" s="40" t="inlineStr">
        <is>
          <t>New</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n"/>
      <c r="W50" s="49" t="n"/>
    </row>
    <row r="51" ht="30" customHeight="1" s="59">
      <c r="A51" s="38" t="inlineStr">
        <is>
          <t>E05-S07</t>
        </is>
      </c>
      <c r="B51" s="39" t="inlineStr">
        <is>
          <t>E05</t>
        </is>
      </c>
      <c r="C51" s="40" t="inlineStr">
        <is>
          <t>MARKET DATA INGESTION</t>
        </is>
      </c>
      <c r="D51" s="40" t="inlineStr">
        <is>
          <t>Synthetic bar handling</t>
        </is>
      </c>
      <c r="E51" s="40" t="inlineStr">
        <is>
          <t>New</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n"/>
      <c r="W51" s="49" t="n"/>
    </row>
    <row r="52" ht="30" customHeight="1" s="59">
      <c r="A52" s="38" t="inlineStr">
        <is>
          <t>E05-S08</t>
        </is>
      </c>
      <c r="B52" s="39" t="inlineStr">
        <is>
          <t>E05</t>
        </is>
      </c>
      <c r="C52" s="40" t="inlineStr">
        <is>
          <t>MARKET DATA INGESTION</t>
        </is>
      </c>
      <c r="D52" s="40" t="inlineStr">
        <is>
          <t>Quote state publishing</t>
        </is>
      </c>
      <c r="E52" s="40" t="inlineStr">
        <is>
          <t>New</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n"/>
      <c r="W52" s="49" t="n"/>
    </row>
    <row r="53" ht="30" customHeight="1" s="59">
      <c r="A53" s="38" t="inlineStr">
        <is>
          <t>E06-S01</t>
        </is>
      </c>
      <c r="B53" s="39" t="inlineStr">
        <is>
          <t>E06</t>
        </is>
      </c>
      <c r="C53" s="40" t="inlineStr">
        <is>
          <t>TECHNICAL ANALYSIS ENGINE</t>
        </is>
      </c>
      <c r="D53" s="40" t="inlineStr">
        <is>
          <t>Incremental indicator framework</t>
        </is>
      </c>
      <c r="E53" s="40" t="inlineStr">
        <is>
          <t>New</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n"/>
      <c r="W53" s="49" t="n"/>
    </row>
    <row r="54" ht="30" customHeight="1" s="59">
      <c r="A54" s="38" t="inlineStr">
        <is>
          <t>E06-S02</t>
        </is>
      </c>
      <c r="B54" s="39" t="inlineStr">
        <is>
          <t>E06</t>
        </is>
      </c>
      <c r="C54" s="40" t="inlineStr">
        <is>
          <t>TECHNICAL ANALYSIS ENGINE</t>
        </is>
      </c>
      <c r="D54" s="40" t="inlineStr">
        <is>
          <t>Core indicator implementations</t>
        </is>
      </c>
      <c r="E54" s="40" t="inlineStr">
        <is>
          <t>New</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n"/>
      <c r="W54" s="49" t="n"/>
    </row>
    <row r="55" ht="30" customHeight="1" s="59">
      <c r="A55" s="38" t="inlineStr">
        <is>
          <t>E06-S03</t>
        </is>
      </c>
      <c r="B55" s="39" t="inlineStr">
        <is>
          <t>E06</t>
        </is>
      </c>
      <c r="C55" s="40" t="inlineStr">
        <is>
          <t>TECHNICAL ANALYSIS ENGINE</t>
        </is>
      </c>
      <c r="D55" s="40" t="inlineStr">
        <is>
          <t>Warm-up orchestration</t>
        </is>
      </c>
      <c r="E55" s="40" t="inlineStr">
        <is>
          <t>New</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n"/>
      <c r="W55" s="49" t="n"/>
    </row>
    <row r="56" ht="30" customHeight="1" s="59">
      <c r="A56" s="38" t="inlineStr">
        <is>
          <t>E06-S04</t>
        </is>
      </c>
      <c r="B56" s="39" t="inlineStr">
        <is>
          <t>E06</t>
        </is>
      </c>
      <c r="C56" s="40" t="inlineStr">
        <is>
          <t>TECHNICAL ANALYSIS ENGINE</t>
        </is>
      </c>
      <c r="D56" s="40" t="inlineStr">
        <is>
          <t>Multi-timeframe snapshot assembly</t>
        </is>
      </c>
      <c r="E56" s="40" t="inlineStr">
        <is>
          <t>New</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c r="R56" s="39" t="n">
        <v>3</v>
      </c>
      <c r="S56" s="48" t="n"/>
      <c r="T56" s="48" t="inlineStr">
        <is>
          <t>1. Assemble `MultiTimeframeSnapshot` from per-timeframe state
2. `all_ready` gate
3. Publish to Redis for `signal-engine` to read without IPC</t>
        </is>
      </c>
      <c r="U56" s="48" t="n"/>
      <c r="V56" s="48" t="n"/>
      <c r="W56" s="49" t="n"/>
    </row>
    <row r="57" ht="30" customHeight="1" s="59">
      <c r="A57" s="38" t="inlineStr">
        <is>
          <t>E06-S05</t>
        </is>
      </c>
      <c r="B57" s="39" t="inlineStr">
        <is>
          <t>E06</t>
        </is>
      </c>
      <c r="C57" s="40" t="inlineStr">
        <is>
          <t>TECHNICAL ANALYSIS ENGINE</t>
        </is>
      </c>
      <c r="D57" s="40" t="inlineStr">
        <is>
          <t>Support/resistance and pivot detection</t>
        </is>
      </c>
      <c r="E57" s="40" t="inlineStr">
        <is>
          <t>New</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n"/>
      <c r="W57" s="49" t="n"/>
    </row>
    <row r="58" ht="30" customHeight="1" s="59">
      <c r="A58" s="38" t="inlineStr">
        <is>
          <t>E06-S06</t>
        </is>
      </c>
      <c r="B58" s="39" t="inlineStr">
        <is>
          <t>E06</t>
        </is>
      </c>
      <c r="C58" s="40" t="inlineStr">
        <is>
          <t>TECHNICAL ANALYSIS ENGINE</t>
        </is>
      </c>
      <c r="D58" s="40" t="inlineStr">
        <is>
          <t>Opening range computation</t>
        </is>
      </c>
      <c r="E58" s="40" t="inlineStr">
        <is>
          <t>New</t>
        </is>
      </c>
      <c r="F58" s="41" t="inlineStr">
        <is>
          <t>P0</t>
        </is>
      </c>
      <c r="G58" s="39" t="inlineStr">
        <is>
          <t>2</t>
        </is>
      </c>
      <c r="H58" s="51" t="inlineStr">
        <is>
          <t>Safety-critical</t>
        </is>
      </c>
      <c r="I58" s="39" t="inlineStr">
        <is>
          <t>FEAT</t>
        </is>
      </c>
      <c r="J58" s="43" t="n">
        <v>1</v>
      </c>
      <c r="K58" s="40" t="inlineStr">
        <is>
          <t>E06-S02</t>
        </is>
      </c>
      <c r="L58" s="40" t="n"/>
      <c r="M58" s="44" t="n"/>
      <c r="N58" s="45" t="n"/>
      <c r="O58" s="46" t="n"/>
      <c r="P58" s="46" t="n"/>
      <c r="Q58" s="47" t="n"/>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n"/>
      <c r="W58" s="49" t="n"/>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n"/>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Flags, triangles, double tops/bottoms; TA-Lib candlestick recognition.</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30" customHeight="1" s="59">
      <c r="A118" s="38" t="inlineStr">
        <is>
          <t>E14-S01</t>
        </is>
      </c>
      <c r="B118" s="39" t="inlineStr">
        <is>
          <t>E14</t>
        </is>
      </c>
      <c r="C118" s="40" t="inlineStr">
        <is>
          <t>RISK ENGINE</t>
        </is>
      </c>
      <c r="D118" s="40" t="inlineStr">
        <is>
          <t>Risk check framework</t>
        </is>
      </c>
      <c r="E118" s="40" t="inlineStr">
        <is>
          <t>New</t>
        </is>
      </c>
      <c r="F118" s="41" t="inlineStr">
        <is>
          <t>P0</t>
        </is>
      </c>
      <c r="G118" s="39" t="inlineStr">
        <is>
          <t>5</t>
        </is>
      </c>
      <c r="H118" s="51" t="inlineStr">
        <is>
          <t>Safety-critical</t>
        </is>
      </c>
      <c r="I118" s="39" t="inlineStr">
        <is>
          <t>FEAT</t>
        </is>
      </c>
      <c r="J118" s="43" t="n">
        <v>1.5</v>
      </c>
      <c r="K118" s="40" t="inlineStr">
        <is>
          <t>E13-S04</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n"/>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2"/>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30" customHeight="1" s="59">
      <c r="A5" s="38" t="inlineStr">
        <is>
          <t>B1</t>
        </is>
      </c>
      <c r="B5" s="48" t="inlineStr">
        <is>
          <t>Algo-ID attachment mechanic unconfirmed</t>
        </is>
      </c>
      <c r="C5" s="48" t="inlineStr">
        <is>
          <t>E02-S04, E21-S01</t>
        </is>
      </c>
      <c r="D5" s="48" t="inlineStr">
        <is>
          <t>Ask Zerodha: tag field or broker-injected?</t>
        </is>
      </c>
      <c r="E5" s="40" t="inlineStr">
        <is>
          <t>Active</t>
        </is>
      </c>
      <c r="F5" s="44" t="inlineStr">
        <is>
          <t>Self</t>
        </is>
      </c>
      <c r="G5" s="46" t="n"/>
      <c r="H5" s="49" t="inlineStr">
        <is>
          <t>PARTIALLY RESOLVED 7 Aug 2026 — the MECHANIC is confirmed, the VALUE is not.
ANSWERED: the Algo-ID is CLIENT-SUPPLIED PER ORDER, not injected server-side by the broker. kiteconnect 5.2.1's place_order() takes an `algo_id` parameter, documented as "an optional algo ID to associate with the order". Verified against the installed SDK signature, not from docs. doctor now asserts this at runtime.
This settles the architectural question: the system must carry an Algo-ID in config and attach it to every order — which is what BrokerConfig.algo_id and the live-mode validator in common/config.py already assume. No design change needed.
STILL OPEN: WHICH value to send. For self-developed personal algos under 10 orders/sec, a GENERIC exchange-issued Algo-ID applies rather than a per-strategy registered one — that needs confirming with Zerodha, and is the remaining content of the Day-1 email.
Downgraded from a design blocker to a paperwork question. It no longer blocks E02-S04 from being BUILT, only from going live.
[YOUR ORIGINAL NOTE: "Research on this topic, and arrive at a relevant answer"]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30" customHeight="1" s="59">
      <c r="A7" s="38" t="inlineStr">
        <is>
          <t>B3</t>
        </is>
      </c>
      <c r="B7" s="48" t="inlineStr">
        <is>
          <t>NSE holiday list incomplete</t>
        </is>
      </c>
      <c r="C7" s="48" t="inlineStr">
        <is>
          <t>E04-S07, all scheduling</t>
        </is>
      </c>
      <c r="D7" s="48" t="inlineStr">
        <is>
          <t>Transcribe the circular</t>
        </is>
      </c>
      <c r="E7" s="40" t="inlineStr">
        <is>
          <t>Active</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Active</t>
        </is>
      </c>
      <c r="F8" s="44" t="inlineStr">
        <is>
          <t>Self</t>
        </is>
      </c>
      <c r="G8" s="46" t="n"/>
      <c r="H8" s="49" t="inlineStr">
        <is>
          <t>SPRINT 1 — DAY 1. Ask in the SAME email as B1; one round trip instead of two.
Working figure is ~Rs.500/month for the historical data add-on on top of the Kite Connect subscription. Affects the E03-S03 budget only — it does not block any code being written, so it should never hold up the sprint. User has confirmed they will handle pricing themselves; this is a confirm-the-number task, not a decision.</t>
        </is>
      </c>
    </row>
    <row r="9" ht="30" customHeight="1" s="59">
      <c r="A9" s="38" t="inlineStr">
        <is>
          <t>B5</t>
        </is>
      </c>
      <c r="B9" s="48" t="inlineStr">
        <is>
          <t>Daily login mechanism untested</t>
        </is>
      </c>
      <c r="C9" s="48" t="inlineStr">
        <is>
          <t>E02-S01</t>
        </is>
      </c>
      <c r="D9" s="48" t="inlineStr">
        <is>
          <t>Prototype the phone→callback flow</t>
        </is>
      </c>
      <c r="E9" s="40" t="inlineStr">
        <is>
          <t>New</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30" customHeight="1" s="59">
      <c r="A10" s="38" t="inlineStr">
        <is>
          <t>B6</t>
        </is>
      </c>
      <c r="B10" s="48" t="inlineStr">
        <is>
          <t>Static IP not procured</t>
        </is>
      </c>
      <c r="C10" s="48" t="inlineStr">
        <is>
          <t>E23-S02, all live trading</t>
        </is>
      </c>
      <c r="D10" s="48" t="inlineStr">
        <is>
          <t>Select provider, procure</t>
        </is>
      </c>
      <c r="E10" s="40" t="inlineStr">
        <is>
          <t>Active</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t>
        </is>
      </c>
    </row>
    <row r="11" ht="409.6" customHeight="1" s="59">
      <c r="A11" s="38" t="inlineStr">
        <is>
          <t>B7</t>
        </is>
      </c>
      <c r="B11" s="48" t="inlineStr">
        <is>
          <t>kiteconnect pins a vulnerable autobahn (CVE-2020-35678)</t>
        </is>
      </c>
      <c r="C11" s="48" t="inlineStr">
        <is>
          <t>E02-S03 WebSocket ticker, all live market data</t>
        </is>
      </c>
      <c r="D11" s="48" t="inlineStr">
        <is>
          <t>Confirm exposure at E02; ask Zerodha to bump the pin</t>
        </is>
      </c>
      <c r="E11" s="40" t="inlineStr">
        <is>
          <t>On Hold</t>
        </is>
      </c>
      <c r="F11" s="44" t="inlineStr">
        <is>
          <t>Self</t>
        </is>
      </c>
      <c r="G11" s="46" t="inlineStr">
        <is>
          <t>None</t>
        </is>
      </c>
      <c r="H11" s="49" t="inlineStr">
        <is>
          <t>FOUND 7 Aug 2026 by pip-audit during the Sprint 1 security pass.
kiteconnect 5.2.1 declares `autobahn[twisted]==19.11.2` — an EXACT pin to a 2019 release carrying CVE-2020-35678 (redirect header injection, fixed in 20.12.3). autobahn is the WebSocket transport behind KiteTicker, i.e. the live market-data path.
CANNOT BE FIXED LOCALLY. pip will install autobahn 26.7.1 if asked, but that violates kiteconnect's declared pin and is a 7-year API jump in the exact layer KiteTicker is built on. Doing that blind to the market-data path is a worse risk than the CVE. NOT ATTEMPTED — deliberately.
EXPOSURE ASSESSMENT (why this is On Hold rather than Active): the flaw needs an attacker able to influence a redirect response. This client connects to one known endpoint (wss://ws.kite.trade) over TLS, and the compose design already puts the core network on `internal: true` with egress filtered to broker hosts. That is not a fix, but it means the practical exposure is small and does not block development.
ACTIONS: (1) add to the Zerodha email alongside B1/B4 — ask when the autobahn pin will be updated; (2) at E02-S03, verify TLS cert validation is ON and the endpoint is not permitted to redirect; (3) re-run pip-audit each sprint; (4) re-evaluate before live trading — this belongs on PRE_LIVE_CHECKLIST.
Same family as B2: both are the broker SDK holding the system back.</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3"/>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63" t="inlineStr">
        <is>
          <t>QA ID</t>
        </is>
      </c>
      <c r="B4" s="63" t="inlineStr">
        <is>
          <t>Story</t>
        </is>
      </c>
      <c r="C4" s="63" t="inlineStr">
        <is>
          <t>Area</t>
        </is>
      </c>
      <c r="D4" s="63" t="inlineStr">
        <is>
          <t>Result</t>
        </is>
      </c>
      <c r="E4" s="63" t="inlineStr">
        <is>
          <t>What was verified</t>
        </is>
      </c>
      <c r="F4" s="63" t="inlineStr">
        <is>
          <t>Evidence</t>
        </is>
      </c>
      <c r="G4" s="63" t="inlineStr">
        <is>
          <t>Test file</t>
        </is>
      </c>
      <c r="I4" s="64" t="inlineStr">
        <is>
          <t>Result</t>
        </is>
      </c>
      <c r="J4" s="64"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23</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6</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14"/>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3</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4</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2026-08-05T16:21:12Z</dcterms:created>
  <dcterms:modified xmlns:dcterms="http://purl.org/dc/terms/" xmlns:xsi="http://www.w3.org/2001/XMLSchema-instance" xsi:type="dcterms:W3CDTF">2026-08-11T06:41:18Z</dcterms:modified>
  <cp:lastModifiedBy>Gopikrishnan Sreekumar</cp:lastModifiedBy>
  <cp:revision>0</cp:revision>
</cp:coreProperties>
</file>