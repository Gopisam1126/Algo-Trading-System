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Sprint Plan" sheetId="5" state="visible" r:id="rId5"/>
    <sheet xmlns:r="http://schemas.openxmlformats.org/officeDocument/2006/relationships" name="Reference" sheetId="6" state="visible" r:id="rId6"/>
  </sheets>
  <definedNames>
    <definedName name="_xlnm._FilterDatabase" localSheetId="1" hidden="1">'Backlog'!$A$4:$W$195</definedName>
    <definedName name="_xlnm._FilterDatabase" localSheetId="2" hidden="1">'Blockers'!$A$4:$H$11</definedName>
    <definedName name="_xlnm._FilterDatabase" localSheetId="3" hidden="1">'E01 Blockers'!$A$4:$H$5</definedName>
    <definedName name="_xlnm._FilterDatabase" localSheetId="4"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29">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s>
  <fills count="21">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s>
  <borders count="2">
    <border>
      <left/>
      <right/>
      <top/>
      <bottom/>
      <diagonal/>
    </border>
    <border>
      <left style="thin">
        <color rgb="FFD0D5DB"/>
      </left>
      <right style="thin">
        <color rgb="FFD0D5DB"/>
      </right>
      <top style="thin">
        <color rgb="FFD0D5DB"/>
      </top>
      <bottom style="thin">
        <color rgb="FFD0D5DB"/>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
  <sheetViews>
    <sheetView zoomScaleNormal="100" workbookViewId="0">
      <pane ySplit="3" topLeftCell="A30" activePane="bottomLeft" state="frozen"/>
      <selection pane="bottomLeft" activeCell="A1" sqref="A1"/>
    </sheetView>
  </sheetViews>
  <sheetFormatPr baseColWidth="8" defaultColWidth="8.6640625" defaultRowHeight="14.4"/>
  <cols>
    <col width="24" customWidth="1" style="59" min="1" max="1"/>
    <col width="12" customWidth="1" style="59" min="2" max="4"/>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COUNTA(Backlog!$A$5:$A$195)</f>
        <v/>
      </c>
      <c r="F6" s="7" t="inlineStr">
        <is>
          <t>E00</t>
        </is>
      </c>
      <c r="G6" s="5" t="inlineStr">
        <is>
          <t>FOUNDATION</t>
        </is>
      </c>
      <c r="H6" s="8" t="inlineStr">
        <is>
          <t>0</t>
        </is>
      </c>
      <c r="I6" s="8">
        <f>COUNTIF(Backlog!$B$5:$B$195,$F6)</f>
        <v/>
      </c>
      <c r="J6" s="9">
        <f>SUMIF(Backlog!$B$5:$B$195,$F6,Backlog!$J$5:$J$195)</f>
        <v/>
      </c>
      <c r="K6" s="8">
        <f>COUNTIFS(Backlog!$B$5:$B$195,$F6,Backlog!$E$5:$E$195,"Closed")</f>
        <v/>
      </c>
      <c r="L6" s="10">
        <f>IFERROR($K6/$I6,0)</f>
        <v/>
      </c>
    </row>
    <row r="7">
      <c r="A7" s="5" t="inlineStr">
        <is>
          <t>Total estimated days</t>
        </is>
      </c>
      <c r="B7" s="11">
        <f>SUM(Backlog!$J$5:$J$195)</f>
        <v/>
      </c>
      <c r="F7" s="7" t="inlineStr">
        <is>
          <t>E01</t>
        </is>
      </c>
      <c r="G7" s="5" t="inlineStr">
        <is>
          <t>PERSISTENCE &amp; DATA LAYER</t>
        </is>
      </c>
      <c r="H7" s="8" t="inlineStr">
        <is>
          <t>1</t>
        </is>
      </c>
      <c r="I7" s="8">
        <f>COUNTIF(Backlog!$B$5:$B$195,$F7)</f>
        <v/>
      </c>
      <c r="J7" s="9">
        <f>SUMIF(Backlog!$B$5:$B$195,$F7,Backlog!$J$5:$J$195)</f>
        <v/>
      </c>
      <c r="K7" s="8">
        <f>COUNTIFS(Backlog!$B$5:$B$195,$F7,Backlog!$E$5:$E$195,"Closed")</f>
        <v/>
      </c>
      <c r="L7" s="10">
        <f>IFERROR($K7/$I7,0)</f>
        <v/>
      </c>
    </row>
    <row r="8">
      <c r="A8" s="5" t="inlineStr">
        <is>
          <t>Closed</t>
        </is>
      </c>
      <c r="B8" s="6">
        <f>COUNTIF(Backlog!$E$5:$E$195,"Closed")</f>
        <v/>
      </c>
      <c r="F8" s="7" t="inlineStr">
        <is>
          <t>E02</t>
        </is>
      </c>
      <c r="G8" s="5" t="inlineStr">
        <is>
          <t>BROKER INTEGRATION</t>
        </is>
      </c>
      <c r="H8" s="8" t="inlineStr">
        <is>
          <t>1</t>
        </is>
      </c>
      <c r="I8" s="8">
        <f>COUNTIF(Backlog!$B$5:$B$195,$F8)</f>
        <v/>
      </c>
      <c r="J8" s="9">
        <f>SUMIF(Backlog!$B$5:$B$195,$F8,Backlog!$J$5:$J$195)</f>
        <v/>
      </c>
      <c r="K8" s="8">
        <f>COUNTIFS(Backlog!$B$5:$B$195,$F8,Backlog!$E$5:$E$195,"Closed")</f>
        <v/>
      </c>
      <c r="L8" s="10">
        <f>IFERROR($K8/$I8,0)</f>
        <v/>
      </c>
    </row>
    <row r="9">
      <c r="A9" s="5" t="inlineStr">
        <is>
          <t>In flight (Active→QA)</t>
        </is>
      </c>
      <c r="B9" s="6">
        <f>SUMPRODUCT(COUNTIF(Backlog!$E$5:$E$195,{"Active","Development In-Progress","Development Completed","QA In-Progress","QA-Success"}))</f>
        <v/>
      </c>
      <c r="F9" s="7" t="inlineStr">
        <is>
          <t>E03</t>
        </is>
      </c>
      <c r="G9" s="5" t="inlineStr">
        <is>
          <t>HISTORICAL DATA</t>
        </is>
      </c>
      <c r="H9" s="8" t="inlineStr">
        <is>
          <t>1</t>
        </is>
      </c>
      <c r="I9" s="8">
        <f>COUNTIF(Backlog!$B$5:$B$195,$F9)</f>
        <v/>
      </c>
      <c r="J9" s="9">
        <f>SUMIF(Backlog!$B$5:$B$195,$F9,Backlog!$J$5:$J$195)</f>
        <v/>
      </c>
      <c r="K9" s="8">
        <f>COUNTIFS(Backlog!$B$5:$B$195,$F9,Backlog!$E$5:$E$195,"Closed")</f>
        <v/>
      </c>
      <c r="L9" s="10">
        <f>IFERROR($K9/$I9,0)</f>
        <v/>
      </c>
    </row>
    <row r="10">
      <c r="A10" s="5" t="inlineStr">
        <is>
          <t>Not started (New)</t>
        </is>
      </c>
      <c r="B10" s="6">
        <f>COUNTIF(Backlog!$E$5:$E$195,"New")</f>
        <v/>
      </c>
      <c r="F10" s="7" t="inlineStr">
        <is>
          <t>E04</t>
        </is>
      </c>
      <c r="G10" s="5" t="inlineStr">
        <is>
          <t>INDIA HAZARD LISTS</t>
        </is>
      </c>
      <c r="H10" s="8" t="inlineStr">
        <is>
          <t>1</t>
        </is>
      </c>
      <c r="I10" s="8">
        <f>COUNTIF(Backlog!$B$5:$B$195,$F10)</f>
        <v/>
      </c>
      <c r="J10" s="9">
        <f>SUMIF(Backlog!$B$5:$B$195,$F10,Backlog!$J$5:$J$195)</f>
        <v/>
      </c>
      <c r="K10" s="8">
        <f>COUNTIFS(Backlog!$B$5:$B$195,$F10,Backlog!$E$5:$E$195,"Closed")</f>
        <v/>
      </c>
      <c r="L10" s="10">
        <f>IFERROR($K10/$I10,0)</f>
        <v/>
      </c>
    </row>
    <row r="11">
      <c r="A11" s="5" t="inlineStr">
        <is>
          <t>Blocked / On Hold</t>
        </is>
      </c>
      <c r="B11" s="6">
        <f>COUNTIF(Backlog!$E$5:$E$195,"Blocked")+COUNTIF(Backlog!$E$5:$E$195,"On Hold")</f>
        <v/>
      </c>
      <c r="F11" s="7" t="inlineStr">
        <is>
          <t>E05</t>
        </is>
      </c>
      <c r="G11" s="5" t="inlineStr">
        <is>
          <t>MARKET DATA INGESTION</t>
        </is>
      </c>
      <c r="H11" s="8" t="inlineStr">
        <is>
          <t>1</t>
        </is>
      </c>
      <c r="I11" s="8">
        <f>COUNTIF(Backlog!$B$5:$B$195,$F11)</f>
        <v/>
      </c>
      <c r="J11" s="9">
        <f>SUMIF(Backlog!$B$5:$B$195,$F11,Backlog!$J$5:$J$195)</f>
        <v/>
      </c>
      <c r="K11" s="8">
        <f>COUNTIFS(Backlog!$B$5:$B$195,$F11,Backlog!$E$5:$E$195,"Closed")</f>
        <v/>
      </c>
      <c r="L11" s="10">
        <f>IFERROR($K11/$I11,0)</f>
        <v/>
      </c>
    </row>
    <row r="12">
      <c r="A12" s="5" t="inlineStr">
        <is>
          <t>% Complete</t>
        </is>
      </c>
      <c r="B12" s="12">
        <f>IFERROR(COUNTIF(Backlog!$E$5:$E$195,"Closed")/COUNTA(Backlog!$A$5:$A$195),0)</f>
        <v/>
      </c>
      <c r="F12" s="7" t="inlineStr">
        <is>
          <t>E06</t>
        </is>
      </c>
      <c r="G12" s="5" t="inlineStr">
        <is>
          <t>TECHNICAL ANALYSIS ENGINE</t>
        </is>
      </c>
      <c r="H12" s="8" t="inlineStr">
        <is>
          <t>2</t>
        </is>
      </c>
      <c r="I12" s="8">
        <f>COUNTIF(Backlog!$B$5:$B$195,$F12)</f>
        <v/>
      </c>
      <c r="J12" s="9">
        <f>SUMIF(Backlog!$B$5:$B$195,$F12,Backlog!$J$5:$J$195)</f>
        <v/>
      </c>
      <c r="K12" s="8">
        <f>COUNTIFS(Backlog!$B$5:$B$195,$F12,Backlog!$E$5:$E$195,"Closed")</f>
        <v/>
      </c>
      <c r="L12" s="10">
        <f>IFERROR($K12/$I12,0)</f>
        <v/>
      </c>
    </row>
    <row r="13">
      <c r="A13" s="5" t="inlineStr">
        <is>
          <t>Days closed</t>
        </is>
      </c>
      <c r="B13" s="11">
        <f>SUMIF(Backlog!$E$5:$E$195,"Closed",Backlog!$J$5:$J$195)</f>
        <v/>
      </c>
      <c r="F13" s="7" t="inlineStr">
        <is>
          <t>E07</t>
        </is>
      </c>
      <c r="G13" s="5" t="inlineStr">
        <is>
          <t>UNIVERSE &amp; SCORING</t>
        </is>
      </c>
      <c r="H13" s="8" t="inlineStr">
        <is>
          <t>2</t>
        </is>
      </c>
      <c r="I13" s="8">
        <f>COUNTIF(Backlog!$B$5:$B$195,$F13)</f>
        <v/>
      </c>
      <c r="J13" s="9">
        <f>SUMIF(Backlog!$B$5:$B$195,$F13,Backlog!$J$5:$J$195)</f>
        <v/>
      </c>
      <c r="K13" s="8">
        <f>COUNTIFS(Backlog!$B$5:$B$195,$F13,Backlog!$E$5:$E$195,"Closed")</f>
        <v/>
      </c>
      <c r="L13" s="10">
        <f>IFERROR($K13/$I13,0)</f>
        <v/>
      </c>
    </row>
    <row r="14">
      <c r="A14" s="5" t="inlineStr">
        <is>
          <t>Days remaining</t>
        </is>
      </c>
      <c r="B14" s="11">
        <f>SUM(Backlog!$J$5:$J$195)-SUMIF(Backlog!$E$5:$E$195,"Closed",Backlog!$J$5:$J$195)</f>
        <v/>
      </c>
      <c r="F14" s="7" t="inlineStr">
        <is>
          <t>E08</t>
        </is>
      </c>
      <c r="G14" s="5" t="inlineStr">
        <is>
          <t>NEWS INTELLIGENCE</t>
        </is>
      </c>
      <c r="H14" s="8" t="inlineStr">
        <is>
          <t>3</t>
        </is>
      </c>
      <c r="I14" s="8">
        <f>COUNTIF(Backlog!$B$5:$B$195,$F14)</f>
        <v/>
      </c>
      <c r="J14" s="9">
        <f>SUMIF(Backlog!$B$5:$B$195,$F14,Backlog!$J$5:$J$195)</f>
        <v/>
      </c>
      <c r="K14" s="8">
        <f>COUNTIFS(Backlog!$B$5:$B$195,$F14,Backlog!$E$5:$E$195,"Closed")</f>
        <v/>
      </c>
      <c r="L14" s="10">
        <f>IFERROR($K14/$I14,0)</f>
        <v/>
      </c>
    </row>
    <row r="15">
      <c r="F15" s="7" t="inlineStr">
        <is>
          <t>E09</t>
        </is>
      </c>
      <c r="G15" s="5" t="inlineStr">
        <is>
          <t>MACRO CONTEXT</t>
        </is>
      </c>
      <c r="H15" s="8" t="inlineStr">
        <is>
          <t>3</t>
        </is>
      </c>
      <c r="I15" s="8">
        <f>COUNTIF(Backlog!$B$5:$B$195,$F15)</f>
        <v/>
      </c>
      <c r="J15" s="9">
        <f>SUMIF(Backlog!$B$5:$B$195,$F15,Backlog!$J$5:$J$195)</f>
        <v/>
      </c>
      <c r="K15" s="8">
        <f>COUNTIFS(Backlog!$B$5:$B$195,$F15,Backlog!$E$5:$E$195,"Closed")</f>
        <v/>
      </c>
      <c r="L15" s="10">
        <f>IFERROR($K15/$I15,0)</f>
        <v/>
      </c>
    </row>
    <row r="16">
      <c r="A16" s="3" t="inlineStr">
        <is>
          <t>BY STATUS</t>
        </is>
      </c>
      <c r="F16" s="7" t="inlineStr">
        <is>
          <t>E10</t>
        </is>
      </c>
      <c r="G16" s="5" t="inlineStr">
        <is>
          <t>AI LAYER</t>
        </is>
      </c>
      <c r="H16" s="8" t="inlineStr">
        <is>
          <t>3</t>
        </is>
      </c>
      <c r="I16" s="8">
        <f>COUNTIF(Backlog!$B$5:$B$195,$F16)</f>
        <v/>
      </c>
      <c r="J16" s="9">
        <f>SUMIF(Backlog!$B$5:$B$195,$F16,Backlog!$J$5:$J$195)</f>
        <v/>
      </c>
      <c r="K16" s="8">
        <f>COUNTIFS(Backlog!$B$5:$B$195,$F16,Backlog!$E$5:$E$195,"Closed")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COUNTIF(Backlog!$B$5:$B$195,$F17)</f>
        <v/>
      </c>
      <c r="J17" s="9">
        <f>SUMIF(Backlog!$B$5:$B$195,$F17,Backlog!$J$5:$J$195)</f>
        <v/>
      </c>
      <c r="K17" s="8">
        <f>COUNTIFS(Backlog!$B$5:$B$195,$F17,Backlog!$E$5:$E$195,"Closed")</f>
        <v/>
      </c>
      <c r="L17" s="10">
        <f>IFERROR($K17/$I17,0)</f>
        <v/>
      </c>
    </row>
    <row r="18">
      <c r="A18" s="13" t="inlineStr">
        <is>
          <t>New</t>
        </is>
      </c>
      <c r="B18" s="8">
        <f>COUNTIF(Backlog!$E$5:$E$195,$A18)</f>
        <v/>
      </c>
      <c r="C18" s="14">
        <f>IFERROR($B18/COUNTA(Backlog!$A$5:$A$195),0)</f>
        <v/>
      </c>
      <c r="D18" s="9">
        <f>SUMIF(Backlog!$E$5:$E$195,$A18,Backlog!$J$5:$J$195)</f>
        <v/>
      </c>
      <c r="F18" s="7" t="inlineStr">
        <is>
          <t>E12</t>
        </is>
      </c>
      <c r="G18" s="5" t="inlineStr">
        <is>
          <t>STRATEGY ENGINE</t>
        </is>
      </c>
      <c r="H18" s="8" t="inlineStr">
        <is>
          <t>5</t>
        </is>
      </c>
      <c r="I18" s="8">
        <f>COUNTIF(Backlog!$B$5:$B$195,$F18)</f>
        <v/>
      </c>
      <c r="J18" s="9">
        <f>SUMIF(Backlog!$B$5:$B$195,$F18,Backlog!$J$5:$J$195)</f>
        <v/>
      </c>
      <c r="K18" s="8">
        <f>COUNTIFS(Backlog!$B$5:$B$195,$F18,Backlog!$E$5:$E$195,"Closed")</f>
        <v/>
      </c>
      <c r="L18" s="10">
        <f>IFERROR($K18/$I18,0)</f>
        <v/>
      </c>
    </row>
    <row r="19">
      <c r="A19" s="15" t="inlineStr">
        <is>
          <t>Business Review</t>
        </is>
      </c>
      <c r="B19" s="8">
        <f>COUNTIF(Backlog!$E$5:$E$195,$A19)</f>
        <v/>
      </c>
      <c r="C19" s="14">
        <f>IFERROR($B19/COUNTA(Backlog!$A$5:$A$195),0)</f>
        <v/>
      </c>
      <c r="D19" s="9">
        <f>SUMIF(Backlog!$E$5:$E$195,$A19,Backlog!$J$5:$J$195)</f>
        <v/>
      </c>
      <c r="F19" s="7" t="inlineStr">
        <is>
          <t>E13</t>
        </is>
      </c>
      <c r="G19" s="5" t="inlineStr">
        <is>
          <t>SIGNAL ENGINE</t>
        </is>
      </c>
      <c r="H19" s="8" t="inlineStr">
        <is>
          <t>4</t>
        </is>
      </c>
      <c r="I19" s="8">
        <f>COUNTIF(Backlog!$B$5:$B$195,$F19)</f>
        <v/>
      </c>
      <c r="J19" s="9">
        <f>SUMIF(Backlog!$B$5:$B$195,$F19,Backlog!$J$5:$J$195)</f>
        <v/>
      </c>
      <c r="K19" s="8">
        <f>COUNTIFS(Backlog!$B$5:$B$195,$F19,Backlog!$E$5:$E$195,"Closed")</f>
        <v/>
      </c>
      <c r="L19" s="10">
        <f>IFERROR($K19/$I19,0)</f>
        <v/>
      </c>
    </row>
    <row r="20">
      <c r="A20" s="16" t="inlineStr">
        <is>
          <t>Business Approved</t>
        </is>
      </c>
      <c r="B20" s="8">
        <f>COUNTIF(Backlog!$E$5:$E$195,$A20)</f>
        <v/>
      </c>
      <c r="C20" s="14">
        <f>IFERROR($B20/COUNTA(Backlog!$A$5:$A$195),0)</f>
        <v/>
      </c>
      <c r="D20" s="9">
        <f>SUMIF(Backlog!$E$5:$E$195,$A20,Backlog!$J$5:$J$195)</f>
        <v/>
      </c>
      <c r="F20" s="7" t="inlineStr">
        <is>
          <t>E14</t>
        </is>
      </c>
      <c r="G20" s="5" t="inlineStr">
        <is>
          <t>RISK ENGINE</t>
        </is>
      </c>
      <c r="H20" s="8" t="inlineStr">
        <is>
          <t>5</t>
        </is>
      </c>
      <c r="I20" s="8">
        <f>COUNTIF(Backlog!$B$5:$B$195,$F20)</f>
        <v/>
      </c>
      <c r="J20" s="9">
        <f>SUMIF(Backlog!$B$5:$B$195,$F20,Backlog!$J$5:$J$195)</f>
        <v/>
      </c>
      <c r="K20" s="8">
        <f>COUNTIFS(Backlog!$B$5:$B$195,$F20,Backlog!$E$5:$E$195,"Closed")</f>
        <v/>
      </c>
      <c r="L20" s="10">
        <f>IFERROR($K20/$I20,0)</f>
        <v/>
      </c>
    </row>
    <row r="21">
      <c r="A21" s="17" t="inlineStr">
        <is>
          <t>Active</t>
        </is>
      </c>
      <c r="B21" s="8">
        <f>COUNTIF(Backlog!$E$5:$E$195,$A21)</f>
        <v/>
      </c>
      <c r="C21" s="14">
        <f>IFERROR($B21/COUNTA(Backlog!$A$5:$A$195),0)</f>
        <v/>
      </c>
      <c r="D21" s="9">
        <f>SUMIF(Backlog!$E$5:$E$195,$A21,Backlog!$J$5:$J$195)</f>
        <v/>
      </c>
      <c r="F21" s="7" t="inlineStr">
        <is>
          <t>E15</t>
        </is>
      </c>
      <c r="G21" s="5" t="inlineStr">
        <is>
          <t>EXECUTION &amp; POSITIONS</t>
        </is>
      </c>
      <c r="H21" s="8" t="inlineStr">
        <is>
          <t>5</t>
        </is>
      </c>
      <c r="I21" s="8">
        <f>COUNTIF(Backlog!$B$5:$B$195,$F21)</f>
        <v/>
      </c>
      <c r="J21" s="9">
        <f>SUMIF(Backlog!$B$5:$B$195,$F21,Backlog!$J$5:$J$195)</f>
        <v/>
      </c>
      <c r="K21" s="8">
        <f>COUNTIFS(Backlog!$B$5:$B$195,$F21,Backlog!$E$5:$E$195,"Closed")</f>
        <v/>
      </c>
      <c r="L21" s="10">
        <f>IFERROR($K21/$I21,0)</f>
        <v/>
      </c>
    </row>
    <row r="22">
      <c r="A22" s="18" t="inlineStr">
        <is>
          <t>Development In-Progress</t>
        </is>
      </c>
      <c r="B22" s="8">
        <f>COUNTIF(Backlog!$E$5:$E$195,$A22)</f>
        <v/>
      </c>
      <c r="C22" s="14">
        <f>IFERROR($B22/COUNTA(Backlog!$A$5:$A$195),0)</f>
        <v/>
      </c>
      <c r="D22" s="9">
        <f>SUMIF(Backlog!$E$5:$E$195,$A22,Backlog!$J$5:$J$195)</f>
        <v/>
      </c>
      <c r="F22" s="7" t="inlineStr">
        <is>
          <t>E16</t>
        </is>
      </c>
      <c r="G22" s="5" t="inlineStr">
        <is>
          <t>AUTONOMY &amp; APPROVAL</t>
        </is>
      </c>
      <c r="H22" s="8" t="inlineStr">
        <is>
          <t>5</t>
        </is>
      </c>
      <c r="I22" s="8">
        <f>COUNTIF(Backlog!$B$5:$B$195,$F22)</f>
        <v/>
      </c>
      <c r="J22" s="9">
        <f>SUMIF(Backlog!$B$5:$B$195,$F22,Backlog!$J$5:$J$195)</f>
        <v/>
      </c>
      <c r="K22" s="8">
        <f>COUNTIFS(Backlog!$B$5:$B$195,$F22,Backlog!$E$5:$E$195,"Closed")</f>
        <v/>
      </c>
      <c r="L22" s="10">
        <f>IFERROR($K22/$I22,0)</f>
        <v/>
      </c>
    </row>
    <row r="23">
      <c r="A23" s="19" t="inlineStr">
        <is>
          <t>Development Completed</t>
        </is>
      </c>
      <c r="B23" s="8">
        <f>COUNTIF(Backlog!$E$5:$E$195,$A23)</f>
        <v/>
      </c>
      <c r="C23" s="14">
        <f>IFERROR($B23/COUNTA(Backlog!$A$5:$A$195),0)</f>
        <v/>
      </c>
      <c r="D23" s="9">
        <f>SUMIF(Backlog!$E$5:$E$195,$A23,Backlog!$J$5:$J$195)</f>
        <v/>
      </c>
      <c r="F23" s="7" t="inlineStr">
        <is>
          <t>E17</t>
        </is>
      </c>
      <c r="G23" s="5" t="inlineStr">
        <is>
          <t>DASHBOARD UI</t>
        </is>
      </c>
      <c r="H23" s="8" t="inlineStr">
        <is>
          <t>4/6</t>
        </is>
      </c>
      <c r="I23" s="8">
        <f>COUNTIF(Backlog!$B$5:$B$195,$F23)</f>
        <v/>
      </c>
      <c r="J23" s="9">
        <f>SUMIF(Backlog!$B$5:$B$195,$F23,Backlog!$J$5:$J$195)</f>
        <v/>
      </c>
      <c r="K23" s="8">
        <f>COUNTIFS(Backlog!$B$5:$B$195,$F23,Backlog!$E$5:$E$195,"Closed")</f>
        <v/>
      </c>
      <c r="L23" s="10">
        <f>IFERROR($K23/$I23,0)</f>
        <v/>
      </c>
    </row>
    <row r="24">
      <c r="A24" s="20" t="inlineStr">
        <is>
          <t>QA In-Progress</t>
        </is>
      </c>
      <c r="B24" s="8">
        <f>COUNTIF(Backlog!$E$5:$E$195,$A24)</f>
        <v/>
      </c>
      <c r="C24" s="14">
        <f>IFERROR($B24/COUNTA(Backlog!$A$5:$A$195),0)</f>
        <v/>
      </c>
      <c r="D24" s="9">
        <f>SUMIF(Backlog!$E$5:$E$195,$A24,Backlog!$J$5:$J$195)</f>
        <v/>
      </c>
      <c r="F24" s="7" t="inlineStr">
        <is>
          <t>E18</t>
        </is>
      </c>
      <c r="G24" s="5" t="inlineStr">
        <is>
          <t>ADMIN UI</t>
        </is>
      </c>
      <c r="H24" s="8" t="inlineStr">
        <is>
          <t>6</t>
        </is>
      </c>
      <c r="I24" s="8">
        <f>COUNTIF(Backlog!$B$5:$B$195,$F24)</f>
        <v/>
      </c>
      <c r="J24" s="9">
        <f>SUMIF(Backlog!$B$5:$B$195,$F24,Backlog!$J$5:$J$195)</f>
        <v/>
      </c>
      <c r="K24" s="8">
        <f>COUNTIFS(Backlog!$B$5:$B$195,$F24,Backlog!$E$5:$E$195,"Closed")</f>
        <v/>
      </c>
      <c r="L24" s="10">
        <f>IFERROR($K24/$I24,0)</f>
        <v/>
      </c>
    </row>
    <row r="25">
      <c r="A25" s="21" t="inlineStr">
        <is>
          <t>QA-Success</t>
        </is>
      </c>
      <c r="B25" s="8">
        <f>COUNTIF(Backlog!$E$5:$E$195,$A25)</f>
        <v/>
      </c>
      <c r="C25" s="14">
        <f>IFERROR($B25/COUNTA(Backlog!$A$5:$A$195),0)</f>
        <v/>
      </c>
      <c r="D25" s="9">
        <f>SUMIF(Backlog!$E$5:$E$195,$A25,Backlog!$J$5:$J$195)</f>
        <v/>
      </c>
      <c r="F25" s="7" t="inlineStr">
        <is>
          <t>E19</t>
        </is>
      </c>
      <c r="G25" s="5" t="inlineStr">
        <is>
          <t>NOTIFICATIONS</t>
        </is>
      </c>
      <c r="H25" s="8" t="inlineStr">
        <is>
          <t>3/4</t>
        </is>
      </c>
      <c r="I25" s="8">
        <f>COUNTIF(Backlog!$B$5:$B$195,$F25)</f>
        <v/>
      </c>
      <c r="J25" s="9">
        <f>SUMIF(Backlog!$B$5:$B$195,$F25,Backlog!$J$5:$J$195)</f>
        <v/>
      </c>
      <c r="K25" s="8">
        <f>COUNTIFS(Backlog!$B$5:$B$195,$F25,Backlog!$E$5:$E$195,"Closed")</f>
        <v/>
      </c>
      <c r="L25" s="10">
        <f>IFERROR($K25/$I25,0)</f>
        <v/>
      </c>
    </row>
    <row r="26">
      <c r="A26" s="22" t="inlineStr">
        <is>
          <t>QA-Fail</t>
        </is>
      </c>
      <c r="B26" s="8">
        <f>COUNTIF(Backlog!$E$5:$E$195,$A26)</f>
        <v/>
      </c>
      <c r="C26" s="14">
        <f>IFERROR($B26/COUNTA(Backlog!$A$5:$A$195),0)</f>
        <v/>
      </c>
      <c r="D26" s="9">
        <f>SUMIF(Backlog!$E$5:$E$195,$A26,Backlog!$J$5:$J$195)</f>
        <v/>
      </c>
      <c r="F26" s="7" t="inlineStr">
        <is>
          <t>E20</t>
        </is>
      </c>
      <c r="G26" s="5" t="inlineStr">
        <is>
          <t>OBSERVABILITY</t>
        </is>
      </c>
      <c r="H26" s="8" t="inlineStr">
        <is>
          <t>6</t>
        </is>
      </c>
      <c r="I26" s="8">
        <f>COUNTIF(Backlog!$B$5:$B$195,$F26)</f>
        <v/>
      </c>
      <c r="J26" s="9">
        <f>SUMIF(Backlog!$B$5:$B$195,$F26,Backlog!$J$5:$J$195)</f>
        <v/>
      </c>
      <c r="K26" s="8">
        <f>COUNTIFS(Backlog!$B$5:$B$195,$F26,Backlog!$E$5:$E$195,"Closed")</f>
        <v/>
      </c>
      <c r="L26" s="10">
        <f>IFERROR($K26/$I26,0)</f>
        <v/>
      </c>
    </row>
    <row r="27">
      <c r="A27" s="23" t="inlineStr">
        <is>
          <t>Closed</t>
        </is>
      </c>
      <c r="B27" s="8">
        <f>COUNTIF(Backlog!$E$5:$E$195,$A27)</f>
        <v/>
      </c>
      <c r="C27" s="14">
        <f>IFERROR($B27/COUNTA(Backlog!$A$5:$A$195),0)</f>
        <v/>
      </c>
      <c r="D27" s="9">
        <f>SUMIF(Backlog!$E$5:$E$195,$A27,Backlog!$J$5:$J$195)</f>
        <v/>
      </c>
      <c r="F27" s="7" t="inlineStr">
        <is>
          <t>E21</t>
        </is>
      </c>
      <c r="G27" s="5" t="inlineStr">
        <is>
          <t>COMPLIANCE &amp; TAX</t>
        </is>
      </c>
      <c r="H27" s="8" t="inlineStr">
        <is>
          <t>6</t>
        </is>
      </c>
      <c r="I27" s="8">
        <f>COUNTIF(Backlog!$B$5:$B$195,$F27)</f>
        <v/>
      </c>
      <c r="J27" s="9">
        <f>SUMIF(Backlog!$B$5:$B$195,$F27,Backlog!$J$5:$J$195)</f>
        <v/>
      </c>
      <c r="K27" s="8">
        <f>COUNTIFS(Backlog!$B$5:$B$195,$F27,Backlog!$E$5:$E$195,"Closed")</f>
        <v/>
      </c>
      <c r="L27" s="10">
        <f>IFERROR($K27/$I27,0)</f>
        <v/>
      </c>
    </row>
    <row r="28">
      <c r="A28" s="24" t="inlineStr">
        <is>
          <t>Removed</t>
        </is>
      </c>
      <c r="B28" s="8">
        <f>COUNTIF(Backlog!$E$5:$E$195,$A28)</f>
        <v/>
      </c>
      <c r="C28" s="14">
        <f>IFERROR($B28/COUNTA(Backlog!$A$5:$A$195),0)</f>
        <v/>
      </c>
      <c r="D28" s="9">
        <f>SUMIF(Backlog!$E$5:$E$195,$A28,Backlog!$J$5:$J$195)</f>
        <v/>
      </c>
      <c r="F28" s="7" t="inlineStr">
        <is>
          <t>E22</t>
        </is>
      </c>
      <c r="G28" s="5" t="inlineStr">
        <is>
          <t>TESTING &amp; VALIDATION</t>
        </is>
      </c>
      <c r="H28" s="8" t="inlineStr">
        <is>
          <t>7</t>
        </is>
      </c>
      <c r="I28" s="8">
        <f>COUNTIF(Backlog!$B$5:$B$195,$F28)</f>
        <v/>
      </c>
      <c r="J28" s="9">
        <f>SUMIF(Backlog!$B$5:$B$195,$F28,Backlog!$J$5:$J$195)</f>
        <v/>
      </c>
      <c r="K28" s="8">
        <f>COUNTIFS(Backlog!$B$5:$B$195,$F28,Backlog!$E$5:$E$195,"Closed")</f>
        <v/>
      </c>
      <c r="L28" s="10">
        <f>IFERROR($K28/$I28,0)</f>
        <v/>
      </c>
    </row>
    <row r="29">
      <c r="A29" s="25" t="inlineStr">
        <is>
          <t>Moved to Backlog</t>
        </is>
      </c>
      <c r="B29" s="8">
        <f>COUNTIF(Backlog!$E$5:$E$195,$A29)</f>
        <v/>
      </c>
      <c r="C29" s="14">
        <f>IFERROR($B29/COUNTA(Backlog!$A$5:$A$195),0)</f>
        <v/>
      </c>
      <c r="D29" s="9">
        <f>SUMIF(Backlog!$E$5:$E$195,$A29,Backlog!$J$5:$J$195)</f>
        <v/>
      </c>
      <c r="F29" s="7" t="inlineStr">
        <is>
          <t>E23</t>
        </is>
      </c>
      <c r="G29" s="5" t="inlineStr">
        <is>
          <t>DEPLOYMENT &amp; OPS</t>
        </is>
      </c>
      <c r="H29" s="8" t="inlineStr">
        <is>
          <t>7/8</t>
        </is>
      </c>
      <c r="I29" s="8">
        <f>COUNTIF(Backlog!$B$5:$B$195,$F29)</f>
        <v/>
      </c>
      <c r="J29" s="9">
        <f>SUMIF(Backlog!$B$5:$B$195,$F29,Backlog!$J$5:$J$195)</f>
        <v/>
      </c>
      <c r="K29" s="8">
        <f>COUNTIFS(Backlog!$B$5:$B$195,$F29,Backlog!$E$5:$E$195,"Closed")</f>
        <v/>
      </c>
      <c r="L29" s="10">
        <f>IFERROR($K29/$I29,0)</f>
        <v/>
      </c>
    </row>
    <row r="30">
      <c r="A30" s="26" t="inlineStr">
        <is>
          <t>Blocked</t>
        </is>
      </c>
      <c r="B30" s="8">
        <f>COUNTIF(Backlog!$E$5:$E$195,$A30)</f>
        <v/>
      </c>
      <c r="C30" s="14">
        <f>IFERROR($B30/COUNTA(Backlog!$A$5:$A$195),0)</f>
        <v/>
      </c>
      <c r="D30" s="9">
        <f>SUMIF(Backlog!$E$5:$E$195,$A30,Backlog!$J$5:$J$195)</f>
        <v/>
      </c>
      <c r="F30" s="7" t="inlineStr">
        <is>
          <t>TOTAL</t>
        </is>
      </c>
      <c r="G30" s="27" t="n"/>
      <c r="H30" s="27" t="n"/>
      <c r="I30" s="28">
        <f>SUM(I6:I29)</f>
        <v/>
      </c>
      <c r="J30" s="11">
        <f>SUM(J6:J29)</f>
        <v/>
      </c>
      <c r="K30" s="28">
        <f>SUM(K6:K29)</f>
        <v/>
      </c>
      <c r="L30" s="29">
        <f>IFERROR(K30/I30,0)</f>
        <v/>
      </c>
    </row>
    <row r="31">
      <c r="A31" s="30" t="inlineStr">
        <is>
          <t>On Hold</t>
        </is>
      </c>
      <c r="B31" s="8">
        <f>COUNTIF(Backlog!$E$5:$E$195,$A31)</f>
        <v/>
      </c>
      <c r="C31" s="14">
        <f>IFERROR($B31/COUNTA(Backlog!$A$5:$A$195),0)</f>
        <v/>
      </c>
      <c r="D31" s="9">
        <f>SUMIF(Backlog!$E$5:$E$195,$A31,Backlog!$J$5:$J$195)</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COUNTIF(Backlog!$F$5:$F$195,$A36)</f>
        <v/>
      </c>
      <c r="C36" s="9">
        <f>SUMIF(Backlog!$F$5:$F$195,$A36,Backlog!$J$5:$J$195)</f>
        <v/>
      </c>
      <c r="D36" s="31">
        <f>COUNTIFS(Backlog!$F$5:$F$195,$A36,Backlog!$E$5:$E$195,"Closed")</f>
        <v/>
      </c>
    </row>
    <row r="37">
      <c r="A37" s="15" t="inlineStr">
        <is>
          <t>P1</t>
        </is>
      </c>
      <c r="B37" s="31">
        <f>COUNTIF(Backlog!$F$5:$F$195,$A37)</f>
        <v/>
      </c>
      <c r="C37" s="9">
        <f>SUMIF(Backlog!$F$5:$F$195,$A37,Backlog!$J$5:$J$195)</f>
        <v/>
      </c>
      <c r="D37" s="31">
        <f>COUNTIFS(Backlog!$F$5:$F$195,$A37,Backlog!$E$5:$E$195,"Closed")</f>
        <v/>
      </c>
    </row>
    <row r="38">
      <c r="A38" s="21" t="inlineStr">
        <is>
          <t>P2</t>
        </is>
      </c>
      <c r="B38" s="31">
        <f>COUNTIF(Backlog!$F$5:$F$195,$A38)</f>
        <v/>
      </c>
      <c r="C38" s="9">
        <f>SUMIF(Backlog!$F$5:$F$195,$A38,Backlog!$J$5:$J$195)</f>
        <v/>
      </c>
      <c r="D38" s="31">
        <f>COUNTIFS(Backlog!$F$5:$F$195,$A38,Backlog!$E$5:$E$195,"Closed")</f>
        <v/>
      </c>
    </row>
    <row r="39">
      <c r="A39" s="32" t="inlineStr">
        <is>
          <t>P3</t>
        </is>
      </c>
      <c r="B39" s="31">
        <f>COUNTIF(Backlog!$F$5:$F$195,$A39)</f>
        <v/>
      </c>
      <c r="C39" s="9">
        <f>SUMIF(Backlog!$F$5:$F$195,$A39,Backlog!$J$5:$J$195)</f>
        <v/>
      </c>
      <c r="D39" s="31">
        <f>COUNTIFS(Backlog!$F$5:$F$195,$A39,Backlog!$E$5:$E$195,"Closed")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COUNTIF(Backlog!$H$5:$H$195,$A43)</f>
        <v/>
      </c>
      <c r="C43" s="9">
        <f>SUMIF(Backlog!$H$5:$H$195,$A43,Backlog!$J$5:$J$195)</f>
        <v/>
      </c>
      <c r="D43" s="31">
        <f>COUNTIFS(Backlog!$H$5:$H$195,$A43,Backlog!$E$5:$E$195,"Closed")</f>
        <v/>
      </c>
    </row>
    <row r="44">
      <c r="A44" s="34" t="inlineStr">
        <is>
          <t>Correctness-critical</t>
        </is>
      </c>
      <c r="B44" s="31">
        <f>COUNTIF(Backlog!$H$5:$H$195,$A44)</f>
        <v/>
      </c>
      <c r="C44" s="9">
        <f>SUMIF(Backlog!$H$5:$H$195,$A44,Backlog!$J$5:$J$195)</f>
        <v/>
      </c>
      <c r="D44" s="31">
        <f>COUNTIFS(Backlog!$H$5:$H$195,$A44,Backlog!$E$5:$E$195,"Closed")</f>
        <v/>
      </c>
    </row>
    <row r="45">
      <c r="A45" s="35" t="inlineStr">
        <is>
          <t>Low</t>
        </is>
      </c>
      <c r="B45" s="31">
        <f>COUNTIF(Backlog!$H$5:$H$195,$A45)</f>
        <v/>
      </c>
      <c r="C45" s="9">
        <f>SUMIF(Backlog!$H$5:$H$195,$A45,Backlog!$J$5:$J$195)</f>
        <v/>
      </c>
      <c r="D45" s="31">
        <f>COUNTIFS(Backlog!$H$5:$H$195,$A45,Backlog!$E$5:$E$195,"Closed")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COUNTIF(Backlog!$I$5:$I$195,$A49)</f>
        <v/>
      </c>
      <c r="C49" s="9">
        <f>SUMIF(Backlog!$I$5:$I$195,$A49,Backlog!$J$5:$J$195)</f>
        <v/>
      </c>
      <c r="D49" s="31">
        <f>COUNTIFS(Backlog!$I$5:$I$195,$A49,Backlog!$E$5:$E$195,"Closed")</f>
        <v/>
      </c>
    </row>
    <row r="50">
      <c r="A50" s="7" t="inlineStr">
        <is>
          <t>INFRA</t>
        </is>
      </c>
      <c r="B50" s="31">
        <f>COUNTIF(Backlog!$I$5:$I$195,$A50)</f>
        <v/>
      </c>
      <c r="C50" s="9">
        <f>SUMIF(Backlog!$I$5:$I$195,$A50,Backlog!$J$5:$J$195)</f>
        <v/>
      </c>
      <c r="D50" s="31">
        <f>COUNTIFS(Backlog!$I$5:$I$195,$A50,Backlog!$E$5:$E$195,"Closed")</f>
        <v/>
      </c>
    </row>
    <row r="51">
      <c r="A51" s="7" t="inlineStr">
        <is>
          <t>SEC</t>
        </is>
      </c>
      <c r="B51" s="31">
        <f>COUNTIF(Backlog!$I$5:$I$195,$A51)</f>
        <v/>
      </c>
      <c r="C51" s="9">
        <f>SUMIF(Backlog!$I$5:$I$195,$A51,Backlog!$J$5:$J$195)</f>
        <v/>
      </c>
      <c r="D51" s="31">
        <f>COUNTIFS(Backlog!$I$5:$I$195,$A51,Backlog!$E$5:$E$195,"Closed")</f>
        <v/>
      </c>
    </row>
    <row r="52">
      <c r="A52" s="7" t="inlineStr">
        <is>
          <t>TEST</t>
        </is>
      </c>
      <c r="B52" s="31">
        <f>COUNTIF(Backlog!$I$5:$I$195,$A52)</f>
        <v/>
      </c>
      <c r="C52" s="9">
        <f>SUMIF(Backlog!$I$5:$I$195,$A52,Backlog!$J$5:$J$195)</f>
        <v/>
      </c>
      <c r="D52" s="31">
        <f>COUNTIFS(Backlog!$I$5:$I$195,$A52,Backlog!$E$5:$E$195,"Closed")</f>
        <v/>
      </c>
    </row>
    <row r="53">
      <c r="A53" s="7" t="inlineStr">
        <is>
          <t>OPS</t>
        </is>
      </c>
      <c r="B53" s="31">
        <f>COUNTIF(Backlog!$I$5:$I$195,$A53)</f>
        <v/>
      </c>
      <c r="C53" s="9">
        <f>SUMIF(Backlog!$I$5:$I$195,$A53,Backlog!$J$5:$J$195)</f>
        <v/>
      </c>
      <c r="D53" s="31">
        <f>COUNTIFS(Backlog!$I$5:$I$195,$A53,Backlog!$E$5:$E$195,"Closed")</f>
        <v/>
      </c>
    </row>
    <row r="54">
      <c r="A54" s="7" t="inlineStr">
        <is>
          <t>DOC</t>
        </is>
      </c>
      <c r="B54" s="31">
        <f>COUNTIF(Backlog!$I$5:$I$195,$A54)</f>
        <v/>
      </c>
      <c r="C54" s="9">
        <f>SUMIF(Backlog!$I$5:$I$195,$A54,Backlog!$J$5:$J$195)</f>
        <v/>
      </c>
      <c r="D54" s="31">
        <f>COUNTIFS(Backlog!$I$5:$I$195,$A54,Backlog!$E$5:$E$195,"Closed")</f>
        <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W19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Active</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SPRINT 1 — Day 4 (needs E01-S01 complete).
warm_up_batch() is the story's real risk. It is the workhorse of BP-2, the pre-market warm-up that has to finish inside a 45-minute window. A per-symbol loop issuing ~150 queries will miss the deadline; one query using WHERE symbol_id = ANY(...) with a window function will not. Write it as the batch form from the start.
Acceptance is measurable and must be measured in the test, not asserted: bulk insert of 100k bars in under 10s, and grep -r 'import sqlalchemy' src/algotrader/{ingest,signals,execution,premarket} must return nothing — no ORM leakage past the repository boundary.</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Active</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PULLED BACK IN 7 Aug 2026 — status changed from 'Moved to Backlog' to Active.
PROCEDURE §8.3 REQUIRES re-evaluating the ORIGINAL DEFERRAL REASON, not just the status. The original reason was SPRINT CAPACITY: E01 was 8.5 days against a 5-day sprint, this is the only safety-critical story in the epic and carries the strictest DoD, and nothing in Sprint 2 depended on it.
THAT REASON HAS LAPSED. The direction is now to complete every E01 item, so the capacity constraint that justified deferral no longer applies. Per §8.3 a deferred item whose reason has lapsed becomes Active — and the lapse is recorded here so the record of WHY it was ever deferred is not lost.
It was never blocked: its only dependency is E01-S01, which is Closed.
The safety-critical (red) DoD STILL APPLIES IN FULL and is NOT relaxed by the reprioritisation: property-based test over generated event sequences, explicit tamper test, explicit DB-outage test, and not merged at the end of a session.</t>
        </is>
      </c>
      <c r="W19" s="49" t="n"/>
    </row>
    <row r="20" ht="30" customHeight="1" s="59">
      <c r="A20" s="38" t="inlineStr">
        <is>
          <t>E01-S06</t>
        </is>
      </c>
      <c r="B20" s="39" t="inlineStr">
        <is>
          <t>E01</t>
        </is>
      </c>
      <c r="C20" s="40" t="inlineStr">
        <is>
          <t>PERSISTENCE &amp; DATA LAYER</t>
        </is>
      </c>
      <c r="D20" s="40" t="inlineStr">
        <is>
          <t>Data retention and archival</t>
        </is>
      </c>
      <c r="E20" s="40" t="inlineStr">
        <is>
          <t>New</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NOT SPRINT 1 — and correctly so. This sits inside E01 but is P2 / Phase 6, so it was never Sprint 1 work despite Sprint 1 originally being scoped as 'all of E01'. Leaving it New rather than marking it deferred, because it was never scheduled.
Pull it in when tick archival is actually needed by the replay harness (E22-S03, Sprint 16). Provisionally placed there.</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New</t>
        </is>
      </c>
      <c r="F33" s="41" t="inlineStr">
        <is>
          <t>P0</t>
        </is>
      </c>
      <c r="G33" s="39" t="inlineStr">
        <is>
          <t>1</t>
        </is>
      </c>
      <c r="H33" s="51" t="inlineStr">
        <is>
          <t>Safety-critical</t>
        </is>
      </c>
      <c r="I33" s="39" t="inlineStr">
        <is>
          <t>FEAT</t>
        </is>
      </c>
      <c r="J33" s="43" t="n">
        <v>2</v>
      </c>
      <c r="K33" s="40" t="inlineStr">
        <is>
          <t>E03-S01</t>
        </is>
      </c>
      <c r="L33" s="40" t="n"/>
      <c r="M33" s="44" t="n"/>
      <c r="N33" s="45" t="n"/>
      <c r="O33" s="46" t="n"/>
      <c r="P33" s="46" t="n"/>
      <c r="Q33" s="47" t="n"/>
      <c r="R33" s="39" t="n">
        <v>5</v>
      </c>
      <c r="S33" s="48" t="inlineStr">
        <is>
          <t>As an analyst, I want historical prices adjusted for splits and bonuses, so that moving averages do not show phantom breakouts.</t>
        </is>
      </c>
      <c r="T33" s="48" t="inlineStr">
        <is>
          <t>1. Fetch corporate action data
2. Apply split/bonus adjustment factors to historical series
3. Mark `is_adjusted` on affected rows
4. Re-adjustment when a new action is announced
5. Verify against a known historical split</t>
        </is>
      </c>
      <c r="U33" s="48" t="inlineStr">
        <is>
          <t>• A known 1:5 split produces a continuous price series across the event
• 🔴 Unadjusted data can never reach the indicator engine</t>
        </is>
      </c>
      <c r="V33" s="48" t="n"/>
      <c r="W33" s="49" t="n"/>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sheetData>
  <autoFilter ref="A4:W195"/>
  <conditionalFormatting sqref="A5:D195">
    <cfRule type="expression" priority="16" dxfId="42">
      <formula>OR($E5="Removed",$E5="Closed")</formula>
    </cfRule>
  </conditionalFormatting>
  <conditionalFormatting sqref="E5:E195">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5"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5"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2026-08-07T07:29:52Z</dcterms:modified>
  <cp:lastModifiedBy>Gopikrishnan Sreekumar</cp:lastModifiedBy>
  <cp:revision>0</cp:revision>
</cp:coreProperties>
</file>