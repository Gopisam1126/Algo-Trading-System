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rpsystems-my.sharepoint.com/personal/gsreekumar_merpsystems_com/Documents/AI Algo Trading/Documents/"/>
    </mc:Choice>
  </mc:AlternateContent>
  <xr:revisionPtr revIDLastSave="0" documentId="8_{BF7F6224-0486-45B1-A689-9B46D88B7AE3}" xr6:coauthVersionLast="47" xr6:coauthVersionMax="47" xr10:uidLastSave="{00000000-0000-0000-0000-000000000000}"/>
  <bookViews>
    <workbookView xWindow="-108" yWindow="-108" windowWidth="23256" windowHeight="14616" tabRatio="500" activeTab="2" xr2:uid="{00000000-000D-0000-FFFF-FFFF00000000}"/>
  </bookViews>
  <sheets>
    <sheet name="Dashboard" sheetId="1" r:id="rId1"/>
    <sheet name="Backlog" sheetId="2" r:id="rId2"/>
    <sheet name="Blockers" sheetId="3" r:id="rId3"/>
    <sheet name="Sprint Plan" sheetId="4" r:id="rId4"/>
    <sheet name="Reference" sheetId="5" r:id="rId5"/>
  </sheets>
  <definedNames>
    <definedName name="_xlnm._FilterDatabase" localSheetId="1" hidden="1">Backlog!$A$4:$W$193</definedName>
    <definedName name="_xlnm._FilterDatabase" localSheetId="2" hidden="1">Blockers!$A$4:$H$10</definedName>
    <definedName name="_xlnm._FilterDatabase" localSheetId="3" hidden="1">'Sprint Plan'!$A$4:$G$23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4" i="1" l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5" i="1"/>
  <c r="C45" i="1"/>
  <c r="B45" i="1"/>
  <c r="D44" i="1"/>
  <c r="C44" i="1"/>
  <c r="B44" i="1"/>
  <c r="D43" i="1"/>
  <c r="C43" i="1"/>
  <c r="B43" i="1"/>
  <c r="D39" i="1"/>
  <c r="C39" i="1"/>
  <c r="B39" i="1"/>
  <c r="D38" i="1"/>
  <c r="C38" i="1"/>
  <c r="B38" i="1"/>
  <c r="D37" i="1"/>
  <c r="C37" i="1"/>
  <c r="B37" i="1"/>
  <c r="D36" i="1"/>
  <c r="C36" i="1"/>
  <c r="B36" i="1"/>
  <c r="D31" i="1"/>
  <c r="B31" i="1"/>
  <c r="C31" i="1" s="1"/>
  <c r="D30" i="1"/>
  <c r="B30" i="1"/>
  <c r="C30" i="1" s="1"/>
  <c r="K29" i="1"/>
  <c r="L29" i="1" s="1"/>
  <c r="J29" i="1"/>
  <c r="I29" i="1"/>
  <c r="D29" i="1"/>
  <c r="B29" i="1"/>
  <c r="C29" i="1" s="1"/>
  <c r="K28" i="1"/>
  <c r="L28" i="1" s="1"/>
  <c r="J28" i="1"/>
  <c r="I28" i="1"/>
  <c r="D28" i="1"/>
  <c r="B28" i="1"/>
  <c r="C28" i="1" s="1"/>
  <c r="K27" i="1"/>
  <c r="L27" i="1" s="1"/>
  <c r="J27" i="1"/>
  <c r="I27" i="1"/>
  <c r="D27" i="1"/>
  <c r="B27" i="1"/>
  <c r="C27" i="1" s="1"/>
  <c r="K26" i="1"/>
  <c r="L26" i="1" s="1"/>
  <c r="J26" i="1"/>
  <c r="I26" i="1"/>
  <c r="D26" i="1"/>
  <c r="B26" i="1"/>
  <c r="C26" i="1" s="1"/>
  <c r="K25" i="1"/>
  <c r="L25" i="1" s="1"/>
  <c r="J25" i="1"/>
  <c r="I25" i="1"/>
  <c r="D25" i="1"/>
  <c r="B25" i="1"/>
  <c r="C25" i="1" s="1"/>
  <c r="L24" i="1"/>
  <c r="K24" i="1"/>
  <c r="J24" i="1"/>
  <c r="I24" i="1"/>
  <c r="D24" i="1"/>
  <c r="B24" i="1"/>
  <c r="C24" i="1" s="1"/>
  <c r="L23" i="1"/>
  <c r="K23" i="1"/>
  <c r="J23" i="1"/>
  <c r="I23" i="1"/>
  <c r="D23" i="1"/>
  <c r="C23" i="1"/>
  <c r="B23" i="1"/>
  <c r="L22" i="1"/>
  <c r="K22" i="1"/>
  <c r="J22" i="1"/>
  <c r="I22" i="1"/>
  <c r="D22" i="1"/>
  <c r="C22" i="1"/>
  <c r="B22" i="1"/>
  <c r="K21" i="1"/>
  <c r="J21" i="1"/>
  <c r="I21" i="1"/>
  <c r="L21" i="1" s="1"/>
  <c r="D21" i="1"/>
  <c r="C21" i="1"/>
  <c r="B21" i="1"/>
  <c r="K20" i="1"/>
  <c r="J20" i="1"/>
  <c r="I20" i="1"/>
  <c r="L20" i="1" s="1"/>
  <c r="D20" i="1"/>
  <c r="C20" i="1"/>
  <c r="B20" i="1"/>
  <c r="L19" i="1"/>
  <c r="K19" i="1"/>
  <c r="J19" i="1"/>
  <c r="I19" i="1"/>
  <c r="D19" i="1"/>
  <c r="C19" i="1"/>
  <c r="B19" i="1"/>
  <c r="K18" i="1"/>
  <c r="L18" i="1" s="1"/>
  <c r="J18" i="1"/>
  <c r="I18" i="1"/>
  <c r="D18" i="1"/>
  <c r="D32" i="1" s="1"/>
  <c r="C18" i="1"/>
  <c r="B18" i="1"/>
  <c r="B32" i="1" s="1"/>
  <c r="K17" i="1"/>
  <c r="L17" i="1" s="1"/>
  <c r="J17" i="1"/>
  <c r="I17" i="1"/>
  <c r="K16" i="1"/>
  <c r="L16" i="1" s="1"/>
  <c r="J16" i="1"/>
  <c r="I16" i="1"/>
  <c r="K15" i="1"/>
  <c r="J15" i="1"/>
  <c r="I15" i="1"/>
  <c r="L15" i="1" s="1"/>
  <c r="K14" i="1"/>
  <c r="L14" i="1" s="1"/>
  <c r="J14" i="1"/>
  <c r="I14" i="1"/>
  <c r="B14" i="1"/>
  <c r="K13" i="1"/>
  <c r="L13" i="1" s="1"/>
  <c r="J13" i="1"/>
  <c r="I13" i="1"/>
  <c r="B13" i="1"/>
  <c r="K12" i="1"/>
  <c r="L12" i="1" s="1"/>
  <c r="J12" i="1"/>
  <c r="I12" i="1"/>
  <c r="B12" i="1"/>
  <c r="K11" i="1"/>
  <c r="J11" i="1"/>
  <c r="I11" i="1"/>
  <c r="L11" i="1" s="1"/>
  <c r="B11" i="1"/>
  <c r="K10" i="1"/>
  <c r="J10" i="1"/>
  <c r="I10" i="1"/>
  <c r="L10" i="1" s="1"/>
  <c r="B10" i="1"/>
  <c r="K9" i="1"/>
  <c r="L9" i="1" s="1"/>
  <c r="J9" i="1"/>
  <c r="I9" i="1"/>
  <c r="B9" i="1"/>
  <c r="K8" i="1"/>
  <c r="L8" i="1" s="1"/>
  <c r="J8" i="1"/>
  <c r="I8" i="1"/>
  <c r="B8" i="1"/>
  <c r="K7" i="1"/>
  <c r="J7" i="1"/>
  <c r="I7" i="1"/>
  <c r="L7" i="1" s="1"/>
  <c r="B7" i="1"/>
  <c r="K6" i="1"/>
  <c r="L6" i="1" s="1"/>
  <c r="J6" i="1"/>
  <c r="J30" i="1" s="1"/>
  <c r="I6" i="1"/>
  <c r="I30" i="1" s="1"/>
  <c r="B6" i="1"/>
  <c r="C32" i="1" l="1"/>
  <c r="K30" i="1"/>
  <c r="L30" i="1" s="1"/>
</calcChain>
</file>

<file path=xl/sharedStrings.xml><?xml version="1.0" encoding="utf-8"?>
<sst xmlns="http://schemas.openxmlformats.org/spreadsheetml/2006/main" count="2540" uniqueCount="993">
  <si>
    <t>BACKLOG DASHBOARD</t>
  </si>
  <si>
    <t>Every figure below is a live formula over the Backlog sheet — change a Status there and this updates.</t>
  </si>
  <si>
    <t>OVERALL</t>
  </si>
  <si>
    <t>BY EPIC</t>
  </si>
  <si>
    <t>Metric</t>
  </si>
  <si>
    <t>Value</t>
  </si>
  <si>
    <t>Epic</t>
  </si>
  <si>
    <t>Name</t>
  </si>
  <si>
    <t>Phase</t>
  </si>
  <si>
    <t>Stories</t>
  </si>
  <si>
    <t>Est. days</t>
  </si>
  <si>
    <t>Closed</t>
  </si>
  <si>
    <t>% Done</t>
  </si>
  <si>
    <t>Total stories</t>
  </si>
  <si>
    <t>E00</t>
  </si>
  <si>
    <t>FOUNDATION</t>
  </si>
  <si>
    <t>0</t>
  </si>
  <si>
    <t>Total estimated days</t>
  </si>
  <si>
    <t>E01</t>
  </si>
  <si>
    <t>PERSISTENCE &amp; DATA LAYER</t>
  </si>
  <si>
    <t>1</t>
  </si>
  <si>
    <t>E02</t>
  </si>
  <si>
    <t>BROKER INTEGRATION</t>
  </si>
  <si>
    <t>In flight (Active→QA)</t>
  </si>
  <si>
    <t>E03</t>
  </si>
  <si>
    <t>HISTORICAL DATA</t>
  </si>
  <si>
    <t>Not started (New)</t>
  </si>
  <si>
    <t>E04</t>
  </si>
  <si>
    <t>INDIA HAZARD LISTS</t>
  </si>
  <si>
    <t>Blocked / On Hold</t>
  </si>
  <si>
    <t>E05</t>
  </si>
  <si>
    <t>MARKET DATA INGESTION</t>
  </si>
  <si>
    <t>% Complete</t>
  </si>
  <si>
    <t>E06</t>
  </si>
  <si>
    <t>TECHNICAL ANALYSIS ENGINE</t>
  </si>
  <si>
    <t>2</t>
  </si>
  <si>
    <t>Days closed</t>
  </si>
  <si>
    <t>E07</t>
  </si>
  <si>
    <t>UNIVERSE &amp; SCORING</t>
  </si>
  <si>
    <t>Days remaining</t>
  </si>
  <si>
    <t>E08</t>
  </si>
  <si>
    <t>NEWS INTELLIGENCE</t>
  </si>
  <si>
    <t>3</t>
  </si>
  <si>
    <t>E09</t>
  </si>
  <si>
    <t>MACRO CONTEXT</t>
  </si>
  <si>
    <t>BY STATUS</t>
  </si>
  <si>
    <t>E10</t>
  </si>
  <si>
    <t>AI LAYER</t>
  </si>
  <si>
    <t>Status</t>
  </si>
  <si>
    <t>% of total</t>
  </si>
  <si>
    <t>E11</t>
  </si>
  <si>
    <t>PRE-MARKET ENGINE</t>
  </si>
  <si>
    <t>New</t>
  </si>
  <si>
    <t>E12</t>
  </si>
  <si>
    <t>STRATEGY ENGINE</t>
  </si>
  <si>
    <t>5</t>
  </si>
  <si>
    <t>Business Review</t>
  </si>
  <si>
    <t>E13</t>
  </si>
  <si>
    <t>SIGNAL ENGINE</t>
  </si>
  <si>
    <t>4</t>
  </si>
  <si>
    <t>Business Approved</t>
  </si>
  <si>
    <t>E14</t>
  </si>
  <si>
    <t>RISK ENGINE</t>
  </si>
  <si>
    <t>Active</t>
  </si>
  <si>
    <t>E15</t>
  </si>
  <si>
    <t>EXECUTION &amp; POSITIONS</t>
  </si>
  <si>
    <t>Development In-Progress</t>
  </si>
  <si>
    <t>E16</t>
  </si>
  <si>
    <t>AUTONOMY &amp; APPROVAL</t>
  </si>
  <si>
    <t>Development Completed</t>
  </si>
  <si>
    <t>E17</t>
  </si>
  <si>
    <t>DASHBOARD UI</t>
  </si>
  <si>
    <t>4/6</t>
  </si>
  <si>
    <t>QA In-Progress</t>
  </si>
  <si>
    <t>E18</t>
  </si>
  <si>
    <t>ADMIN UI</t>
  </si>
  <si>
    <t>6</t>
  </si>
  <si>
    <t>QA-Success</t>
  </si>
  <si>
    <t>E19</t>
  </si>
  <si>
    <t>NOTIFICATIONS</t>
  </si>
  <si>
    <t>3/4</t>
  </si>
  <si>
    <t>QA-Fail</t>
  </si>
  <si>
    <t>E20</t>
  </si>
  <si>
    <t>OBSERVABILITY</t>
  </si>
  <si>
    <t>E21</t>
  </si>
  <si>
    <t>COMPLIANCE &amp; TAX</t>
  </si>
  <si>
    <t>Removed</t>
  </si>
  <si>
    <t>E22</t>
  </si>
  <si>
    <t>TESTING &amp; VALIDATION</t>
  </si>
  <si>
    <t>7</t>
  </si>
  <si>
    <t>Moved to Backlog</t>
  </si>
  <si>
    <t>E23</t>
  </si>
  <si>
    <t>DEPLOYMENT &amp; OPS</t>
  </si>
  <si>
    <t>7/8</t>
  </si>
  <si>
    <t>Blocked</t>
  </si>
  <si>
    <t>TOTAL</t>
  </si>
  <si>
    <t>On Hold</t>
  </si>
  <si>
    <t>BY PRIORITY</t>
  </si>
  <si>
    <t>Priority</t>
  </si>
  <si>
    <t>P0</t>
  </si>
  <si>
    <t>P1</t>
  </si>
  <si>
    <t>P2</t>
  </si>
  <si>
    <t>P3</t>
  </si>
  <si>
    <t>BY RISK</t>
  </si>
  <si>
    <t>Risk</t>
  </si>
  <si>
    <t>Safety-critical</t>
  </si>
  <si>
    <t>Correctness-critical</t>
  </si>
  <si>
    <t>Low</t>
  </si>
  <si>
    <t>BY TYPE</t>
  </si>
  <si>
    <t>Type</t>
  </si>
  <si>
    <t>FEAT</t>
  </si>
  <si>
    <t>INFRA</t>
  </si>
  <si>
    <t>SEC</t>
  </si>
  <si>
    <t>TEST</t>
  </si>
  <si>
    <t>OPS</t>
  </si>
  <si>
    <t>DOC</t>
  </si>
  <si>
    <t>DEVELOPMENT BACKLOG — User Stories &amp; Tasks</t>
  </si>
  <si>
    <t>Source: BACKLOG.md · 189 stories across 24 epics · Set Status from the dropdown in column E. Yellow-tinted columns (M–Q, W) are yours to fill in. Tasks/Acceptance are wrapped — widen a row or click a cell to read the full text.</t>
  </si>
  <si>
    <t>Story ID</t>
  </si>
  <si>
    <t>Epic Name</t>
  </si>
  <si>
    <t>Story Title</t>
  </si>
  <si>
    <t>Est. Days</t>
  </si>
  <si>
    <t>Dependencies</t>
  </si>
  <si>
    <t>Blocked By</t>
  </si>
  <si>
    <t>Owner</t>
  </si>
  <si>
    <t>Sprint</t>
  </si>
  <si>
    <t>Start Date</t>
  </si>
  <si>
    <t>Target Date</t>
  </si>
  <si>
    <t>Task Count</t>
  </si>
  <si>
    <t>User Story</t>
  </si>
  <si>
    <t>Tasks</t>
  </si>
  <si>
    <t>Acceptance Criteria</t>
  </si>
  <si>
    <t>Notes</t>
  </si>
  <si>
    <t>Comments</t>
  </si>
  <si>
    <t>E00-S01</t>
  </si>
  <si>
    <t>Project scaffold, packaging, tooling</t>
  </si>
  <si>
    <t>E00-S02</t>
  </si>
  <si>
    <t>Domain models with Decimal money and tz-aware UTC</t>
  </si>
  <si>
    <t>E00-S03</t>
  </si>
  <si>
    <t>Config validation with hard bounds in code</t>
  </si>
  <si>
    <t>E00-S04</t>
  </si>
  <si>
    <t>Secrets handling that cannot render</t>
  </si>
  <si>
    <t>E00-S05</t>
  </si>
  <si>
    <t>Structured logging with mandatory redaction</t>
  </si>
  <si>
    <t>E00-S06</t>
  </si>
  <si>
    <t>NSE calendar with per-stock square-off</t>
  </si>
  <si>
    <t>E00-S07</t>
  </si>
  <si>
    <t>Broker protocol, read-only vs trading split</t>
  </si>
  <si>
    <t>E00-S08</t>
  </si>
  <si>
    <t>Strategy DSL with vetted primitive registry</t>
  </si>
  <si>
    <t>E00-S09</t>
  </si>
  <si>
    <t>Docker topology with network segmentation</t>
  </si>
  <si>
    <t>written, not run</t>
  </si>
  <si>
    <t>E00-S10</t>
  </si>
  <si>
    <t>Pre-flight doctor script</t>
  </si>
  <si>
    <t>E01-S01</t>
  </si>
  <si>
    <t>Database schema and migrations</t>
  </si>
  <si>
    <t>none</t>
  </si>
  <si>
    <t>As a developer, I want the full database schema defined as versioned migrations, so that schema changes are reviewable and reversible rather than applied by hand.</t>
  </si>
  <si>
    <t>1. Set up Alembic with async SQLAlchemy 2.0
2. SQLAlchemy models mirroring LOW_LEVEL_ARCHITECTURE §4.2
3. Migration: instruments, instrument_daily_status
4. Migration: ohlcv as a TimescaleDB hypertable
5. Migration: orders, positions, decision_log, trade_journal
6. Migration: daily_plan, plan_candidate
7. Migration: strategy, strategy_validation, strategy_trial, strategy_performance, shadow_signal
8. Compression policy on ohlcv (&gt;90 days)
9. `make migrate` target</t>
  </si>
  <si>
    <t>• `alembic upgrade head` then `downgrade base` runs clean on an empty DB
• Hypertables confirmed via `SELECT * FROM timescaledb_information.hypertables`
• `decision_log` and `strategy_trial` roles have INSERT but not UPDATE/DELETE</t>
  </si>
  <si>
    <t>E01-S02</t>
  </si>
  <si>
    <t>Repository layer</t>
  </si>
  <si>
    <t>As a developer, I want data access behind repository interfaces, so that services never write raw SQL and can be tested against fakes.</t>
  </si>
  <si>
    <t>1. `Repository` protocol per aggregate (instruments, bars, orders, positions, plan, strategy)
2. Async session management with proper transaction boundaries
3. Bulk insert path for OHLCV (batched, not row-by-row)
4. Connection pooling configured
5. In-memory fakes for unit tests</t>
  </si>
  <si>
    <t>• No service module imports `sqlalchemy` directly
• Bulk insert of 100k bars completes in &lt; 10s</t>
  </si>
  <si>
    <t>E01-S03</t>
  </si>
  <si>
    <t>Redis client and keyspace helpers</t>
  </si>
  <si>
    <t>As a developer, I want typed helpers for the Redis keyspace, so that key naming cannot drift between services.</t>
  </si>
  <si>
    <t>1. Async Redis client with connection pooling and retry
2. Key builders for every pattern in LOW_LEVEL_ARCHITECTURE §4.3
3. Typed get/set for state hashes (Pydantic in, Pydantic out)
4. Distributed lock helper with mandatory TTL
5. Token bucket rate limiter
6. Sorted-set timer helper</t>
  </si>
  <si>
    <t>• Every key in the design doc has a builder function
• A lock without a TTL is impossible to create (TTL is a required arg)</t>
  </si>
  <si>
    <t>E01-S04</t>
  </si>
  <si>
    <t>Event stream abstraction</t>
  </si>
  <si>
    <t>As a developer, I want a typed wrapper over Redis Streams with consumer groups, so that no event is lost when a consumer restarts.</t>
  </si>
  <si>
    <t>1. `EventStream` publish/subscribe with Pydantic envelopes
2. Consumer group creation and management
3. Explicit acknowledgement
4. Pending-entry recovery on restart
5. Dead-letter handling after N failures
6. `schema_version` on every envelope</t>
  </si>
  <si>
    <t>• Kill a consumer mid-stream; on restart it processes the unacked backlog
• Messages published while a consumer is down are delivered on return</t>
  </si>
  <si>
    <t>E01-S05</t>
  </si>
  <si>
    <t>Audit log writer with hash chaining</t>
  </si>
  <si>
    <t>As an operator, I want every decision written to an append-only hash-chained log, so that tampering is detectable and I can substantiate any trade.</t>
  </si>
  <si>
    <t>1. `AuditWriter` — append-only, never updates
2. Hash chain: each row includes the previous row's hash
3. `correlation_id` on every entry
4. Chain verification utility
5. Buffer to disk if the DB is unavailable, replay on recovery</t>
  </si>
  <si>
    <t>• Modifying a historical row is detected by the verifier
• DB outage does not lose audit entries</t>
  </si>
  <si>
    <t>E01-S06</t>
  </si>
  <si>
    <t>Data retention and archival</t>
  </si>
  <si>
    <t>As an operator, I want old tick data archived to Parquet, so that the database stays small without losing replay capability.</t>
  </si>
  <si>
    <t>1. Nightly job: ticks older than 24h → Parquet
2. Compression policy verification
3. Restore-from-archive utility</t>
  </si>
  <si>
    <t>E02-S01</t>
  </si>
  <si>
    <t>Kite Connect authentication — redirect flow</t>
  </si>
  <si>
    <t>As a trader, I want the daily Zerodha login to complete through a link I tap on my phone, so that the system has a valid session before pre-open without me sitting at a laptop.</t>
  </si>
  <si>
    <t>1. Generate the Kite login URL with `api_key`
2. Local callback endpoint receiving `request_token`
3. Exchange `request_token` + `api_secret` → `access_token`
4. Store token as `SecretString` in Redis with TTL to next pre-open
5. Send the login link via Telegram at the configured time
6. Confirm success back to Telegram
7. Alert loudly on failure — this blocks the trading day</t>
  </si>
  <si>
    <t>• Full flow completes from a phone in under 60 seconds
• Token never appears in any log
• Expired token is detected before the pre-market job starts</t>
  </si>
  <si>
    <t>E02-S02</t>
  </si>
  <si>
    <t>Session lifecycle and daily re-auth scheduling</t>
  </si>
  <si>
    <t>As a compliance-conscious operator, I want sessions to expire and re-establish daily, so that the SEBI auto-logout requirement is met by design.</t>
  </si>
  <si>
    <t>1. Scheduled trigger at `broker.auth.daily_reauth_time`
2. Session validity check before every trading-day transition
3. Retry with backoff ×3, then halt the day
4. `auth.refreshed` / `auth.failed` events
5. Health gate integration — no valid session means no trading</t>
  </si>
  <si>
    <t>• 20 consecutive sessions authenticate successfully
• A failed auth prevents the session reaching `TRADING`</t>
  </si>
  <si>
    <t>E02-S03</t>
  </si>
  <si>
    <t>Read-only market data adapter</t>
  </si>
  <si>
    <t>As a developer, I want a read-only Kite adapter, so that data services physically cannot place orders.</t>
  </si>
  <si>
    <t>1. Implement `MarketDataAdapter` for Kite
2. `fetch_instruments`, `fetch_historical`, quote endpoints
3. Apply `ReadOnlyGuard` so trading methods raise
4. Map Kite errors to the adapter's error taxonomy</t>
  </si>
  <si>
    <t>• Calling `place_order` on this adapter raises `PermissionError`
• Data endpoints work from a non-whitelisted IP (verifying the order-only scope)</t>
  </si>
  <si>
    <t>E02-S04</t>
  </si>
  <si>
    <t>Trading adapter with market protection</t>
  </si>
  <si>
    <t>E02-S03, E14-S01</t>
  </si>
  <si>
    <t>As a trader, I want orders placed correctly with market protection attached, so that MARKET and SL-M orders are not rejected by the broker.</t>
  </si>
  <si>
    <t>1. Implement `TradingAdapter` for Kite
2. Attach `market_protection` on MARKET/SL-M
3. Attach Algo-ID per the confirmed mechanic (blocked on B1)
4. `place_order`, `modify_order`, `cancel_order`
5. `fetch_orderbook`, `fetch_positions`, `find_by_client_order_id`
6. Map broker errors → `OrderRejectedError` / `AmbiguousOrderError` / `RateLimitError`
7. Verify installed SDK exposes `market_protection`, fail startup if not</t>
  </si>
  <si>
    <t>• A MARKET order without protection is impossible to construct
• A timeout raises `AmbiguousOrderError`, never a silent retry</t>
  </si>
  <si>
    <t>E02-S05</t>
  </si>
  <si>
    <t>Order rate limiting</t>
  </si>
  <si>
    <t>E01-S03, E02-S04</t>
  </si>
  <si>
    <t>As a compliance-conscious operator, I want the order rate capped in the adapter, so that no caller can breach the limit regardless of its behaviour.</t>
  </si>
  <si>
    <t>1. Redis token bucket wrapping `place_order`
2. Separate bucket for data endpoints
3. Backpressure: queue with depth limit
4. Reject new signals rather than delay orders unboundedly
5. `orders_rate_limited_total` metric</t>
  </si>
  <si>
    <t>• A deliberate flood of 100 orders/sec results in ≤ 3/sec reaching the broker
• Queue depth beyond threshold rejects rather than buffers</t>
  </si>
  <si>
    <t>E02-S06</t>
  </si>
  <si>
    <t>Instrument master synchronisation</t>
  </si>
  <si>
    <t>E01-S02, E02-S03</t>
  </si>
  <si>
    <t>As a system, I need the current instrument master, so that symbols map to broker tokens, lot sizes and tick sizes correctly.</t>
  </si>
  <si>
    <t>1. Daily fetch of the instrument dump
2. Upsert into `instruments`
3. Detect and log symbol changes, delistings, new listings
4. Tick-size rounding helper verified against real instruments</t>
  </si>
  <si>
    <t>• A limit price is always snapped to a valid tick before submission</t>
  </si>
  <si>
    <t>E02-S07</t>
  </si>
  <si>
    <t>Live margin retrieval</t>
  </si>
  <si>
    <t>As a risk engine, I need real available margin from the broker, so that sizing never assumes leverage that SEBI peak-margin rules do not permit.</t>
  </si>
  <si>
    <t>1. `fetch_margins` returning `MarginSnapshot`
2. Cache with a short TTL (margin moves during the session)
3. Staleness guard — reject sizing on stale margin data</t>
  </si>
  <si>
    <t>• Sizing uses live margin, never a computed leverage multiple</t>
  </si>
  <si>
    <t>E02-S08</t>
  </si>
  <si>
    <t>Fallback broker adapter (Fyers)</t>
  </si>
  <si>
    <t>As an operator, I want a second data source, so that a Zerodha WebSocket outage at the open does not blind the system.</t>
  </si>
  <si>
    <t>1. Fyers auth and read-only adapter
2. Failover logic on primary feed staleness
3. Cross-source price divergence detection</t>
  </si>
  <si>
    <t>E02-S09</t>
  </si>
  <si>
    <t>Broker error taxonomy handling</t>
  </si>
  <si>
    <t>As a system, I want every broker failure classified correctly, so that an ambiguous outcome never results in a duplicate order.</t>
  </si>
  <si>
    <t>1. Map every Kite error code to the taxonomy
2. `AmbiguousOrderError` → query-by-`client_order_id` recovery path
3. Never retry on `OrderRejectedError`
4. Exponential backoff on `RateLimitError`
5. Log every unmapped error code loudly for triage</t>
  </si>
  <si>
    <t>• Simulated timeout + reconnect produces exactly one position (chaos test)</t>
  </si>
  <si>
    <t>E03-S01</t>
  </si>
  <si>
    <t>NSE bhavcopy fetcher and archiver</t>
  </si>
  <si>
    <t>As a system, I need daily EOD data stored locally, so that pre-market analysis does not depend on a rate-limited API every morning.</t>
  </si>
  <si>
    <t>1. Download bhavcopy for a given date
2. Parse and normalise to the `Bar` model
3. Idempotent upsert (re-running a date is safe)
4. Backfill utility for a date range
5. Handle holidays and missing files gracefully
6. Schedule at 05:30</t>
  </si>
  <si>
    <t>• Backfilling 2 years completes and is re-runnable without duplicates</t>
  </si>
  <si>
    <t>E03-S02</t>
  </si>
  <si>
    <t>Corporate action adjustment</t>
  </si>
  <si>
    <t>As an analyst, I want historical prices adjusted for splits and bonuses, so that moving averages do not show phantom breakouts.</t>
  </si>
  <si>
    <t>1. Fetch corporate action data
2. Apply split/bonus adjustment factors to historical series
3. Mark `is_adjusted` on affected rows
4. Re-adjustment when a new action is announced
5. Verify against a known historical split</t>
  </si>
  <si>
    <t>• A known 1:5 split produces a continuous price series across the event
• 🔴 Unadjusted data can never reach the indicator engine</t>
  </si>
  <si>
    <t>E03-S03</t>
  </si>
  <si>
    <t>Intraday history backfill</t>
  </si>
  <si>
    <t>As a backtester, I need minute-level history, so that strategies can be validated on realistic intraday data.</t>
  </si>
  <si>
    <t>1. Paged historical fetch respecting rate limits
2. Backfill orchestration across the universe
3. Resume from interruption
4. Progress reporting (this takes hours)</t>
  </si>
  <si>
    <t>E03-S04</t>
  </si>
  <si>
    <t>Data quality validation</t>
  </si>
  <si>
    <t>As a developer, I want stored data validated, so that silent corruption is caught before it reaches analysis.</t>
  </si>
  <si>
    <t>1. Gap detection (missing sessions, missing bars within a session)
2. OHLC coherence check across the whole store
3. Volume sanity (zero-volume bars flagged)
4. Price continuity (unexplained jumps beyond circuit limits)
5. Report generated after every sync</t>
  </si>
  <si>
    <t>• A deliberately corrupted row is reported by the next validation run</t>
  </si>
  <si>
    <t>E03-S05</t>
  </si>
  <si>
    <t>Multi-timeframe aggregation from stored data</t>
  </si>
  <si>
    <t>As the pre-market job, I need higher timeframes derived from daily data, so that weekly and monthly analysis is available without separate downloads.</t>
  </si>
  <si>
    <t>1. Aggregate daily → weekly with correct session boundaries
2. Handle partial weeks at period edges
3. Verify aggregation against broker-supplied weekly bars</t>
  </si>
  <si>
    <t>E03-S06</t>
  </si>
  <si>
    <t>Tick archival to Parquet</t>
  </si>
  <si>
    <t>E05-S01</t>
  </si>
  <si>
    <t>As a developer, I want raw ticks archived, so that the replay harness can reproduce a session exactly.</t>
  </si>
  <si>
    <t>E04-S01</t>
  </si>
  <si>
    <t>ASM/GSM surveillance list fetcher</t>
  </si>
  <si>
    <t>As a risk-aware trader, I want surveillance-listed stocks excluded, so that I never trade a name carrying 100% margin or reduced circuit bands.</t>
  </si>
  <si>
    <t>1. Fetch ASM (short-term and long-term) lists
2. Fetch GSM list with stage
3. Upsert into `instrument_daily_status`
4. Alert on newly-added names currently held
5. Handle source-format changes without silent failure</t>
  </si>
  <si>
    <t>• A stock added to ASM overnight is excluded from today's universe
• 🔴 A fetch failure blocks the trading day rather than proceeding blind</t>
  </si>
  <si>
    <t>E04-S02</t>
  </si>
  <si>
    <t>T2T (Trade-to-Trade) list</t>
  </si>
  <si>
    <t>As a trader, I want T2T stocks excluded absolutely, so that I never place an intraday order that becomes an unintended delivery obligation.</t>
  </si>
  <si>
    <t>1. Fetch the T2T segment list
2. Mark `is_t2t` in daily status
3. Hard filter — not configurable (config validation already enforces this)</t>
  </si>
  <si>
    <t>• 🔴 No T2T symbol can reach the watchlist under any configuration</t>
  </si>
  <si>
    <t>E04-S03</t>
  </si>
  <si>
    <t>F&amp;O ban list</t>
  </si>
  <si>
    <t>As a trader, I want ban-period stocks flagged, so that I avoid a penalty of 1% of position value (min ₹5,000, max ₹1,00,000).</t>
  </si>
  <si>
    <t>1. Fetch the daily ban list
2. Mark `is_fno_ban`
3. Exclude from F&amp;O trading; flag (not exclude) for equity</t>
  </si>
  <si>
    <t>E04-S04</t>
  </si>
  <si>
    <t>Circuit bands and price limits</t>
  </si>
  <si>
    <t>As a trader, I want per-stock circuit bands known, so that narrow-band stocks are excluded and orders never target an unreachable price.</t>
  </si>
  <si>
    <t>1. Fetch band percentages per symbol
2. Compute upper/lower circuit prices from previous close
3. Filter by `min_circuit_band_pct`
4. Reject orders outside band at validation time</t>
  </si>
  <si>
    <t>E04-S05</t>
  </si>
  <si>
    <t>CAS classification</t>
  </si>
  <si>
    <t>As a position manager, I need to know which stocks are in CAS scope, so that each position uses the correct square-off deadline.</t>
  </si>
  <si>
    <t>1. Determine CAS-scope (Category I / F&amp;O) symbols
2. Mark `is_cas_stock`
3. Wire into `MarketCalendar.squareoff_deadline`
4. Alert on classification changes</t>
  </si>
  <si>
    <t>• 🔴 A CAS stock's deadline is 15:10, a non-CAS stock's is 15:20, per position</t>
  </si>
  <si>
    <t>E04-S06</t>
  </si>
  <si>
    <t>Earnings and corporate action calendar</t>
  </si>
  <si>
    <t>As a trader, I want earnings-day stocks excluded, so that a technical thesis is not invalidated by a binary event.</t>
  </si>
  <si>
    <t>1. Fetch results calendar
2. Fetch dividend/split/bonus announcements
3. Mark `has_earnings_today`
4. Configurable exclusion window (before/after)</t>
  </si>
  <si>
    <t>E04-S07</t>
  </si>
  <si>
    <t>NSE holiday calendar — complete it</t>
  </si>
  <si>
    <t>none · **carried debt**</t>
  </si>
  <si>
    <t>As a system, I need the complete NSE holiday list, so that I do not treat a market holiday as a trading day.</t>
  </si>
  <si>
    <t>1. Transcribe the full NSE holiday circular into `nse_holidays.yaml`
2. Set `verified_against_nse_circular: true`
3. Decide Diwali Muhurat session policy (default: stand down)
4. Annual refresh reminder documented in the runbook
5. Consider automated fetch with manual verification</t>
  </si>
  <si>
    <t>• 🔴 `make doctor` reports the calendar as verified
• Every holiday in the circular is excluded by `is_trading_day`</t>
  </si>
  <si>
    <t>WebSocket client with reconnection</t>
  </si>
  <si>
    <t>As a system, I want a resilient tick stream, so that a dropped connection does not silently stop the market data flow.</t>
  </si>
  <si>
    <t>1. KiteTicker integration with async bridging
2. Subscribe/unsubscribe for the day's watchlist
3. Exponential backoff reconnection
4. On reconnect: mark indicator state STALE, do not resume silently
5. Heartbeat monitoring with staleness detection
6. Rebuild the in-progress bar from a REST snapshot after a gap</t>
  </si>
  <si>
    <t>• A 5-minute forced disconnect recovers and flags the gap
• 🟠 Indicators are marked stale rather than computing across the hole</t>
  </si>
  <si>
    <t>E05-S02</t>
  </si>
  <si>
    <t>Tick validation</t>
  </si>
  <si>
    <t>As a data pipeline, I want malformed ticks rejected at the edge, so that nothing downstream has to defend against them.</t>
  </si>
  <si>
    <t>1. Reject null/zero/negative price
2. Reject negative volume
3. Reject timestamp outside ±5s of local clock (broker clock skew)
4. Metric per rejection reason
5. Log rejections — a cluster indicates a feed problem</t>
  </si>
  <si>
    <t>E05-S03</t>
  </si>
  <si>
    <t>Deduplication</t>
  </si>
  <si>
    <t>As a data pipeline, I want duplicate ticks dropped, so that WebSocket replay after a reconnect does not double-count volume.</t>
  </si>
  <si>
    <t>1. Bounded LRU per symbol on (symbol, exchange_ts, ltp, volume)
2. Size-capped to bound memory
3. Metric for duplicates dropped</t>
  </si>
  <si>
    <t>E05-S04</t>
  </si>
  <si>
    <t>Outlier filtering</t>
  </si>
  <si>
    <t>As an analyst, I want bad prints rejected, so that one erroneous tick does not permanently corrupt an EMA.</t>
  </si>
  <si>
    <t>1. Reject if move exceeds `max(5 × ATR%, 2%)`
2. Cross-check against circuit limits — a price outside them is impossible
3. Log rather than silently drop
4. Alert on a cluster of rejections for one symbol</t>
  </si>
  <si>
    <t>• 🔴 A single injected bad print does not change any indicator value</t>
  </si>
  <si>
    <t>E05-S05</t>
  </si>
  <si>
    <t>Normalisation</t>
  </si>
  <si>
    <t>As a developer, I want broker payloads converted to canonical types at the boundary, so that no broker-specific shape leaks downstream.</t>
  </si>
  <si>
    <t>1. Kite payload → `Tick` model
2. All timestamps → UTC
3. All prices → `Decimal`</t>
  </si>
  <si>
    <t>E05-S06</t>
  </si>
  <si>
    <t>Bar builder with session alignment</t>
  </si>
  <si>
    <t>As an analyst, I want bars aligned to the session start, so that a 15-minute bar runs 09:15–09:30 and indicators are not silently offset.</t>
  </si>
  <si>
    <t>1. In-progress bar per (symbol, timeframe)
2. Boundary detection via `MarketCalendar.bar_open_time`
3. Seal and publish on boundary crossing
4. Emit in-progress updates with `is_final=False`
5. Cascade 1m → 5m → 15m → 1h within the builder</t>
  </si>
  <si>
    <t>• 🔴 Bar boundaries match the calendar exactly across a full session
• Consumers can distinguish final from in-progress bars</t>
  </si>
  <si>
    <t>E05-S07</t>
  </si>
  <si>
    <t>Synthetic bar handling</t>
  </si>
  <si>
    <t>As an analyst, I want no-trade intervals marked, so that indicators do not treat a data gap as a price move.</t>
  </si>
  <si>
    <t>1. Carry-forward bar when no trades occur
2. Flag `synthetic=True`
3. Indicator engine skips or handles synthetics explicitly</t>
  </si>
  <si>
    <t>E05-S08</t>
  </si>
  <si>
    <t>Quote state publishing</t>
  </si>
  <si>
    <t>As the dashboard and risk engine, I need current quotes, so that P&amp;L and spread checks use live prices.</t>
  </si>
  <si>
    <t>1. Write `state:quote:{symbol}` on each tick
2. Include bid/ask for spread checks
3. Publish to `stream:ticks` for archival</t>
  </si>
  <si>
    <t>E06-S01</t>
  </si>
  <si>
    <t>Incremental indicator framework</t>
  </si>
  <si>
    <t>As a system, I want indicators updated in O(1) per bar, so that adding symbols does not degrade latency.</t>
  </si>
  <si>
    <t>1. `Indicator` protocol: `update(bar) -&gt; value`, `warm_up(bars)`, `is_ready`
2. TA-Lib streaming API wrapper
3. `IndicatorSet` per (symbol, timeframe)
4. State serialisation to Redis
5. Restore state on restart without full re-warm-up</t>
  </si>
  <si>
    <t>• 🔴 Incremental values match batch computation to 4 decimal places
• 200 symbols × 6 timeframes update in &lt; 50ms total</t>
  </si>
  <si>
    <t>E06-S02</t>
  </si>
  <si>
    <t>Core indicator implementations</t>
  </si>
  <si>
    <t>1. EMA (20, 50, 200), SMA
2. RSI(14)
3. MACD with signal and histogram
4. ATR(14) — critical, drives position sizing
5. Bollinger Bands
6. VWAP (session-anchored)
7. Volume ratio vs 20-period average
8. ADX</t>
  </si>
  <si>
    <t>• Every indicator verified against a reference implementation on the same data</t>
  </si>
  <si>
    <t>E06-S03</t>
  </si>
  <si>
    <t>Warm-up orchestration</t>
  </si>
  <si>
    <t>E06-S01, E03-S01</t>
  </si>
  <si>
    <t>As a trader, I want indicators seeded from history before trading, so that a 200-EMA is never computed from 3 bars.</t>
  </si>
  <si>
    <t>1. Load lookback from TimescaleDB at session start
2. Parallel warm-up in `ProcessPoolExecutor`
3. `is_ready` false until the longest-period indicator has enough data
4. Report warm-up completion per symbol
5. Block trading until the watchlist is warm</t>
  </si>
  <si>
    <t>• 🔴 A symbol with insufficient history is excluded, not traded on bad values</t>
  </si>
  <si>
    <t>E06-S04</t>
  </si>
  <si>
    <t>Multi-timeframe snapshot assembly</t>
  </si>
  <si>
    <t>1. Assemble `MultiTimeframeSnapshot` from per-timeframe state
2. `all_ready` gate
3. Publish to Redis for `signal-engine` to read without IPC</t>
  </si>
  <si>
    <t>E06-S05</t>
  </si>
  <si>
    <t>Support/resistance and pivot detection</t>
  </si>
  <si>
    <t>As a strategy, I need structural levels, so that stops can be placed at points that invalidate the thesis rather than at arbitrary distances.</t>
  </si>
  <si>
    <t>1. Classic pivot points (P, R1-R3, S1-S3)
2. Prior-day high/low/close
3. Swing high/low detection
4. Level clustering (nearby levels merge)
5. Level strength scoring by touch count</t>
  </si>
  <si>
    <t>E06-S06</t>
  </si>
  <si>
    <t>Opening range computation</t>
  </si>
  <si>
    <t>As the primary strategy, I need the 09:15–09:30 range, so that breakouts can be detected against a well-defined reference.</t>
  </si>
  <si>
    <t>1. Track high/low from 09:15 to 09:30
2. Seal at 09:30 and publish
3. Compute range as % of price
4. Handle the gap-open case</t>
  </si>
  <si>
    <t>• 🔴 Range is sealed exactly at 09:30 and never mutates afterwards</t>
  </si>
  <si>
    <t>E06-S07</t>
  </si>
  <si>
    <t>Relative strength calculation</t>
  </si>
  <si>
    <t>As a scorer, I need stock-vs-sector and sector-vs-index strength, so that leaders in leading sectors rank higher.</t>
  </si>
  <si>
    <t>1. Sector index mapping per symbol
2. Rolling relative performance
3. Sector-vs-Nifty ranking
4. Normalise to a 0–1 score</t>
  </si>
  <si>
    <t>E06-S08</t>
  </si>
  <si>
    <t>Chart and candlestick patterns</t>
  </si>
  <si>
    <t>Flags, triangles, double tops/bottoms; TA-Lib candlestick recognition.</t>
  </si>
  <si>
    <t>E07-S01</t>
  </si>
  <si>
    <t>Base universe loading</t>
  </si>
  <si>
    <t>1. Load Nifty 50/100/200/500 constituents
2. F&amp;O universe
3. Custom symbol list support
4. Handle index reconstitution</t>
  </si>
  <si>
    <t>E07-S02</t>
  </si>
  <si>
    <t>Hard filter pipeline</t>
  </si>
  <si>
    <t>E04 (all), E07-S01</t>
  </si>
  <si>
    <t>As a trader, I want structurally untradeable stocks removed before scoring, so that no ineligible name can reach an order.</t>
  </si>
  <si>
    <t>1. Apply all 10 filters in order (cheapest first)
2. Record which filter excluded each symbol
3. Live preview: how many survive each filter today
4. Alert if the surviving universe is implausibly small</t>
  </si>
  <si>
    <t>• 🔴 Every filter in config is applied; none can be silently skipped
• The exclusion reason for any symbol is queryable</t>
  </si>
  <si>
    <t>E07-S03</t>
  </si>
  <si>
    <t>Tradeability score components</t>
  </si>
  <si>
    <t>E06-S04, E06-S07</t>
  </si>
  <si>
    <t>1. Multi-timeframe trend alignment (25%)
2. Relative strength (20%)
3. Volatility fitness — scored as a *band*, not more-is-better (15%)
4. Volume expansion (15%)
5. Level proximity (15%)
6. Catalyst/news (10%) — stub until E08
7. Weighted composite, 0–100</t>
  </si>
  <si>
    <t>• Weights come from config and are verified to sum to 1.0
• Each component is independently unit-tested</t>
  </si>
  <si>
    <t>E07-S04</t>
  </si>
  <si>
    <t>Ranking and shortlisting</t>
  </si>
  <si>
    <t>1. Rank surviving universe by score
2. Take top N (`shortlist_size`)
3. Tie-breaking rule (deterministic)</t>
  </si>
  <si>
    <t>E07-S05</t>
  </si>
  <si>
    <t>Score explainability</t>
  </si>
  <si>
    <t>As a trader, I want to see why a stock scored what it did, so that a bare number is not unaccountable.</t>
  </si>
  <si>
    <t>1. Persist per-component contributions
2. Render breakdown in the UI and briefing
3. Explain rank changes day over day</t>
  </si>
  <si>
    <t>E07-S06</t>
  </si>
  <si>
    <t>Universe validation report</t>
  </si>
  <si>
    <t>As a developer, I want to compare the ranked watchlist against what actually moved, so that the scoring model can be tuned on evidence.</t>
  </si>
  <si>
    <t>1. Daily: capture the ranked list
2. EOD: compare against realised ranges and volumes
3. Hit-rate metric: how often did top-10 names actually move?
4. Report over rolling 20 sessions</t>
  </si>
  <si>
    <t>E08-S01</t>
  </si>
  <si>
    <t>News source integration</t>
  </si>
  <si>
    <t>1. Allowlisted provider clients
2. Polling on `news.refresh_interval_min`
3. Per-source timeout and failure isolation
4. Raw article persistence for audit</t>
  </si>
  <si>
    <t>• A dead source degrades its contribution, never fails the refresh</t>
  </si>
  <si>
    <t>E08-S02</t>
  </si>
  <si>
    <t>Near-duplicate detection and clustering</t>
  </si>
  <si>
    <t>As an analyst, I want syndicated copies of the same story grouped, so that one event carried by six outlets is not counted six times.</t>
  </si>
  <si>
    <t>1. Similarity-based clustering
2. `cluster_id` assignment
3. Cluster size feeds salience (positively) and novelty (inversely)</t>
  </si>
  <si>
    <t>E08-S03</t>
  </si>
  <si>
    <t>Prompt injection sanitisation</t>
  </si>
  <si>
    <t>As a security-conscious operator, I want news content sanitised before it reaches any prompt, so that an attacker publishing crafted content cannot steer trading decisions.</t>
  </si>
  <si>
    <t>1. Strip/escape XML-ish tags and role markers
2. Detect instruction-injection phrases ("ignore previous", "system:")
3. Strip bidirectional Unicode overrides and zero-width characters
4. Length truncation
5. Set `injection_flagged` and exclude flagged articles from scoring
6. Metric per source — a rising rate is a source to drop
7. Adversarial test corpus (see E22-S06)</t>
  </si>
  <si>
    <t>• 🔴 Every payload in the adversarial corpus is neutralised
• Flagged articles are visible in the admin UI</t>
  </si>
  <si>
    <t>E08-S04</t>
  </si>
  <si>
    <t>Entity resolution</t>
  </si>
  <si>
    <t>1. Article → ticker(s) mapping
2. Sector and macro classification
3. Ambiguity handling (company names that are common words)</t>
  </si>
  <si>
    <t>E08-S05</t>
  </si>
  <si>
    <t>AI news triage</t>
  </si>
  <si>
    <t>E08-S03, E10-S01</t>
  </si>
  <si>
    <t>As a system, I want structured extraction from each article, so that only bounded fields propagate downstream.</t>
  </si>
  <si>
    <t>1. Haiku call with `NewsSignal` structured output
2. Event type, polarity, magnitude, certainty, horizon, scope
3. Batch articles to control cost
4. Handle refusals and schema failures by skipping the article</t>
  </si>
  <si>
    <t>• 🔴 No free-form field from news reaches any downstream prompt</t>
  </si>
  <si>
    <t>E08-S06</t>
  </si>
  <si>
    <t>Novelty scoring</t>
  </si>
  <si>
    <t>As an analyst, I want new information distinguished from echo, so that the tenth repetition of a story does not score like the first.</t>
  </si>
  <si>
    <t>1. Rolling 30-day news history per symbol
2. Semantic similarity to recent articles
3. Event-type rarity for this symbol
4. Polarity surprise vs prior tone
5. Inverse cluster size
6. Weighted novelty score</t>
  </si>
  <si>
    <t>E08-S07</t>
  </si>
  <si>
    <t>Time decay by event class</t>
  </si>
  <si>
    <t>1. Exponential decay using per-class half-lives from `NewsEventType`
2. Decay measured in *trading* days, not calendar days
3. Verify a weekend does not over-decay</t>
  </si>
  <si>
    <t>E08-S08</t>
  </si>
  <si>
    <t>Composite score assembly</t>
  </si>
  <si>
    <t>E08-S06, E08-S07</t>
  </si>
  <si>
    <t>1. Salience: log cluster size × source credibility × corroboration
2. Contribution = polarity × magnitude × certainty × novelty × salience × decay
3. Three separate scores — NewsScore (firm), SectorScore, MacroScore
4. Clamp to [-1, +1]
5. Stale pipeline → score 0, never last-known-value</t>
  </si>
  <si>
    <t>• Scores are never blended into one number
• A stale pipeline is visibly stale, not silently old</t>
  </si>
  <si>
    <t>E08-S09</t>
  </si>
  <si>
    <t>News UI surface</t>
  </si>
  <si>
    <t>E08-S08, E17-S05</t>
  </si>
  <si>
    <t>Show today's articles and decayed older contributions on symbol detail.</t>
  </si>
  <si>
    <t>E09-S01</t>
  </si>
  <si>
    <t>GIFT Nifty gap prediction</t>
  </si>
  <si>
    <t>As a trader, I want the expected opening gap, so that the pre-market plan accounts for where the market will actually open.</t>
  </si>
  <si>
    <t>1. Fetch GIFT Nifty at ~09:00
2. Compute premium/discount vs previous Nifty close
3. Direction only — magnitude is unreliable (~85–90% direction accuracy)</t>
  </si>
  <si>
    <t>E09-S02</t>
  </si>
  <si>
    <t>India VIX ingestion</t>
  </si>
  <si>
    <t>Current level, 30-day percentile, direction. Feeds regime and sizing.</t>
  </si>
  <si>
    <t>E09-S03</t>
  </si>
  <si>
    <t>FII/DII flow data</t>
  </si>
  <si>
    <t>Daily cash and F&amp;O net figures; rolling 3-day trend.</t>
  </si>
  <si>
    <t>E09-S04</t>
  </si>
  <si>
    <t>Sector rotation ranking</t>
  </si>
  <si>
    <t>1. Fetch 24+ NSE sectoral indices
2. EOD/multi-day strength, not intraday — intraday ranks are noise
3. Relative strength vs Nifty
4. Breadth per sector</t>
  </si>
  <si>
    <t>E09-S05</t>
  </si>
  <si>
    <t>Economic calendar and event blackout</t>
  </si>
  <si>
    <t>As a risk-aware trader, I want to stand down around scheduled volatility events, so that a technical thesis is not run over by an RBI announcement.</t>
  </si>
  <si>
    <t>1. Fetch RBI policy, CPI, GDP, budget dates
2. Blackout windows from config
3. Union Budget full-day halt
4. Block new entries during blackout</t>
  </si>
  <si>
    <t>• 🔴 No entry is placed inside a configured blackout window</t>
  </si>
  <si>
    <t>E09-S06</t>
  </si>
  <si>
    <t>Market regime classification</t>
  </si>
  <si>
    <t>E09-S02, E09-S04</t>
  </si>
  <si>
    <t>1. Rule-based classifier: VIX + index trend + breadth + flows
2. Output: RISK_ON / RISK_OFF / HIGH_VOL / LOW_VOL / TRENDING / RANGEBOUND
3. Hysteresis to prevent flapping
4. Log regime changes</t>
  </si>
  <si>
    <t>E09-S07</t>
  </si>
  <si>
    <t>MarketContext assembly with staleness</t>
  </si>
  <si>
    <t>E09-S01..S06</t>
  </si>
  <si>
    <t>As a consumer, I want every macro field to carry its own age, so that I cannot read stale data without knowing.</t>
  </si>
  <si>
    <t>1. Concurrent collection with per-collector timeout
2. `FieldWithStaleness[T]` wrapper — value plus `as_of` plus `is_stale`
3. Failed collector → `None` + flag, never an exception
4. `degraded_fields` list on the context
5. Cache in Redis with TTL</t>
  </si>
  <si>
    <t>• 🔴 A dead collector produces a usable context with an explicit gap</t>
  </si>
  <si>
    <t>E09-S08</t>
  </si>
  <si>
    <t>Intermarket signals</t>
  </si>
  <si>
    <t>USD/INR and crude effects on sector expectations.</t>
  </si>
  <si>
    <t>E10-S01</t>
  </si>
  <si>
    <t>Anthropic client wrapper</t>
  </si>
  <si>
    <t>1. Async client with per-tier model selection
2. Timeout per tier from config
3. Retry with backoff on transient errors
4. Check `stop_reason` before reading `content`
5. Structured request/response logging with token counts</t>
  </si>
  <si>
    <t>• 🔴 A refusal never crashes the caller</t>
  </si>
  <si>
    <t>E10-S02</t>
  </si>
  <si>
    <t>Prompt template system with caching</t>
  </si>
  <si>
    <t>As a cost-conscious operator, I want prompts structured for cache hits, so that repeated calls do not pay full price.</t>
  </si>
  <si>
    <t>1. Three-layer structure: frozen system / daily context / volatile per-call
2. `cache_control` breakpoints at the right boundaries
3. Versioned templates in `ai/prompts/`
4. No timestamps, UUIDs, or unsorted dicts in the cached prefix
5. Assert prompt determinism in tests</t>
  </si>
  <si>
    <t>• 🔴 `cache_read_input_tokens` &gt; 0 on the second identical-prefix call
• Alert if the cache hit rate drops below threshold</t>
  </si>
  <si>
    <t>E10-S03</t>
  </si>
  <si>
    <t>Structured output schemas</t>
  </si>
  <si>
    <t>1. `AIReview`, `DailyThesis`, `Playbook`, `NewsSignal` Pydantic models
2. `messages.parse()` integration
3. Schema validation failure → skip, log raw response
4. No `temperature`/`top_p` (rejected by current models)</t>
  </si>
  <si>
    <t>E10-S04</t>
  </si>
  <si>
    <t>Token budget and cost control</t>
  </si>
  <si>
    <t>1. Redis counter for daily token spend
2. Alert at `alert_at_pct`
3. Hard stop at 100% → degrade to score-only mode, keep trading
4. Per-tier cost attribution
5. Daily cost report</t>
  </si>
  <si>
    <t>• 🔴 Budget exhaustion degrades capability; it never halts risk management</t>
  </si>
  <si>
    <t>E10-S05</t>
  </si>
  <si>
    <t>In-session AI review</t>
  </si>
  <si>
    <t>E10-S02, E10-S03</t>
  </si>
  <si>
    <t>1. Render trigger + MTF snapshot + market context into the volatile layer
2. Sonnet call with `AIReview` output
3. Timeout → skip trade (fail closed)
4. Bounded concurrency via semaphore
5. Full request/response to audit log</t>
  </si>
  <si>
    <t>E10-S06</t>
  </si>
  <si>
    <t>Response caching for backtest</t>
  </si>
  <si>
    <t>As a backtester, I want historical AI outputs replayed rather than re-called, so that backtests are deterministic and free.</t>
  </si>
  <si>
    <t>1. Cache keyed by prompt hash
2. Replay mode reads cache, never calls the API
3. Cache-miss policy in replay: fail loudly, do not silently call</t>
  </si>
  <si>
    <t>E10-S07</t>
  </si>
  <si>
    <t>Refusal handling and fallback</t>
  </si>
  <si>
    <t>1. Detect `stop_reason == "refusal"` with category
2. Log and skip the trade
3. Alert if refusals cluster (may indicate a prompt problem)</t>
  </si>
  <si>
    <t>E10-S08</t>
  </si>
  <si>
    <t>Model tier routing and evaluation</t>
  </si>
  <si>
    <t>A/B a cheaper tier for in-session review and compare decision quality.</t>
  </si>
  <si>
    <t>E11-S01</t>
  </si>
  <si>
    <t>Pipeline orchestration with checkpointing</t>
  </si>
  <si>
    <t>As an operator, I want the pre-market pipeline to resume from where it failed, so that a crash at 08:50 does not mean recomputing three hours of work with 25 minutes until the open.</t>
  </si>
  <si>
    <t>1. Stage abstraction with per-stage deadline
2. Checkpoint each stage output keyed by (date, stage)
3. Resume from the last completed stage
4. Overall deadline: hard stop at 09:12
5. Alert on stage overrun</t>
  </si>
  <si>
    <t>• 🔴 Killing the job mid-pipeline and restarting resumes correctly
• The plan is published by 09:12 or the day is flagged degraded</t>
  </si>
  <si>
    <t>E11-S02</t>
  </si>
  <si>
    <t>Data sync stage (05:30)</t>
  </si>
  <si>
    <t>E03-S01, E04 (all)</t>
  </si>
  <si>
    <t>E11-S03</t>
  </si>
  <si>
    <t>Universe construction stage (06:30)</t>
  </si>
  <si>
    <t>E11-S04</t>
  </si>
  <si>
    <t>Multi-timeframe analysis stage (07:30)</t>
  </si>
  <si>
    <t>As the heaviest compute of the day, this must complete in 45 minutes across the eligible universe.</t>
  </si>
  <si>
    <t>1. `ProcessPoolExecutor` fan-out across symbol slices
2. Weekly/daily/hourly indicator computation from stored history
3. Serialise snapshots back to the parent
4. Progress reporting
5. Graceful degradation if a symbol's history is insufficient</t>
  </si>
  <si>
    <t>• 200 symbols × 3 timeframes complete in &lt; 30 minutes</t>
  </si>
  <si>
    <t>E11-S05</t>
  </si>
  <si>
    <t>News and macro sweep stage (08:15)</t>
  </si>
  <si>
    <t>E08, E09</t>
  </si>
  <si>
    <t>E11-S06</t>
  </si>
  <si>
    <t>AI deep synthesis stage (08:45) ⭐</t>
  </si>
  <si>
    <t>E10-S02, E11-S04</t>
  </si>
  <si>
    <t>As a trader, I want a written market thesis and per-stock playbooks before the open, so that the session is execution of a plan rather than analysis under pressure.</t>
  </si>
  <si>
    <t>1. Assemble shortlist + MTF features + news + macro + journal into the prompt
2. Opus call with `DailyThesis` + `Playbook[]` structured output
3. Thesis: regime, bias, key levels, invalidation conditions
4. Playbook per candidate: setup, why, confirms, invalidates, direction
5. AI may veto or re-rank within the shortlist
6. Persist with token usage and latency
7. Deadline 09:00 → proceed score-only, mark `ai_unavailable`</t>
  </si>
  <si>
    <t>• 🔴 A timeout produces a valid score-only plan, not a missing plan
• Every candidate's playbook is traceable to its inputs</t>
  </si>
  <si>
    <t>E11-S07</t>
  </si>
  <si>
    <t>Pre-open gap adjustment (09:02)</t>
  </si>
  <si>
    <t>E09-S01, E11-S06</t>
  </si>
  <si>
    <t>As a trader, I want the plan re-ranked with actual opening prices, so that a stock that gapped past its entry is not traded on a stale thesis.</t>
  </si>
  <si>
    <t>1. Read pre-open equilibrium prices
2. Compute per-stock gap vs previous close
3. Invalidate if gap exceeds `invalidate_if_gap_exceeds_pct`
4. Promote gap-and-go candidates
5. Keep invalidated candidates visible with reason</t>
  </si>
  <si>
    <t>• 🔴 A candidate that gapped past its entry cannot be traded on the old plan</t>
  </si>
  <si>
    <t>E11-S08</t>
  </si>
  <si>
    <t>Plan lock and briefing delivery (09:12)</t>
  </si>
  <si>
    <t>E11-S07, E19-S02</t>
  </si>
  <si>
    <t>1. Freeze the plan — immutable for the session
2. Record config hash with the plan
3. Persist to DB and Redis
4. Verify broker auth, margin, connectivity
5. Deliver briefing to Telegram by 09:13</t>
  </si>
  <si>
    <t>• 🔴 The plan cannot be modified after lock
• Briefing arrives before 09:15 on 20 consecutive sessions</t>
  </si>
  <si>
    <t>E12-S01</t>
  </si>
  <si>
    <t>Strategy registry and persistence</t>
  </si>
  <si>
    <t>1. Persist `StrategyDocument` to the `strategy` table
2. Load and compile on startup
3. Version and lineage tracking
4. Content-hash deduplication</t>
  </si>
  <si>
    <t>E12-S02</t>
  </si>
  <si>
    <t>Lifecycle state machine</t>
  </si>
  <si>
    <t>1. Implement the state machine from STRATEGY_ENGINE §4
2. Gate conditions per transition
3. Human approval required for ACTIVE — not overridable
4. State change audit trail
5. Illegal transitions rejected</t>
  </si>
  <si>
    <t>• 🔴 No code path promotes a strategy to ACTIVE without a recorded human approval</t>
  </si>
  <si>
    <t>E12-S03</t>
  </si>
  <si>
    <t>Backtest harness</t>
  </si>
  <si>
    <t>E06-S04, E10-S06</t>
  </si>
  <si>
    <t>As a developer, I want backtests that execute the *production* strategy code against recorded snapshots, so that there is no reimplementation gap where backtest/live divergence hides.</t>
  </si>
  <si>
    <t>1. Replay `MultiTimeframeSnapshot` sequences from history
2. Execute the real `Strategy.evaluate`
3. Simulate fills with realistic slippage
4. Full India cost model: brokerage, STT, GST, exchange, stamp duty
5. Respect square-off deadlines and hazard exclusions
6. Equity curve, trade list, statistics</t>
  </si>
  <si>
    <t>• 🔴 The same strategy code runs in backtest and live
• Costs match a real contract note on a sample trade</t>
  </si>
  <si>
    <t>E12-S04</t>
  </si>
  <si>
    <t>Trial registry</t>
  </si>
  <si>
    <t>As a statistician, I want every backtest counted forever, so that overfitting corrections have an honest denominator.</t>
  </si>
  <si>
    <t>1. Write a row for every gauntlet run, pass or fail
2. Parameter sweeps count individually
3. Content-hash deduplication of identical re-runs
4. Effective trial count query for DSR
5. Append-only DB role</t>
  </si>
  <si>
    <t>• 🔴 Deleting a trial row is impossible with the application's DB role
• Testing one strategy at 20 settings records 20 trials</t>
  </si>
  <si>
    <t>E12-S05</t>
  </si>
  <si>
    <t>Gauntlet G1–G4 (structural)</t>
  </si>
  <si>
    <t>Hypothesis present · compiles · minimum 100 trades · realistic costs applied.</t>
  </si>
  <si>
    <t>E12-S06</t>
  </si>
  <si>
    <t>Gauntlet G5 — purged/embargoed walk-forward</t>
  </si>
  <si>
    <t>As a statistician, I want CPCV with purging and embargo, so that label leakage does not make a bad strategy look good.</t>
  </si>
  <si>
    <t>1. Combinatorial purged cross-validation splitter
2. Purge training samples whose label windows overlap the test set
3. Embargo period after each test block
4. Per-fold performance consistency check</t>
  </si>
  <si>
    <t>• 🔴 A deliberately leaky strategy is caught by purging</t>
  </si>
  <si>
    <t>E12-S07</t>
  </si>
  <si>
    <t>Gauntlet G6/G7 — DSR and PBO</t>
  </si>
  <si>
    <t>E12-S04, E12-S06</t>
  </si>
  <si>
    <t>As a statistician, I want Sharpe deflated for the number of trials and the probability of overfitting computed, so that a lucky backtest cannot reach live capital.</t>
  </si>
  <si>
    <t>1. Deflated Sharpe Ratio using the trial count, sample length, skew, kurtosis
2. PBO via combinatorially symmetric cross-validation
3. Reject on DSR confidence &lt; 0.95 or PBO &gt; 0.5
4. Persist both with the trial count used</t>
  </si>
  <si>
    <t>• 🔴 A strategy fitted to noise fails at least one of these
• Verified against a known-random strategy (should fail) and a known-real edge</t>
  </si>
  <si>
    <t>E12-S08</t>
  </si>
  <si>
    <t>Gauntlet G8–G12</t>
  </si>
  <si>
    <t>Regime coverage · locked holdout (read once) · correlation to active · parameter sensitivity (±20%) · India tradability.</t>
  </si>
  <si>
    <t>E12-S09</t>
  </si>
  <si>
    <t>Shadow mode</t>
  </si>
  <si>
    <t>E12-S02, E13-S01</t>
  </si>
  <si>
    <t>As a validator, I want strategies to record what they *would* have done, so that failures a backtest cannot show — signals at untradeable prices — surface before any capital is involved.</t>
  </si>
  <si>
    <t>1. Evaluate SHADOW strategies in the live loop
2. Record to `shadow_signal`, place no orders
3. EOD: evaluate hypothetical outcomes
4. Live-vs-backtest agreement metric
5. Promotion gate at ≥ 20 sessions, ≥ 80% agreement</t>
  </si>
  <si>
    <t>E12-S10</t>
  </si>
  <si>
    <t>Degradation monitoring and auto-retirement</t>
  </si>
  <si>
    <t>As a trader, I want a decaying strategy demoted without asking me, so that a losing streak does not persist through inattention.</t>
  </si>
  <si>
    <t>1. Rolling window performance vs validated expectation
2. Triggers: Sharpe ratio, consecutive losses, drawdown, win rate, regime absence
3. ACTIVE → DEGRADED (50% size) automatically
4. DEGRADED → RETIRED after continued decay
5. `vs_backtest_ratio` tracked daily
6. Alert on every demotion</t>
  </si>
  <si>
    <t>• 🔴 Demotion is automatic; promotion is never automatic</t>
  </si>
  <si>
    <t>E12-S11</t>
  </si>
  <si>
    <t>AI strategy generation — journal mode</t>
  </si>
  <si>
    <t>9</t>
  </si>
  <si>
    <t>E12-S07, E12-S10</t>
  </si>
  <si>
    <t>As a trader, I want the AI to propose strategies from my own trade history, so that the system learns from what actually happened rather than from patterns in a price series.</t>
  </si>
  <si>
    <t>1. Assemble journal summary: setups, regimes, confidence, outcomes, R-multiples
2. Hypothesis-first protocol: AI states mechanism BEFORE seeing results
3. Freeze hypothesis to DB before the gauntlet runs
4. Emit `StrategyDocument` in the DSL — never code
5. Weekly cadence, max 5 proposals
6. Every proposal enters the gauntlet like any other</t>
  </si>
  <si>
    <t>• 🔴 The AI cannot bypass any gauntlet check
• 🔴 A proposal without a substantive hypothesis is rejected at parse time</t>
  </si>
  <si>
    <t>E12-S12</t>
  </si>
  <si>
    <t>AI strategy generation — observation mode</t>
  </si>
  <si>
    <t>Market-behaviour summary → strategy proposals. Same constraints as S11.</t>
  </si>
  <si>
    <t>E13-S01</t>
  </si>
  <si>
    <t>Strategy evaluation loop</t>
  </si>
  <si>
    <t>E06-S04, E12-S01</t>
  </si>
  <si>
    <t>1. Consume final bars from the stream
2. Filter to the day's plan symbols
3. Gate on `all_ready`
4. Evaluate runnable strategies (regime-filtered)
5. Route by strategy state: ACTIVE → full path, PAPER → paper, SHADOW → record</t>
  </si>
  <si>
    <t>• 🔴 A symbol not in today's plan is never evaluated
• 🔴 A strategy in SHADOW state never produces an order</t>
  </si>
  <si>
    <t>E13-S02</t>
  </si>
  <si>
    <t>Regime-aware strategy selection</t>
  </si>
  <si>
    <t>E09-S06, E13-S01</t>
  </si>
  <si>
    <t>Only evaluate strategies whose `applicability.regimes` includes the current regime.</t>
  </si>
  <si>
    <t>E13-S03</t>
  </si>
  <si>
    <t>AI review integration</t>
  </si>
  <si>
    <t>E10-S05, E13-S01</t>
  </si>
  <si>
    <t>1. Call AI review only for triggers that fired
2. Confidence gate: below `min_to_act` → reject with reason
3. Verdict gate: VETO → reject with reason
4. Timeout → skip
5. Every decision to the audit log</t>
  </si>
  <si>
    <t>E13-S04</t>
  </si>
  <si>
    <t>Recommendation emission</t>
  </si>
  <si>
    <t>1. Build `Recommendation` from trigger + review
2. Publish to `stream:signals`
3. Correlation ID threading</t>
  </si>
  <si>
    <t>• 🔴 `Recommendation` carries no sizing information (enforced by the type)</t>
  </si>
  <si>
    <t>E13-S05</t>
  </si>
  <si>
    <t>Concurrency guards</t>
  </si>
  <si>
    <t>E01-S03, E13-S01</t>
  </si>
  <si>
    <t>1. `lock:symbol:{symbol}` before emitting
2. Prevent two strategies double-entering the same symbol
3. Lock TTL so a crash cannot deadlock</t>
  </si>
  <si>
    <t>E13-S06</t>
  </si>
  <si>
    <t>Thesis invalidation monitoring</t>
  </si>
  <si>
    <t>AI flags when the day's premise has broken; system stops new entries.</t>
  </si>
  <si>
    <t>E14-S01</t>
  </si>
  <si>
    <t>Risk check framework</t>
  </si>
  <si>
    <t>1. Ordered, fail-fast check pipeline
2. Each check returns pass/fail with a `RejectReason`
3. Every evaluation to the audit log
4. `signals_rejected_total{check}` metric</t>
  </si>
  <si>
    <t>• 🔴 No order path bypasses the pipeline
• Any rejection is explainable from the audit log</t>
  </si>
  <si>
    <t>E14-S02</t>
  </si>
  <si>
    <t>Pre-condition checks (1–4)</t>
  </si>
  <si>
    <t>Kill switch · health gate · trading window · no-trade window.</t>
  </si>
  <si>
    <t>E14-S03</t>
  </si>
  <si>
    <t>Symbol eligibility checks (5–7)</t>
  </si>
  <si>
    <t>E14-S01, E04</t>
  </si>
  <si>
    <t>Symbol tradable (re-verified at order time) · slot available · not already held.</t>
  </si>
  <si>
    <t>E14-S04</t>
  </si>
  <si>
    <t>Portfolio exposure checks (8–10)</t>
  </si>
  <si>
    <t>1. Correlation guard — reject N correlated names
2. Rolling correlation matrix over the watchlist
3. Sector exposure cap
4. Net directional exposure cap</t>
  </si>
  <si>
    <t>• 🔴 Four PSU banks cannot occupy four slots</t>
  </si>
  <si>
    <t>E14-S05</t>
  </si>
  <si>
    <t>Loss limit checks (11–12)</t>
  </si>
  <si>
    <t>Daily loss limit → halt · consecutive loss limit → halt.</t>
  </si>
  <si>
    <t>E14-S06</t>
  </si>
  <si>
    <t>Margin and timing checks (13–14)</t>
  </si>
  <si>
    <t>1. Live broker margin sufficient for the intended position
2. Enough runway before the per-stock square-off deadline</t>
  </si>
  <si>
    <t>E14-S07</t>
  </si>
  <si>
    <t>ATR-based position sizing</t>
  </si>
  <si>
    <t>As a trader, I want position size derived from volatility and risk budget, so that every trade risks the same rupee amount regardless of the stock's price.</t>
  </si>
  <si>
    <t>1. `risk_amount = capital × risk_pct`
2. `stop_distance = ATR × multiplier`
3. `raw_qty = risk_amount / stop_distance`
4. Apply clamps: position cap, slot cap, margin cap
5. Round down to lot size
6. Record which clamp bound the result
7. Reject if quantity rounds to zero</t>
  </si>
  <si>
    <t>• 🔴 Property test: risk never exceeds `risk_pct` for ANY generated input
• 🔴 A surprisingly small position is explainable from the binding constraint</t>
  </si>
  <si>
    <t>E14-S08</t>
  </si>
  <si>
    <t>Slot management</t>
  </si>
  <si>
    <t>1. Slot allocation with Redis lock + TTL
2. Priority queue when signals exceed free slots (score, then expectancy)
3. Slot recycling on position close
4. Leak detection: slot count vs actual positions</t>
  </si>
  <si>
    <t>• 🔴 Concurrent signals cannot over-allocate slots</t>
  </si>
  <si>
    <t>E14-S09</t>
  </si>
  <si>
    <t>Kill switch</t>
  </si>
  <si>
    <t>1. Manual trigger via Telegram and dashboard
2. Auto-triggers: loss limit, broker disconnect, stale feed, AI unavailable, margin shortfall, unknown position
3. Semantics: halts new entries and cancels pending; does NOT auto-liquidate
4. Separate explicit command to close positions
5. Requires human action to un-halt</t>
  </si>
  <si>
    <t>• 🔴 Triggered from a phone in under 10 seconds
• 🔴 Open positions are not blindly market-closed</t>
  </si>
  <si>
    <t>E15-S01</t>
  </si>
  <si>
    <t>Order gateway</t>
  </si>
  <si>
    <t>E02-S04, E14-S07</t>
  </si>
  <si>
    <t>1. Build `OrderRequest` from `RiskDecision`
2. Attach Algo-ID and market protection
3. Round prices to tick size
4. Single-threaded serialised submission
5. Rate limiter integration</t>
  </si>
  <si>
    <t>E15-S02</t>
  </si>
  <si>
    <t>Idempotency</t>
  </si>
  <si>
    <t>1. `client_order_id = sha256(correlation|symbol|side|intent|date)[:32]`
2. Persist before submission
3. On ambiguous failure: query by client_order_id, never retry</t>
  </si>
  <si>
    <t>• 🔴 Chaos test: timeout + reconnect produces exactly one order</t>
  </si>
  <si>
    <t>E15-S03</t>
  </si>
  <si>
    <t>Order state machine</t>
  </si>
  <si>
    <t>Full lifecycle per LOW_LEVEL_ARCHITECTURE §8.2 with illegal transitions rejected.</t>
  </si>
  <si>
    <t>E15-S04</t>
  </si>
  <si>
    <t>Protective stop attachment</t>
  </si>
  <si>
    <t>As a trader, I want a stop placed immediately after entry fill, so that no position is ever naked.</t>
  </si>
  <si>
    <t>1. Place stop on entry fill confirmation
2. If stop placement fails → close position at market immediately
3. Verify stop is live before considering the position established
4. Alert on any stop failure</t>
  </si>
  <si>
    <t>• 🔴 A position without a live stop cannot persist for more than one cycle</t>
  </si>
  <si>
    <t>E15-S05</t>
  </si>
  <si>
    <t>Position manager</t>
  </si>
  <si>
    <t>1. Track open positions with live P&amp;L
2. MFE/MAE tracking for the journal
3. R-multiple computation
4. Position state in Redis for fast reads</t>
  </si>
  <si>
    <t>E15-S06</t>
  </si>
  <si>
    <t>Square-off timer</t>
  </si>
  <si>
    <t>E15-S05, E04-S05</t>
  </si>
  <si>
    <t>As a trader, I want every intraday position closed on my schedule, so that the broker never force-closes at an arbitrary price.</t>
  </si>
  <si>
    <t>1. Compute per-stock deadline at position open
2. Store in `timer:squareoff` sorted set
3. Single polling loop for all positions
4. Market order with protection at deadline
5. Alert if a position remains after its deadline</t>
  </si>
  <si>
    <t>• 🔴 Property test: our deadline always precedes the broker's, every stock class
• 🔴 No position survives its deadline in a full-session replay</t>
  </si>
  <si>
    <t>E15-S07</t>
  </si>
  <si>
    <t>Exit precedence</t>
  </si>
  <si>
    <t>Order: kill switch → deadline → stop → target → trailing → thesis invalidation → manual.</t>
  </si>
  <si>
    <t>E15-S08</t>
  </si>
  <si>
    <t>Trailing stops and partial exits</t>
  </si>
  <si>
    <t>Activate trailing after N R; partial booking at configured levels.</t>
  </si>
  <si>
    <t>E15-S09</t>
  </si>
  <si>
    <t>Reconciliation loop</t>
  </si>
  <si>
    <t>As an operator, I want local state continuously compared against the broker's, so that drift is detected rather than discovered.</t>
  </si>
  <si>
    <t>1. Every 30s during market hours, plus on every reconnect
2. Diff orders and positions
3. Broker state wins — it is the legal record
4. `RECONCILIATION_DRIFT` audit event per difference
5. Unknown position → kill switch + P0 alert immediately</t>
  </si>
  <si>
    <t>• 🔴 An unknown position halts the system within one reconciliation cycle</t>
  </si>
  <si>
    <t>E15-S10</t>
  </si>
  <si>
    <t>Paper trading mode</t>
  </si>
  <si>
    <t>As a validator, I want paper trading to use the identical code path, so that what I validate is what will run live.</t>
  </si>
  <si>
    <t>1. Simulated broker with realistic fills, rejections, partial fills
2. Same risk engine, same order gateway, same position manager
3. Only the adapter differs
4. Simulated slippage and costs</t>
  </si>
  <si>
    <t>• 🔴 Switching paper→live changes exactly one dependency injection</t>
  </si>
  <si>
    <t>E15-S11</t>
  </si>
  <si>
    <t>EOD reconciliation and journal</t>
  </si>
  <si>
    <t>Final reconciliation, journal entries with setup/regime/outcome attribution, daily statistics.</t>
  </si>
  <si>
    <t>E16-S01</t>
  </si>
  <si>
    <t>Autonomy level management</t>
  </si>
  <si>
    <t>L0–L4 levels controlling system behaviour; level change requires re-auth.</t>
  </si>
  <si>
    <t>E16-S02</t>
  </si>
  <si>
    <t>Envelope evaluation</t>
  </si>
  <si>
    <t>1. Evaluate each trade against the autonomy envelope
2. Inside → auto-execute; outside → escalate
3. Record which envelope condition triggered escalation</t>
  </si>
  <si>
    <t>E16-S03</t>
  </si>
  <si>
    <t>Escalation and approval flow</t>
  </si>
  <si>
    <t>E16-S02, E19-S03</t>
  </si>
  <si>
    <t>1. Send approval request with full context
2. 60-second window
3. Timeout → skip the trade (never auto-approve)
4. Approve/reject handling
5. Audit the decision and who made it</t>
  </si>
  <si>
    <t>• 🔴 An unanswered approval request never results in a trade</t>
  </si>
  <si>
    <t>E16-S04</t>
  </si>
  <si>
    <t>Auto-demotion</t>
  </si>
  <si>
    <t>As a trader, I want the system to ask for more supervision when it is doing badly, so that autonomy is not retained through a losing streak.</t>
  </si>
  <si>
    <t>1. Triggers: daily loss %, consecutive losses, AI disagreement rate, 7-day win rate
2. Demote L3 → L2 automatically
3. Alert with the reason
4. Manual re-promotion only</t>
  </si>
  <si>
    <t>E16-S05</t>
  </si>
  <si>
    <t>Escalation trigger conditions</t>
  </si>
  <si>
    <t>News unmatched to thesis · intraday regime change · correlation spike · broker reject streak · reconciliation drift.</t>
  </si>
  <si>
    <t>E16-S06</t>
  </si>
  <si>
    <t>Autonomy audit trail</t>
  </si>
  <si>
    <t>History of level changes, escalations, approvals, demotions.</t>
  </si>
  <si>
    <t>E17-S01</t>
  </si>
  <si>
    <t>Application shell and authentication</t>
  </si>
  <si>
    <t>1. FastAPI + Jinja2 + HTMX skeleton
2. Bind to 127.0.0.1 only
3. WebAuthn passkey registration and login
4. TOTP fallback
5. Session management: rotation, HttpOnly/Secure/SameSite=Strict, absolute timeout
6. CSRF token on every mutating request
7. Strict CSP, no external origins, no CDN</t>
  </si>
  <si>
    <t>• 🔴 External port scan shows the dashboard closed
• 🔴 No inline scripts; CSP violations logged</t>
  </si>
  <si>
    <t>E17-S02</t>
  </si>
  <si>
    <t>SSE live update channel</t>
  </si>
  <si>
    <t>Single stream for positions, P&amp;L, health, activity. Auto-reconnect with visible banner. Throttled to 4 Hz.</t>
  </si>
  <si>
    <t>E17-S03</t>
  </si>
  <si>
    <t>Live dashboard</t>
  </si>
  <si>
    <t>1. Status bar with mode, autonomy, interval, clock
2. Kill switch always visible, top-right, with confirm
3. Metrics row: P&amp;L, open risk, slots, win/loss, drawdown
4. Positions table with per-stock square-off warning
5. Watchlist with trigger status
6. Market context panel
7. Activity feed showing rejections, not just actions
8. System health panel</t>
  </si>
  <si>
    <t>• "Is everything OK?" answerable in under 2 seconds
• Direction never encoded by colour alone (arrow + sign + colour)</t>
  </si>
  <si>
    <t>E17-S04</t>
  </si>
  <si>
    <t>Chart component</t>
  </si>
  <si>
    <t>1. `lightweight-charts` integration, self-hosted
2. Candlestick + volume subplot
3. EMA overlays, opening range band, S/R levels
4. Entry/stop/target markers
5. `series.update()` for streaming — never full re-render
6. Visible stale state when the feed lags</t>
  </si>
  <si>
    <t>E17-S05</t>
  </si>
  <si>
    <t>Symbol detail view</t>
  </si>
  <si>
    <t>Chart + multi-timeframe panel + AI assessment + news (with decayed older items) + position panel with manual actions.</t>
  </si>
  <si>
    <t>E17-S06</t>
  </si>
  <si>
    <t>Daily plan view</t>
  </si>
  <si>
    <t>Thesis, ranked candidates with score breakdown, expandable playbooks, gap-invalidated candidates kept visible with reason.</t>
  </si>
  <si>
    <t>E17-S07</t>
  </si>
  <si>
    <t>Positions and orders view</t>
  </si>
  <si>
    <t>E17-S08</t>
  </si>
  <si>
    <t>Data visualisation standards</t>
  </si>
  <si>
    <t>1. Palette validated for CVD in light and dark
2. Direction never colour-alone — arrow + sign + colour
3. P&amp;L as diverging scale with grey midpoint
4. No dual-axis charts anywhere
5. Status colours reserved, never reused as series colours</t>
  </si>
  <si>
    <t>E17-S09</t>
  </si>
  <si>
    <t>Performance analytics</t>
  </si>
  <si>
    <t>Equity curve, R-multiple distribution, win rate by setup and regime.</t>
  </si>
  <si>
    <t>E18-S01</t>
  </si>
  <si>
    <t>Admin shell and compliance panel</t>
  </si>
  <si>
    <t>Live status of every compliance constraint; read-only.</t>
  </si>
  <si>
    <t>E18-S02</t>
  </si>
  <si>
    <t>Configuration editor</t>
  </si>
  <si>
    <t>1. Section-based editor mirroring `system.yaml`
2. Derived values shown live ("1.0% → ₹5,000 per trade")
3. Inline explanation of trade-offs
4. Three-gate validation with clear errors
5. Save produces a git commit with a diff shown before confirmation
6. Re-authentication required to save
7. Immutable during an active session</t>
  </si>
  <si>
    <t>• 🔴 Hard bounds cannot be exceeded from the UI
• Every change is a reviewable commit</t>
  </si>
  <si>
    <t>E18-S03</t>
  </si>
  <si>
    <t>Universe and filter management</t>
  </si>
  <si>
    <t>Filter config with live preview of survivors per filter; weight editor enforcing sum to 1.0.</t>
  </si>
  <si>
    <t>E18-S04</t>
  </si>
  <si>
    <t>Strategy management</t>
  </si>
  <si>
    <t>1. Registry list with state, DSR, PBO, vs-backtest ratio
2. Detail tabs: definition, hypothesis, validation, live performance
3. YAML editor with live validation and primitive autocomplete
4. Approval screen requiring re-auth AND typing the strategy name
5. Trial log showing search cost and the implied DSR bar</t>
  </si>
  <si>
    <t>• 🔴 Promotion to ACTIVE requires deliberate, high-friction confirmation</t>
  </si>
  <si>
    <t>E18-S05</t>
  </si>
  <si>
    <t>Risk limits editor</t>
  </si>
  <si>
    <t>With impact preview from backtest where available.</t>
  </si>
  <si>
    <t>E18-S06</t>
  </si>
  <si>
    <t>AI settings and budget</t>
  </si>
  <si>
    <t>Model selection, thresholds, live spend gauge, cache hit rate.</t>
  </si>
  <si>
    <t>E18-S07</t>
  </si>
  <si>
    <t>News sources and injection monitor</t>
  </si>
  <si>
    <t>1. Provider allowlist management
2. Decay half-life configuration
3. Sanitiser hit counts by source with samples
4. A source with rising hits is a source to drop</t>
  </si>
  <si>
    <t>E18-S08</t>
  </si>
  <si>
    <t>Audit log explorer</t>
  </si>
  <si>
    <t>Search by correlation ID; full trade life from candidacy to exit with every stage, latency, and rejection reason.</t>
  </si>
  <si>
    <t>E19-S01</t>
  </si>
  <si>
    <t>Telegram bot foundation</t>
  </si>
  <si>
    <t>1. Bot setup with token from secrets
2. Respond only to one hard-configured chat ID — ignore and log all others
3. Single recipient enforced (config validation already does this)
4. Message templating</t>
  </si>
  <si>
    <t>• 🔴 A message from any other chat ID is ignored and logged</t>
  </si>
  <si>
    <t>E19-S02</t>
  </si>
  <si>
    <t>Pre-market briefing delivery</t>
  </si>
  <si>
    <t>E11-S08, E19-S01</t>
  </si>
  <si>
    <t>E19-S03</t>
  </si>
  <si>
    <t>Trade alerts and approval buttons</t>
  </si>
  <si>
    <t>1. Trade opened/closed alerts with rationale
2. Approval requests with inline buttons and countdown
3. Expiry → skip (never auto-approve)
4. No sensitive data — no account numbers, no absolute capital</t>
  </si>
  <si>
    <t>E19-S04</t>
  </si>
  <si>
    <t>Command handlers</t>
  </si>
  <si>
    <t>`/status` `/positions` `/plan` `/pause` `/resume` `/kill` `/close` `/closeall` `/why` `/health`. Destructive commands require confirmation; `/kill` and `/closeall` require two steps.</t>
  </si>
  <si>
    <t>E19-S05</t>
  </si>
  <si>
    <t>Alert budgets and batching</t>
  </si>
  <si>
    <t>P0 immediate · P1 ≤3/day · P2 ≤6/day batched into a digest beyond budget.</t>
  </si>
  <si>
    <t>E19-S06</t>
  </si>
  <si>
    <t>Email fallback</t>
  </si>
  <si>
    <t>E20-S01</t>
  </si>
  <si>
    <t>Metrics instrumentation</t>
  </si>
  <si>
    <t>Latency histograms per stage · data quality counters · AI metrics including cache hit ratio · trading counters · risk gauges · health.</t>
  </si>
  <si>
    <t>E20-S02</t>
  </si>
  <si>
    <t>Latency profiler and adaptive interval</t>
  </si>
  <si>
    <t>As a system, I want my trading interval derived from measured latency, so that I never act on analysis I have not finished.</t>
  </si>
  <si>
    <t>1. Record per-stage latency in a rolling window
2. Compute p95 of the full pipeline
3. Apply headroom multiplier
4. Round up to the nearest supported interval
5. Recalibrate daily; publish to `control:interval`</t>
  </si>
  <si>
    <t>• 🔴 Degraded latency automatically steps the interval down, never up</t>
  </si>
  <si>
    <t>E20-S03</t>
  </si>
  <si>
    <t>Grafana dashboards</t>
  </si>
  <si>
    <t>E20-S04</t>
  </si>
  <si>
    <t>Alerting rules</t>
  </si>
  <si>
    <t>P0/P1/P2/P3 routing per the priority scheme.</t>
  </si>
  <si>
    <t>E20-S05</t>
  </si>
  <si>
    <t>Health check framework</t>
  </si>
  <si>
    <t>Per-service `/health`; heartbeat to Redis with TTL; aggregated health gate that blocks trading when any critical service is unhealthy.</t>
  </si>
  <si>
    <t>E20-S06</t>
  </si>
  <si>
    <t>Structured logging rollout</t>
  </si>
  <si>
    <t>Correlation ID binding across all services.</t>
  </si>
  <si>
    <t>E21-S01</t>
  </si>
  <si>
    <t>Algo-ID attachment</t>
  </si>
  <si>
    <t>blocked on B1</t>
  </si>
  <si>
    <t>Attach per the confirmed mechanic; verify present on every order.</t>
  </si>
  <si>
    <t>E21-S02</t>
  </si>
  <si>
    <t>Static IP verification at startup</t>
  </si>
  <si>
    <t>Compare actual egress IP against config; refuse to start on mismatch in live mode.</t>
  </si>
  <si>
    <t>E21-S03</t>
  </si>
  <si>
    <t>Charge-level fill accounting</t>
  </si>
  <si>
    <t>As a taxpayer, I want every charge recorded separately, so that year-end reconstruction from contract notes is unnecessary.</t>
  </si>
  <si>
    <t>1. Record STT, brokerage, GST, exchange charges, stamp duty, SEBI fees per fill
2. Reconcile against the broker contract note
3. Alert on divergence</t>
  </si>
  <si>
    <t>• 🔴 Charges match a real contract note to the paisa</t>
  </si>
  <si>
    <t>E21-S04</t>
  </si>
  <si>
    <t>Intraday turnover computation</t>
  </si>
  <si>
    <t>As a taxpayer, I want turnover computed as the **absolute sum of profits and losses**, so that the ITR-3 figure is correct.</t>
  </si>
  <si>
    <t>• 🔴 ₹2,000 profit + ₹1,500 loss = ₹3,500 turnover (verified on test data)</t>
  </si>
  <si>
    <t>E21-S05</t>
  </si>
  <si>
    <t>Business expense register</t>
  </si>
  <si>
    <t>Categorised entry for VPS, API spend, data subscriptions — all deductible.</t>
  </si>
  <si>
    <t>E21-S06</t>
  </si>
  <si>
    <t>Tax report generator</t>
  </si>
  <si>
    <t>E21-S04, E21-S05</t>
  </si>
  <si>
    <t>Speculative turnover, gross profit/loss, net income, itemised expenses, carry-forward position, financial-year selection, export.</t>
  </si>
  <si>
    <t>E21-S07</t>
  </si>
  <si>
    <t>Compliance status panel</t>
  </si>
  <si>
    <t>Live status of every constraint with a pre-live readiness summary.</t>
  </si>
  <si>
    <t>E21-S08</t>
  </si>
  <si>
    <t>Audit chain verification utility</t>
  </si>
  <si>
    <t>Verify the hash chain end to end; detect any retroactive modification.</t>
  </si>
  <si>
    <t>E22-S01</t>
  </si>
  <si>
    <t>Property-based risk engine tests</t>
  </si>
  <si>
    <t>1. Position size never exceeds configured risk, for any input
2. Never exceeds slot count
3. Approved order always has a stop
4. Square-off always precedes broker deadline
5. Sizing clamps are monotonic</t>
  </si>
  <si>
    <t>E22-S02</t>
  </si>
  <si>
    <t>Integration test suite</t>
  </si>
  <si>
    <t>Testcontainers for Redis and Postgres; every inter-service contract exercised.</t>
  </si>
  <si>
    <t>E22-S03</t>
  </si>
  <si>
    <t>Replay harness</t>
  </si>
  <si>
    <t>Replay a recorded session through the full pipeline; assert deterministic outputs; regression on every change.</t>
  </si>
  <si>
    <t>E22-S04</t>
  </si>
  <si>
    <t>Chaos test suite</t>
  </si>
  <si>
    <t>• 🔴 Every scenario fails closed; none opens new risk</t>
  </si>
  <si>
    <t>All nine scenarios from LOW_LEVEL_ARCHITECTURE §12.3 — kill each service, Redis restart, WebSocket drop, AI outage, broker 500, clock jump, disk full, duplicate tick flood.</t>
  </si>
  <si>
    <t>E22-S05</t>
  </si>
  <si>
    <t>Contract tests</t>
  </si>
  <si>
    <t>Recorded fixtures for broker and AI APIs; detect upstream shape drift.</t>
  </si>
  <si>
    <t>E22-S06</t>
  </si>
  <si>
    <t>Prompt injection corpus</t>
  </si>
  <si>
    <t>Adversarial news snippets: instruction override, role confusion, delimiter escape, Unicode obfuscation, nested encoding. Runs in CI because prompt changes can silently reopen a closed hole.</t>
  </si>
  <si>
    <t>E22-S07</t>
  </si>
  <si>
    <t>Coverage enforcement</t>
  </si>
  <si>
    <t>100% line coverage gate on `execution/risk_engine.py` and `execution/sizer.py`.</t>
  </si>
  <si>
    <t>E22-S08</t>
  </si>
  <si>
    <t>Load and soak testing</t>
  </si>
  <si>
    <t>Full universe tick rates; multi-day soak for memory leaks.</t>
  </si>
  <si>
    <t>E23-S01</t>
  </si>
  <si>
    <t>VPS provisioning and hardening</t>
  </si>
  <si>
    <t>India-region host · static IP · firewall default-deny · SSH key-only, root disabled, fail2ban · unattended security upgrades outside market hours.</t>
  </si>
  <si>
    <t>E23-S02</t>
  </si>
  <si>
    <t>Static IP whitelisting</t>
  </si>
  <si>
    <t>Register at `developers.kite.trade`; verify orders succeed from the whitelisted IP and fail from elsewhere.</t>
  </si>
  <si>
    <t>E23-S03</t>
  </si>
  <si>
    <t>Docker Compose deployment</t>
  </si>
  <si>
    <t>1. First actual run of the topology
2. Verify `core` network has no internet access
3. Verify egress allowlists hold
4. Startup ordering and health gates
5. Resource limits tuned</t>
  </si>
  <si>
    <t>• 🔴 A container on `core` cannot reach the internet (verified by attempt)</t>
  </si>
  <si>
    <t>E23-S04</t>
  </si>
  <si>
    <t>Backup and restore</t>
  </si>
  <si>
    <t>Nightly DB dump + config + audit export to off-host storage with separate credentials. Restore drill required.</t>
  </si>
  <si>
    <t>E23-S05</t>
  </si>
  <si>
    <t>CI pipeline</t>
  </si>
  <si>
    <t>`make check` on every PR; gitleaks; pip-audit; safety-invariant tests as a required check on `QA` and `PROD`.</t>
  </si>
  <si>
    <t>E23-S06</t>
  </si>
  <si>
    <t>Runbooks</t>
  </si>
  <si>
    <t>Auth failure · feed loss · broker outage · unknown position · kill switch triggered · restore from backup · daily operational checklist.</t>
  </si>
  <si>
    <t>E23-S07</t>
  </si>
  <si>
    <t>Secrets backend migration</t>
  </si>
  <si>
    <t>8</t>
  </si>
  <si>
    <t>SOPS+age → Vault when a second host appears. # CROSS-CUTTING BLOCKERS These gate multiple epics and are not code. Resolve first. | ID | Blocker | Blocks | Action | |---|---|---|---| | B1 | Algo-ID attachment mechanic unconfirmed | E02-S04, E21-S01 | Ask Zerodha: `tag` field or broker-injected? | | B2 | `pykiteconnect` lacks `market_protection` | E02-S04, E15-S01 | Install from git main, or wait for release | | B3 | NSE holiday list incomplete | E04-S07, all scheduling | Transcribe the circular | | B4 | Historical data pricing unconfirmed | E03-S03 budget | Ask Zerodha | | B5 | Daily login mechanism untested | E02-S01 | Prototype the phone→callback flow | | B6 | Static IP not procured | E23-S02, all live trading | Select provider, procure | # SUGGESTED SPRINT SEQUENCE Two-week sprints, solo. Each ends with something demonstrable. | Sprint | Focus | Key deliverable | |---|---|---| | 1 | E01 + B1–B6 resolution | Schema live, blockers answered | | 2 | E03 + E04 | Historical data flowing, hazard lists daily | | 3 | E02-S01..S03, E05-S01..S05 | Live ticks arriving and cleaned | | 4 | E05-S06..S08, E06-S01..S03 | Bars building, indicators warm | | 5 | E06-S04..S07, E07 | Ranked watchlist every morning | | 6 | E09, E19-S01..S02 | Macro context + Telegram working | | 7 | E08, E10-S01..S04 | News scored, AI layer live | | 8 | E11 | ★ Pre-market plan by 09:15 — the inflection point | | 9 | E10-S05, E13, E17-S01..S03 | Live signals with rationale, dashboard | | 10 | E14 | Risk engine complete, property-tested | | 11 | E15-S01..S07 | Order execution on paper | | 12 | E15-S08..S11, E16 | Position management, autonomy, approval | | 13 | E12-S01..S08 | Strategy registry + validation gauntlet | | 14 | E12-S09..S10, E20 | Shadow mode, observability | | 15 | E17-S04..S09, E18 | UI complete | | 16 | E21, E22-S01..S04 | Compliance, tax, chaos tests | | 17 | E22-S05..S08, E23 | Hardening, deployment | | 18 | Paper trading | Multi-week validation across regimes | | 19+ | PRE_LIVE_CHECKLIST | Approval mode, small live size | # WORKING NOTES Start every 🔴 story by writing the test that proves the invariant. Two real bugs shipped past a clean code read in Phase 0; both took under a minute to find by *executing* the claim. Code review catches intent; only execution catches behaviour. Never merge a 🔴 story at the end of a session. Sleep on it, re-read the diff in the morning. Phase 3 (Sprint 8) is the inflection point. From that week the system pays for itself as a research assistant whether or not execution is ever automated. If the schedule slips, protect this milestone over everything after it. The riskiest sequencing mistake would be building E12-S11/S12 (AI strategy generation) before E12-S05..S08 (the gauntlet). That is building the dangerous half of the feature first. *Living document. Update story status as work completes; add stories as discovery reveals them. Estimates are guesses until the first sprint calibrates them.*</t>
  </si>
  <si>
    <t>CROSS-CUTTING BLOCKERS</t>
  </si>
  <si>
    <t>These gate multiple epics and are not code. Resolve first.</t>
  </si>
  <si>
    <t>ID</t>
  </si>
  <si>
    <t>Blocker</t>
  </si>
  <si>
    <t>Blocks</t>
  </si>
  <si>
    <t>Action Required</t>
  </si>
  <si>
    <t>Resolution Notes</t>
  </si>
  <si>
    <t>B1</t>
  </si>
  <si>
    <t>Algo-ID attachment mechanic unconfirmed</t>
  </si>
  <si>
    <t>E02-S04, E21-S01</t>
  </si>
  <si>
    <t>Ask Zerodha: tag field or broker-injected?</t>
  </si>
  <si>
    <t>B2</t>
  </si>
  <si>
    <t>pykiteconnect lacks market_protection</t>
  </si>
  <si>
    <t>E02-S04, E15-S01</t>
  </si>
  <si>
    <t>Install from git main, or wait for release</t>
  </si>
  <si>
    <t>B3</t>
  </si>
  <si>
    <t>NSE holiday list incomplete</t>
  </si>
  <si>
    <t>E04-S07, all scheduling</t>
  </si>
  <si>
    <t>Transcribe the circular</t>
  </si>
  <si>
    <t>B4</t>
  </si>
  <si>
    <t>Historical data pricing unconfirmed</t>
  </si>
  <si>
    <t>E03-S03 budget</t>
  </si>
  <si>
    <t>Ask Zerodha</t>
  </si>
  <si>
    <t>B5</t>
  </si>
  <si>
    <t>Daily login mechanism untested</t>
  </si>
  <si>
    <t>Prototype the phone→callback flow</t>
  </si>
  <si>
    <t>B6</t>
  </si>
  <si>
    <t>Static IP not procured</t>
  </si>
  <si>
    <t>E23-S02, all live trading</t>
  </si>
  <si>
    <t>Select provider, procure</t>
  </si>
  <si>
    <t>SUGGESTED SPRINT SEQUENCE</t>
  </si>
  <si>
    <t>Two-week sprints, solo. Each ends with something demonstrable.</t>
  </si>
  <si>
    <t>Focus</t>
  </si>
  <si>
    <t>Key Deliverable</t>
  </si>
  <si>
    <t>End Date</t>
  </si>
  <si>
    <t>E01 + B1–B6 resolution</t>
  </si>
  <si>
    <t>Schema live, blockers answered</t>
  </si>
  <si>
    <t>E03 + E04</t>
  </si>
  <si>
    <t>Historical data flowing, hazard lists daily</t>
  </si>
  <si>
    <t>E02-S01..S03, E05-S01..S05</t>
  </si>
  <si>
    <t>Live ticks arriving and cleaned</t>
  </si>
  <si>
    <t>E05-S06..S08, E06-S01..S03</t>
  </si>
  <si>
    <t>Bars building, indicators warm</t>
  </si>
  <si>
    <t>E06-S04..S07, E07</t>
  </si>
  <si>
    <t>Ranked watchlist every morning</t>
  </si>
  <si>
    <t>E09, E19-S01..S02</t>
  </si>
  <si>
    <t>Macro context + Telegram working</t>
  </si>
  <si>
    <t>E08, E10-S01..S04</t>
  </si>
  <si>
    <t>News scored, AI layer live</t>
  </si>
  <si>
    <t>Pre-market plan by 09:15 — the inflection point</t>
  </si>
  <si>
    <t>E10-S05, E13, E17-S01..S03</t>
  </si>
  <si>
    <t>Live signals with rationale, dashboard</t>
  </si>
  <si>
    <t>10</t>
  </si>
  <si>
    <t>Risk engine complete, property-tested</t>
  </si>
  <si>
    <t>11</t>
  </si>
  <si>
    <t>E15-S01..S07</t>
  </si>
  <si>
    <t>Order execution on paper</t>
  </si>
  <si>
    <t>12</t>
  </si>
  <si>
    <t>E15-S08..S11, E16</t>
  </si>
  <si>
    <t>Position management, autonomy, approval</t>
  </si>
  <si>
    <t>13</t>
  </si>
  <si>
    <t>E12-S01..S08</t>
  </si>
  <si>
    <t>Strategy registry + validation gauntlet</t>
  </si>
  <si>
    <t>14</t>
  </si>
  <si>
    <t>E12-S09..S10, E20</t>
  </si>
  <si>
    <t>Shadow mode, observability</t>
  </si>
  <si>
    <t>15</t>
  </si>
  <si>
    <t>E17-S04..S09, E18</t>
  </si>
  <si>
    <t>UI complete</t>
  </si>
  <si>
    <t>16</t>
  </si>
  <si>
    <t>E21, E22-S01..S04</t>
  </si>
  <si>
    <t>Compliance, tax, chaos tests</t>
  </si>
  <si>
    <t>17</t>
  </si>
  <si>
    <t>E22-S05..S08, E23</t>
  </si>
  <si>
    <t>Hardening, deployment</t>
  </si>
  <si>
    <t>18</t>
  </si>
  <si>
    <t>Paper trading</t>
  </si>
  <si>
    <t>Multi-week validation across regimes</t>
  </si>
  <si>
    <t>19+</t>
  </si>
  <si>
    <t>PRE_LIVE_CHECKLIST</t>
  </si>
  <si>
    <t>Approval mode, small live size</t>
  </si>
  <si>
    <t>REFERENCE &amp; LEGEND</t>
  </si>
  <si>
    <t>Definitions for every classifier used in the Backlog sheet.</t>
  </si>
  <si>
    <t>STATUS VALUES (dropdown in Backlog column E)</t>
  </si>
  <si>
    <t>Meaning</t>
  </si>
  <si>
    <t>Captured, not yet triaged.</t>
  </si>
  <si>
    <t>Under review for business value / scope.</t>
  </si>
  <si>
    <t>Signed off; cleared to be scheduled.</t>
  </si>
  <si>
    <t>Scheduled into the current sprint; not yet started.</t>
  </si>
  <si>
    <t>Being built.</t>
  </si>
  <si>
    <t>Code complete, awaiting QA.</t>
  </si>
  <si>
    <t>Under test.</t>
  </si>
  <si>
    <t>Passed test; ready to close.</t>
  </si>
  <si>
    <t>Failed test; returns to development.</t>
  </si>
  <si>
    <t>Done and accepted. Definition of Done met.</t>
  </si>
  <si>
    <t>Cancelled; will not be built.</t>
  </si>
  <si>
    <t>Deferred out of the current plan.</t>
  </si>
  <si>
    <t>Cannot proceed — see Blocked By / Blockers sheet.</t>
  </si>
  <si>
    <t>Paused by choice rather than by a blocker.</t>
  </si>
  <si>
    <t>PRIORITY</t>
  </si>
  <si>
    <t>Blocker — cannot ship without it</t>
  </si>
  <si>
    <t>MVP scope</t>
  </si>
  <si>
    <t>Post-MVP</t>
  </si>
  <si>
    <t>Nice-to-have</t>
  </si>
  <si>
    <t>RISK</t>
  </si>
  <si>
    <t>🔴 A defect can lose money or breach regulation. Needs property-based tests, 100% line coverage, and a second read before merge. Never merge at the end of a session.</t>
  </si>
  <si>
    <t>🟠 A defect produces wrong results but does not directly risk capital.</t>
  </si>
  <si>
    <t>🟢 Ordinary care applies.</t>
  </si>
  <si>
    <t>TYPE</t>
  </si>
  <si>
    <t>Feature work</t>
  </si>
  <si>
    <t>Infrastructure / plumbing</t>
  </si>
  <si>
    <t>Security</t>
  </si>
  <si>
    <t>Testing</t>
  </si>
  <si>
    <t>Operations / deployment</t>
  </si>
  <si>
    <t>Documentation</t>
  </si>
  <si>
    <t>DEFINITION OF DONE (every story)</t>
  </si>
  <si>
    <t>☐  Code written and passing `make check` (lint + types + tests)</t>
  </si>
  <si>
    <t>☐  Tests written that FAIL if the story's claim is false — not tests that assert the code shape</t>
  </si>
  <si>
    <t>☐  Safety-critical stories: property-based test covering the invariant</t>
  </si>
  <si>
    <t>☐  Docstrings explain why, not what</t>
  </si>
  <si>
    <t>☐  No secret, no float in a money path, no naive datetime</t>
  </si>
  <si>
    <t>☐  `make doctor` still exits 0</t>
  </si>
  <si>
    <t>☐  Relevant design document updated if behaviour diverged from spec</t>
  </si>
  <si>
    <t>NOTE ON SOURCE DATA</t>
  </si>
  <si>
    <t>The epic map in BACKLOG.md lists E21 as 7 stories, but the document actually defines 8 (E21-S01 … E21-S08). This workbook uses the actual 8. Totals here are therefore 189 stories / ~242 days, against the 188 / ~234 stated in the source.</t>
  </si>
  <si>
    <t>I would prefer "wait for release".</t>
  </si>
  <si>
    <t>Research on this topic, and arrive at a relevant answer</t>
  </si>
  <si>
    <t>Explain on the procedure for this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</si>
</sst>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yyyy\-mm\-dd"/>
  </numFmts>
  <fonts count="29" x14ac:knownFonts="1">
    <font>
      <sz val="11"/>
      <color theme="1"/>
      <name val="Calibri"/>
      <family val="2"/>
      <charset val="1"/>
    </font>
    <font>
      <b/>
      <sz val="18"/>
      <color rgb="FF2B3A55"/>
      <name val="Arial"/>
      <charset val="1"/>
    </font>
    <font>
      <i/>
      <sz val="9"/>
      <color rgb="FF666666"/>
      <name val="Arial"/>
      <charset val="1"/>
    </font>
    <font>
      <b/>
      <sz val="11"/>
      <color rgb="FF2B3A55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3C4043"/>
      <name val="Arial"/>
      <charset val="1"/>
    </font>
    <font>
      <b/>
      <sz val="10"/>
      <color rgb="FF7F6000"/>
      <name val="Arial"/>
      <charset val="1"/>
    </font>
    <font>
      <b/>
      <sz val="10"/>
      <color rgb="FF783F04"/>
      <name val="Arial"/>
      <charset val="1"/>
    </font>
    <font>
      <b/>
      <sz val="10"/>
      <color rgb="FF1155CC"/>
      <name val="Arial"/>
      <charset val="1"/>
    </font>
    <font>
      <b/>
      <sz val="10"/>
      <color rgb="FF3D1F87"/>
      <name val="Arial"/>
      <charset val="1"/>
    </font>
    <font>
      <b/>
      <sz val="10"/>
      <color rgb="FF0C5460"/>
      <name val="Arial"/>
      <charset val="1"/>
    </font>
    <font>
      <b/>
      <sz val="10"/>
      <color rgb="FF8A5300"/>
      <name val="Arial"/>
      <charset val="1"/>
    </font>
    <font>
      <b/>
      <sz val="10"/>
      <color rgb="FF274E13"/>
      <name val="Arial"/>
      <charset val="1"/>
    </font>
    <font>
      <b/>
      <sz val="10"/>
      <color rgb="FF990000"/>
      <name val="Arial"/>
      <charset val="1"/>
    </font>
    <font>
      <b/>
      <sz val="10"/>
      <color rgb="FF0B5345"/>
      <name val="Arial"/>
      <charset val="1"/>
    </font>
    <font>
      <b/>
      <sz val="10"/>
      <color rgb="FF999999"/>
      <name val="Arial"/>
      <charset val="1"/>
    </font>
    <font>
      <b/>
      <sz val="10"/>
      <color rgb="FF741B47"/>
      <name val="Arial"/>
      <charset val="1"/>
    </font>
    <font>
      <b/>
      <sz val="10"/>
      <color rgb="FF994C00"/>
      <name val="Arial"/>
      <charset val="1"/>
    </font>
    <font>
      <b/>
      <sz val="10"/>
      <color rgb="FF666666"/>
      <name val="Arial"/>
      <charset val="1"/>
    </font>
    <font>
      <b/>
      <sz val="10"/>
      <color rgb="FF8A3A24"/>
      <name val="Arial"/>
      <charset val="1"/>
    </font>
    <font>
      <b/>
      <sz val="10"/>
      <color rgb="FF7A5B0F"/>
      <name val="Arial"/>
      <charset val="1"/>
    </font>
    <font>
      <b/>
      <sz val="10"/>
      <color rgb="FF1F6B3F"/>
      <name val="Arial"/>
      <charset val="1"/>
    </font>
    <font>
      <b/>
      <sz val="14"/>
      <color rgb="FF2B3A55"/>
      <name val="Arial"/>
      <charset val="1"/>
    </font>
    <font>
      <sz val="10"/>
      <color rgb="FF1F6B3F"/>
      <name val="Arial"/>
      <charset val="1"/>
    </font>
    <font>
      <sz val="10"/>
      <color rgb="FF7A5B0F"/>
      <name val="Arial"/>
      <charset val="1"/>
    </font>
    <font>
      <sz val="10"/>
      <color rgb="FF8A3A24"/>
      <name val="Arial"/>
      <charset val="1"/>
    </font>
    <font>
      <i/>
      <sz val="9"/>
      <color rgb="FF8A3A24"/>
      <name val="Arial"/>
      <charset val="1"/>
    </font>
  </fonts>
  <fills count="21">
    <fill>
      <patternFill patternType="none"/>
    </fill>
    <fill>
      <patternFill patternType="gray125"/>
    </fill>
    <fill>
      <patternFill patternType="solid">
        <fgColor rgb="FF2B3A55"/>
        <bgColor rgb="FF3C4043"/>
      </patternFill>
    </fill>
    <fill>
      <patternFill patternType="solid">
        <fgColor rgb="FFE8EAED"/>
        <bgColor rgb="FFEFEFEF"/>
      </patternFill>
    </fill>
    <fill>
      <patternFill patternType="solid">
        <fgColor rgb="FFFFF2CC"/>
        <bgColor rgb="FFFEF6E0"/>
      </patternFill>
    </fill>
    <fill>
      <patternFill patternType="solid">
        <fgColor rgb="FFFCE5CD"/>
        <bgColor rgb="FFFFE0B2"/>
      </patternFill>
    </fill>
    <fill>
      <patternFill patternType="solid">
        <fgColor rgb="FFCFE2F3"/>
        <bgColor rgb="FFD0E0E3"/>
      </patternFill>
    </fill>
    <fill>
      <patternFill patternType="solid">
        <fgColor rgb="FFD9D2E9"/>
        <bgColor rgb="FFD0D5DB"/>
      </patternFill>
    </fill>
    <fill>
      <patternFill patternType="solid">
        <fgColor rgb="FFD0E0E3"/>
        <bgColor rgb="FFCFE2F3"/>
      </patternFill>
    </fill>
    <fill>
      <patternFill patternType="solid">
        <fgColor rgb="FFFFE0B2"/>
        <bgColor rgb="FFFCE5CD"/>
      </patternFill>
    </fill>
    <fill>
      <patternFill patternType="solid">
        <fgColor rgb="FFD9EAD3"/>
        <bgColor rgb="FFD0E0E3"/>
      </patternFill>
    </fill>
    <fill>
      <patternFill patternType="solid">
        <fgColor rgb="FFF4CCCC"/>
        <bgColor rgb="FFEAD1DC"/>
      </patternFill>
    </fill>
    <fill>
      <patternFill patternType="solid">
        <fgColor rgb="FFB7E1CD"/>
        <bgColor rgb="FFD0E0E3"/>
      </patternFill>
    </fill>
    <fill>
      <patternFill patternType="solid">
        <fgColor rgb="FFEFEFEF"/>
        <bgColor rgb="FFE8EAED"/>
      </patternFill>
    </fill>
    <fill>
      <patternFill patternType="solid">
        <fgColor rgb="FFEAD1DC"/>
        <bgColor rgb="FFF4CCCC"/>
      </patternFill>
    </fill>
    <fill>
      <patternFill patternType="solid">
        <fgColor rgb="FFF9CB9C"/>
        <bgColor rgb="FFF4CCCC"/>
      </patternFill>
    </fill>
    <fill>
      <patternFill patternType="solid">
        <fgColor rgb="FFDDDDDD"/>
        <bgColor rgb="FFD0E0E3"/>
      </patternFill>
    </fill>
    <fill>
      <patternFill patternType="solid">
        <fgColor rgb="FFFDEEEA"/>
        <bgColor rgb="FFFEF6E0"/>
      </patternFill>
    </fill>
    <fill>
      <patternFill patternType="solid">
        <fgColor rgb="FFFEF6E0"/>
        <bgColor rgb="FFFFFDE7"/>
      </patternFill>
    </fill>
    <fill>
      <patternFill patternType="solid">
        <fgColor rgb="FFEAF6EE"/>
        <bgColor rgb="FFEFEFEF"/>
      </patternFill>
    </fill>
    <fill>
      <patternFill patternType="solid">
        <fgColor rgb="FFFFFDE7"/>
        <bgColor rgb="FFFEF6E0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8" fillId="0" borderId="0" xfId="0" applyFont="1" applyAlignment="1">
      <alignment vertical="top" wrapText="1"/>
    </xf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7" fillId="3" borderId="1" xfId="0" applyFont="1" applyFill="1" applyBorder="1"/>
    <xf numFmtId="165" fontId="5" fillId="0" borderId="1" xfId="0" applyNumberFormat="1" applyFont="1" applyBorder="1" applyAlignment="1">
      <alignment horizontal="center"/>
    </xf>
    <xf numFmtId="0" fontId="8" fillId="4" borderId="1" xfId="0" applyFont="1" applyFill="1" applyBorder="1"/>
    <xf numFmtId="0" fontId="9" fillId="5" borderId="1" xfId="0" applyFont="1" applyFill="1" applyBorder="1"/>
    <xf numFmtId="0" fontId="10" fillId="6" borderId="1" xfId="0" applyFont="1" applyFill="1" applyBorder="1"/>
    <xf numFmtId="0" fontId="11" fillId="7" borderId="1" xfId="0" applyFont="1" applyFill="1" applyBorder="1"/>
    <xf numFmtId="0" fontId="12" fillId="8" borderId="1" xfId="0" applyFont="1" applyFill="1" applyBorder="1"/>
    <xf numFmtId="0" fontId="13" fillId="9" borderId="1" xfId="0" applyFont="1" applyFill="1" applyBorder="1"/>
    <xf numFmtId="0" fontId="14" fillId="10" borderId="1" xfId="0" applyFont="1" applyFill="1" applyBorder="1"/>
    <xf numFmtId="0" fontId="15" fillId="11" borderId="1" xfId="0" applyFont="1" applyFill="1" applyBorder="1"/>
    <xf numFmtId="0" fontId="16" fillId="12" borderId="1" xfId="0" applyFont="1" applyFill="1" applyBorder="1"/>
    <xf numFmtId="0" fontId="17" fillId="13" borderId="1" xfId="0" applyFont="1" applyFill="1" applyBorder="1"/>
    <xf numFmtId="0" fontId="18" fillId="14" borderId="1" xfId="0" applyFont="1" applyFill="1" applyBorder="1"/>
    <xf numFmtId="0" fontId="19" fillId="15" borderId="1" xfId="0" applyFont="1" applyFill="1" applyBorder="1"/>
    <xf numFmtId="0" fontId="0" fillId="0" borderId="1" xfId="0" applyBorder="1"/>
    <xf numFmtId="1" fontId="6" fillId="0" borderId="1" xfId="0" applyNumberFormat="1" applyFont="1" applyBorder="1" applyAlignment="1">
      <alignment horizontal="center"/>
    </xf>
    <xf numFmtId="9" fontId="6" fillId="0" borderId="1" xfId="0" applyNumberFormat="1" applyFont="1" applyBorder="1" applyAlignment="1">
      <alignment horizontal="center"/>
    </xf>
    <xf numFmtId="0" fontId="20" fillId="16" borderId="1" xfId="0" applyFont="1" applyFill="1" applyBorder="1"/>
    <xf numFmtId="1" fontId="5" fillId="0" borderId="1" xfId="0" applyNumberFormat="1" applyFont="1" applyBorder="1" applyAlignment="1">
      <alignment horizontal="center"/>
    </xf>
    <xf numFmtId="0" fontId="20" fillId="13" borderId="1" xfId="0" applyFont="1" applyFill="1" applyBorder="1"/>
    <xf numFmtId="0" fontId="21" fillId="17" borderId="1" xfId="0" applyFont="1" applyFill="1" applyBorder="1"/>
    <xf numFmtId="0" fontId="22" fillId="18" borderId="1" xfId="0" applyFont="1" applyFill="1" applyBorder="1"/>
    <xf numFmtId="0" fontId="23" fillId="19" borderId="1" xfId="0" applyFont="1" applyFill="1" applyBorder="1"/>
    <xf numFmtId="0" fontId="24" fillId="0" borderId="0" xfId="0" applyFont="1"/>
    <xf numFmtId="0" fontId="4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15" fillId="11" borderId="1" xfId="0" applyFont="1" applyFill="1" applyBorder="1" applyAlignment="1">
      <alignment horizontal="center" vertical="top"/>
    </xf>
    <xf numFmtId="0" fontId="25" fillId="19" borderId="1" xfId="0" applyFont="1" applyFill="1" applyBorder="1" applyAlignment="1">
      <alignment vertical="top"/>
    </xf>
    <xf numFmtId="164" fontId="5" fillId="0" borderId="1" xfId="0" applyNumberFormat="1" applyFont="1" applyBorder="1" applyAlignment="1">
      <alignment horizontal="center" vertical="top"/>
    </xf>
    <xf numFmtId="0" fontId="5" fillId="20" borderId="1" xfId="0" applyFont="1" applyFill="1" applyBorder="1" applyAlignment="1">
      <alignment vertical="top"/>
    </xf>
    <xf numFmtId="0" fontId="5" fillId="20" borderId="1" xfId="0" applyFont="1" applyFill="1" applyBorder="1" applyAlignment="1">
      <alignment horizontal="center" vertical="top"/>
    </xf>
    <xf numFmtId="166" fontId="5" fillId="20" borderId="1" xfId="0" applyNumberFormat="1" applyFont="1" applyFill="1" applyBorder="1" applyAlignment="1">
      <alignment vertical="top"/>
    </xf>
    <xf numFmtId="9" fontId="5" fillId="20" borderId="1" xfId="0" applyNumberFormat="1" applyFont="1" applyFill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5" fillId="20" borderId="1" xfId="0" applyFont="1" applyFill="1" applyBorder="1" applyAlignment="1">
      <alignment vertical="top" wrapText="1"/>
    </xf>
    <xf numFmtId="0" fontId="26" fillId="18" borderId="1" xfId="0" applyFont="1" applyFill="1" applyBorder="1" applyAlignment="1">
      <alignment vertical="top"/>
    </xf>
    <xf numFmtId="0" fontId="27" fillId="17" borderId="1" xfId="0" applyFont="1" applyFill="1" applyBorder="1" applyAlignment="1">
      <alignment vertical="top"/>
    </xf>
    <xf numFmtId="0" fontId="14" fillId="10" borderId="1" xfId="0" applyFont="1" applyFill="1" applyBorder="1" applyAlignment="1">
      <alignment horizontal="center" vertical="top"/>
    </xf>
    <xf numFmtId="0" fontId="8" fillId="4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22" fillId="18" borderId="1" xfId="0" applyFont="1" applyFill="1" applyBorder="1" applyAlignment="1">
      <alignment horizontal="center" vertical="top"/>
    </xf>
    <xf numFmtId="0" fontId="22" fillId="18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44">
    <dxf>
      <font>
        <b/>
        <sz val="10"/>
        <color rgb="FF666666"/>
        <name val="Arial"/>
        <charset val="1"/>
      </font>
      <fill>
        <patternFill>
          <bgColor rgb="FFDDDDDD"/>
        </patternFill>
      </fill>
    </dxf>
    <dxf>
      <font>
        <b/>
        <sz val="10"/>
        <color rgb="FF994C00"/>
        <name val="Arial"/>
        <charset val="1"/>
      </font>
      <fill>
        <patternFill>
          <bgColor rgb="FFF9CB9C"/>
        </patternFill>
      </fill>
    </dxf>
    <dxf>
      <font>
        <b/>
        <sz val="10"/>
        <color rgb="FF741B47"/>
        <name val="Arial"/>
        <charset val="1"/>
      </font>
      <fill>
        <patternFill>
          <bgColor rgb="FFEAD1DC"/>
        </patternFill>
      </fill>
    </dxf>
    <dxf>
      <font>
        <b/>
        <sz val="10"/>
        <color rgb="FF999999"/>
        <name val="Arial"/>
        <charset val="1"/>
      </font>
      <fill>
        <patternFill>
          <bgColor rgb="FFEFEFEF"/>
        </patternFill>
      </fill>
    </dxf>
    <dxf>
      <font>
        <b/>
        <sz val="10"/>
        <color rgb="FF0B5345"/>
        <name val="Arial"/>
        <charset val="1"/>
      </font>
      <fill>
        <patternFill>
          <bgColor rgb="FFB7E1CD"/>
        </patternFill>
      </fill>
    </dxf>
    <dxf>
      <font>
        <b/>
        <sz val="10"/>
        <color rgb="FF990000"/>
        <name val="Arial"/>
        <charset val="1"/>
      </font>
      <fill>
        <patternFill>
          <bgColor rgb="FFF4CCCC"/>
        </patternFill>
      </fill>
    </dxf>
    <dxf>
      <font>
        <b/>
        <sz val="10"/>
        <color rgb="FF274E13"/>
        <name val="Arial"/>
        <charset val="1"/>
      </font>
      <fill>
        <patternFill>
          <bgColor rgb="FFD9EAD3"/>
        </patternFill>
      </fill>
    </dxf>
    <dxf>
      <font>
        <b/>
        <sz val="10"/>
        <color rgb="FF8A5300"/>
        <name val="Arial"/>
        <charset val="1"/>
      </font>
      <fill>
        <patternFill>
          <bgColor rgb="FFFFE0B2"/>
        </patternFill>
      </fill>
    </dxf>
    <dxf>
      <font>
        <b/>
        <sz val="10"/>
        <color rgb="FF0C5460"/>
        <name val="Arial"/>
        <charset val="1"/>
      </font>
      <fill>
        <patternFill>
          <bgColor rgb="FFD0E0E3"/>
        </patternFill>
      </fill>
    </dxf>
    <dxf>
      <font>
        <b/>
        <sz val="10"/>
        <color rgb="FF3D1F87"/>
        <name val="Arial"/>
        <charset val="1"/>
      </font>
      <fill>
        <patternFill>
          <bgColor rgb="FFD9D2E9"/>
        </patternFill>
      </fill>
    </dxf>
    <dxf>
      <font>
        <b/>
        <sz val="10"/>
        <color rgb="FF1155CC"/>
        <name val="Arial"/>
        <charset val="1"/>
      </font>
      <fill>
        <patternFill>
          <bgColor rgb="FFCFE2F3"/>
        </patternFill>
      </fill>
    </dxf>
    <dxf>
      <font>
        <b/>
        <sz val="10"/>
        <color rgb="FF783F04"/>
        <name val="Arial"/>
        <charset val="1"/>
      </font>
      <fill>
        <patternFill>
          <bgColor rgb="FFFCE5CD"/>
        </patternFill>
      </fill>
    </dxf>
    <dxf>
      <font>
        <b/>
        <sz val="10"/>
        <color rgb="FF7F6000"/>
        <name val="Arial"/>
        <charset val="1"/>
      </font>
      <fill>
        <patternFill>
          <bgColor rgb="FFFFF2CC"/>
        </patternFill>
      </fill>
    </dxf>
    <dxf>
      <font>
        <b/>
        <sz val="10"/>
        <color rgb="FF3C4043"/>
        <name val="Arial"/>
        <charset val="1"/>
      </font>
      <fill>
        <patternFill>
          <bgColor rgb="FFE8EAED"/>
        </patternFill>
      </fill>
    </dxf>
    <dxf>
      <font>
        <b/>
        <sz val="10"/>
        <color rgb="FF666666"/>
        <name val="Arial"/>
        <charset val="1"/>
      </font>
      <fill>
        <patternFill>
          <bgColor rgb="FFDDDDDD"/>
        </patternFill>
      </fill>
    </dxf>
    <dxf>
      <font>
        <b/>
        <sz val="10"/>
        <color rgb="FF994C00"/>
        <name val="Arial"/>
        <charset val="1"/>
      </font>
      <fill>
        <patternFill>
          <bgColor rgb="FFF9CB9C"/>
        </patternFill>
      </fill>
    </dxf>
    <dxf>
      <font>
        <b/>
        <sz val="10"/>
        <color rgb="FF741B47"/>
        <name val="Arial"/>
        <charset val="1"/>
      </font>
      <fill>
        <patternFill>
          <bgColor rgb="FFEAD1DC"/>
        </patternFill>
      </fill>
    </dxf>
    <dxf>
      <font>
        <b/>
        <sz val="10"/>
        <color rgb="FF999999"/>
        <name val="Arial"/>
        <charset val="1"/>
      </font>
      <fill>
        <patternFill>
          <bgColor rgb="FFEFEFEF"/>
        </patternFill>
      </fill>
    </dxf>
    <dxf>
      <font>
        <b/>
        <sz val="10"/>
        <color rgb="FF0B5345"/>
        <name val="Arial"/>
        <charset val="1"/>
      </font>
      <fill>
        <patternFill>
          <bgColor rgb="FFB7E1CD"/>
        </patternFill>
      </fill>
    </dxf>
    <dxf>
      <font>
        <b/>
        <sz val="10"/>
        <color rgb="FF990000"/>
        <name val="Arial"/>
        <charset val="1"/>
      </font>
      <fill>
        <patternFill>
          <bgColor rgb="FFF4CCCC"/>
        </patternFill>
      </fill>
    </dxf>
    <dxf>
      <font>
        <b/>
        <sz val="10"/>
        <color rgb="FF274E13"/>
        <name val="Arial"/>
        <charset val="1"/>
      </font>
      <fill>
        <patternFill>
          <bgColor rgb="FFD9EAD3"/>
        </patternFill>
      </fill>
    </dxf>
    <dxf>
      <font>
        <b/>
        <sz val="10"/>
        <color rgb="FF8A5300"/>
        <name val="Arial"/>
        <charset val="1"/>
      </font>
      <fill>
        <patternFill>
          <bgColor rgb="FFFFE0B2"/>
        </patternFill>
      </fill>
    </dxf>
    <dxf>
      <font>
        <b/>
        <sz val="10"/>
        <color rgb="FF0C5460"/>
        <name val="Arial"/>
        <charset val="1"/>
      </font>
      <fill>
        <patternFill>
          <bgColor rgb="FFD0E0E3"/>
        </patternFill>
      </fill>
    </dxf>
    <dxf>
      <font>
        <b/>
        <sz val="10"/>
        <color rgb="FF3D1F87"/>
        <name val="Arial"/>
        <charset val="1"/>
      </font>
      <fill>
        <patternFill>
          <bgColor rgb="FFD9D2E9"/>
        </patternFill>
      </fill>
    </dxf>
    <dxf>
      <font>
        <b/>
        <sz val="10"/>
        <color rgb="FF1155CC"/>
        <name val="Arial"/>
        <charset val="1"/>
      </font>
      <fill>
        <patternFill>
          <bgColor rgb="FFCFE2F3"/>
        </patternFill>
      </fill>
    </dxf>
    <dxf>
      <font>
        <b/>
        <sz val="10"/>
        <color rgb="FF783F04"/>
        <name val="Arial"/>
        <charset val="1"/>
      </font>
      <fill>
        <patternFill>
          <bgColor rgb="FFFCE5CD"/>
        </patternFill>
      </fill>
    </dxf>
    <dxf>
      <font>
        <b/>
        <sz val="10"/>
        <color rgb="FF7F6000"/>
        <name val="Arial"/>
        <charset val="1"/>
      </font>
      <fill>
        <patternFill>
          <bgColor rgb="FFFFF2CC"/>
        </patternFill>
      </fill>
    </dxf>
    <dxf>
      <font>
        <b/>
        <sz val="10"/>
        <color rgb="FF3C4043"/>
        <name val="Arial"/>
        <charset val="1"/>
      </font>
      <fill>
        <patternFill>
          <bgColor rgb="FFE8EAED"/>
        </patternFill>
      </fill>
    </dxf>
    <dxf>
      <font>
        <b/>
        <sz val="10"/>
        <color rgb="FF666666"/>
        <name val="Arial"/>
        <charset val="1"/>
      </font>
      <fill>
        <patternFill>
          <bgColor rgb="FFDDDDDD"/>
        </patternFill>
      </fill>
    </dxf>
    <dxf>
      <font>
        <b/>
        <sz val="10"/>
        <color rgb="FF994C00"/>
        <name val="Arial"/>
        <charset val="1"/>
      </font>
      <fill>
        <patternFill>
          <bgColor rgb="FFF9CB9C"/>
        </patternFill>
      </fill>
    </dxf>
    <dxf>
      <font>
        <b/>
        <sz val="10"/>
        <color rgb="FF741B47"/>
        <name val="Arial"/>
        <charset val="1"/>
      </font>
      <fill>
        <patternFill>
          <bgColor rgb="FFEAD1DC"/>
        </patternFill>
      </fill>
    </dxf>
    <dxf>
      <font>
        <b/>
        <sz val="10"/>
        <color rgb="FF999999"/>
        <name val="Arial"/>
        <charset val="1"/>
      </font>
      <fill>
        <patternFill>
          <bgColor rgb="FFEFEFEF"/>
        </patternFill>
      </fill>
    </dxf>
    <dxf>
      <font>
        <b/>
        <sz val="10"/>
        <color rgb="FF0B5345"/>
        <name val="Arial"/>
        <charset val="1"/>
      </font>
      <fill>
        <patternFill>
          <bgColor rgb="FFB7E1CD"/>
        </patternFill>
      </fill>
    </dxf>
    <dxf>
      <font>
        <b/>
        <sz val="10"/>
        <color rgb="FF990000"/>
        <name val="Arial"/>
        <charset val="1"/>
      </font>
      <fill>
        <patternFill>
          <bgColor rgb="FFF4CCCC"/>
        </patternFill>
      </fill>
    </dxf>
    <dxf>
      <font>
        <b/>
        <sz val="10"/>
        <color rgb="FF274E13"/>
        <name val="Arial"/>
        <charset val="1"/>
      </font>
      <fill>
        <patternFill>
          <bgColor rgb="FFD9EAD3"/>
        </patternFill>
      </fill>
    </dxf>
    <dxf>
      <font>
        <b/>
        <sz val="10"/>
        <color rgb="FF8A5300"/>
        <name val="Arial"/>
        <charset val="1"/>
      </font>
      <fill>
        <patternFill>
          <bgColor rgb="FFFFE0B2"/>
        </patternFill>
      </fill>
    </dxf>
    <dxf>
      <font>
        <b/>
        <sz val="10"/>
        <color rgb="FF0C5460"/>
        <name val="Arial"/>
        <charset val="1"/>
      </font>
      <fill>
        <patternFill>
          <bgColor rgb="FFD0E0E3"/>
        </patternFill>
      </fill>
    </dxf>
    <dxf>
      <font>
        <b/>
        <sz val="10"/>
        <color rgb="FF3D1F87"/>
        <name val="Arial"/>
        <charset val="1"/>
      </font>
      <fill>
        <patternFill>
          <bgColor rgb="FFD9D2E9"/>
        </patternFill>
      </fill>
    </dxf>
    <dxf>
      <font>
        <b/>
        <sz val="10"/>
        <color rgb="FF1155CC"/>
        <name val="Arial"/>
        <charset val="1"/>
      </font>
      <fill>
        <patternFill>
          <bgColor rgb="FFCFE2F3"/>
        </patternFill>
      </fill>
    </dxf>
    <dxf>
      <font>
        <b/>
        <sz val="10"/>
        <color rgb="FF783F04"/>
        <name val="Arial"/>
        <charset val="1"/>
      </font>
      <fill>
        <patternFill>
          <bgColor rgb="FFFCE5CD"/>
        </patternFill>
      </fill>
    </dxf>
    <dxf>
      <font>
        <b/>
        <sz val="10"/>
        <color rgb="FF7F6000"/>
        <name val="Arial"/>
        <charset val="1"/>
      </font>
      <fill>
        <patternFill>
          <bgColor rgb="FFFFF2CC"/>
        </patternFill>
      </fill>
    </dxf>
    <dxf>
      <font>
        <b/>
        <sz val="10"/>
        <color rgb="FF3C4043"/>
        <name val="Arial"/>
        <charset val="1"/>
      </font>
      <fill>
        <patternFill>
          <bgColor rgb="FFE8EAED"/>
        </patternFill>
      </fill>
    </dxf>
    <dxf>
      <font>
        <sz val="10"/>
        <color rgb="FF9AA0A6"/>
        <name val="Arial"/>
        <charset val="1"/>
      </font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CE5CD"/>
      <rgbColor rgb="FFFF00FF"/>
      <rgbColor rgb="FF00FFFF"/>
      <rgbColor rgb="FF990000"/>
      <rgbColor rgb="FF1F6B3F"/>
      <rgbColor rgb="FF000080"/>
      <rgbColor rgb="FF7F6000"/>
      <rgbColor rgb="FF800080"/>
      <rgbColor rgb="FF0C5460"/>
      <rgbColor rgb="FFD0D5DB"/>
      <rgbColor rgb="FF7A5B0F"/>
      <rgbColor rgb="FF9AA0A6"/>
      <rgbColor rgb="FF783F04"/>
      <rgbColor rgb="FFFFFDE7"/>
      <rgbColor rgb="FFEAF6EE"/>
      <rgbColor rgb="FF741B47"/>
      <rgbColor rgb="FFDDDDDD"/>
      <rgbColor rgb="FF1155CC"/>
      <rgbColor rgb="FFD9D2E9"/>
      <rgbColor rgb="FF000080"/>
      <rgbColor rgb="FFFF00FF"/>
      <rgbColor rgb="FFFEF6E0"/>
      <rgbColor rgb="FF00FFFF"/>
      <rgbColor rgb="FF800080"/>
      <rgbColor rgb="FF8A5300"/>
      <rgbColor rgb="FF008080"/>
      <rgbColor rgb="FF0000FF"/>
      <rgbColor rgb="FF00CCFF"/>
      <rgbColor rgb="FFCFE2F3"/>
      <rgbColor rgb="FFD9EAD3"/>
      <rgbColor rgb="FFFFF2CC"/>
      <rgbColor rgb="FFB7E1CD"/>
      <rgbColor rgb="FFF4CCCC"/>
      <rgbColor rgb="FFEAD1DC"/>
      <rgbColor rgb="FFF9CB9C"/>
      <rgbColor rgb="FF3366FF"/>
      <rgbColor rgb="FFEFEFEF"/>
      <rgbColor rgb="FFD0E0E3"/>
      <rgbColor rgb="FFFFE0B2"/>
      <rgbColor rgb="FFE8EAED"/>
      <rgbColor rgb="FFFDEEEA"/>
      <rgbColor rgb="FF666666"/>
      <rgbColor rgb="FF999999"/>
      <rgbColor rgb="FF2B3A55"/>
      <rgbColor rgb="FF339966"/>
      <rgbColor rgb="FF0B5345"/>
      <rgbColor rgb="FF274E13"/>
      <rgbColor rgb="FF8A3A24"/>
      <rgbColor rgb="FF994C00"/>
      <rgbColor rgb="FF3D1F87"/>
      <rgbColor rgb="FF3C40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zoomScaleNormal="100" workbookViewId="0">
      <pane ySplit="3" topLeftCell="A30" activePane="bottomLeft" state="frozen"/>
      <selection pane="bottomLeft"/>
    </sheetView>
  </sheetViews>
  <sheetFormatPr defaultColWidth="8.6640625" defaultRowHeight="14.4" x14ac:dyDescent="0.3"/>
  <cols>
    <col min="1" max="1" width="24" customWidth="1"/>
    <col min="2" max="4" width="12" customWidth="1"/>
    <col min="5" max="5" width="3" customWidth="1"/>
    <col min="6" max="6" width="8" customWidth="1"/>
    <col min="7" max="7" width="27" customWidth="1"/>
    <col min="8" max="8" width="8" customWidth="1"/>
    <col min="9" max="9" width="9" customWidth="1"/>
    <col min="10" max="10" width="10" customWidth="1"/>
    <col min="11" max="12" width="9" customWidth="1"/>
  </cols>
  <sheetData>
    <row r="1" spans="1:12" ht="22.8" x14ac:dyDescent="0.4">
      <c r="A1" s="3" t="s">
        <v>0</v>
      </c>
    </row>
    <row r="2" spans="1:12" x14ac:dyDescent="0.3">
      <c r="A2" s="4" t="s">
        <v>1</v>
      </c>
    </row>
    <row r="4" spans="1:12" x14ac:dyDescent="0.3">
      <c r="A4" s="5" t="s">
        <v>2</v>
      </c>
      <c r="F4" s="5" t="s">
        <v>3</v>
      </c>
    </row>
    <row r="5" spans="1:12" ht="25.5" customHeight="1" x14ac:dyDescent="0.3">
      <c r="A5" s="6" t="s">
        <v>4</v>
      </c>
      <c r="B5" s="6" t="s">
        <v>5</v>
      </c>
      <c r="F5" s="6" t="s">
        <v>6</v>
      </c>
      <c r="G5" s="6" t="s">
        <v>7</v>
      </c>
      <c r="H5" s="6" t="s">
        <v>8</v>
      </c>
      <c r="I5" s="6" t="s">
        <v>9</v>
      </c>
      <c r="J5" s="6" t="s">
        <v>10</v>
      </c>
      <c r="K5" s="6" t="s">
        <v>11</v>
      </c>
      <c r="L5" s="6" t="s">
        <v>12</v>
      </c>
    </row>
    <row r="6" spans="1:12" x14ac:dyDescent="0.3">
      <c r="A6" s="7" t="s">
        <v>13</v>
      </c>
      <c r="B6" s="8">
        <f>COUNTA(Backlog!$A$5:$A$193)</f>
        <v>189</v>
      </c>
      <c r="F6" s="9" t="s">
        <v>14</v>
      </c>
      <c r="G6" s="7" t="s">
        <v>15</v>
      </c>
      <c r="H6" s="10" t="s">
        <v>16</v>
      </c>
      <c r="I6" s="10">
        <f>COUNTIF(Backlog!$B$5:$B$193,$F6)</f>
        <v>10</v>
      </c>
      <c r="J6" s="11">
        <f>SUMIF(Backlog!$B$5:$B$193,$F6,Backlog!$J$5:$J$193)</f>
        <v>0</v>
      </c>
      <c r="K6" s="10">
        <f>COUNTIFS(Backlog!$B$5:$B$193,$F6,Backlog!$E$5:$E$193,"Closed")</f>
        <v>10</v>
      </c>
      <c r="L6" s="12">
        <f t="shared" ref="L6:L29" si="0">IFERROR($K6/$I6,0)</f>
        <v>1</v>
      </c>
    </row>
    <row r="7" spans="1:12" x14ac:dyDescent="0.3">
      <c r="A7" s="7" t="s">
        <v>17</v>
      </c>
      <c r="B7" s="13">
        <f>SUM(Backlog!$J$5:$J$193)</f>
        <v>242</v>
      </c>
      <c r="F7" s="9" t="s">
        <v>18</v>
      </c>
      <c r="G7" s="7" t="s">
        <v>19</v>
      </c>
      <c r="H7" s="10" t="s">
        <v>20</v>
      </c>
      <c r="I7" s="10">
        <f>COUNTIF(Backlog!$B$5:$B$193,$F7)</f>
        <v>6</v>
      </c>
      <c r="J7" s="11">
        <f>SUMIF(Backlog!$B$5:$B$193,$F7,Backlog!$J$5:$J$193)</f>
        <v>8.5</v>
      </c>
      <c r="K7" s="10">
        <f>COUNTIFS(Backlog!$B$5:$B$193,$F7,Backlog!$E$5:$E$193,"Closed")</f>
        <v>0</v>
      </c>
      <c r="L7" s="12">
        <f t="shared" si="0"/>
        <v>0</v>
      </c>
    </row>
    <row r="8" spans="1:12" x14ac:dyDescent="0.3">
      <c r="A8" s="7" t="s">
        <v>11</v>
      </c>
      <c r="B8" s="8">
        <f>COUNTIF(Backlog!$E$5:$E$193,"Closed")</f>
        <v>10</v>
      </c>
      <c r="F8" s="9" t="s">
        <v>21</v>
      </c>
      <c r="G8" s="7" t="s">
        <v>22</v>
      </c>
      <c r="H8" s="10" t="s">
        <v>20</v>
      </c>
      <c r="I8" s="10">
        <f>COUNTIF(Backlog!$B$5:$B$193,$F8)</f>
        <v>9</v>
      </c>
      <c r="J8" s="11">
        <f>SUMIF(Backlog!$B$5:$B$193,$F8,Backlog!$J$5:$J$193)</f>
        <v>12</v>
      </c>
      <c r="K8" s="10">
        <f>COUNTIFS(Backlog!$B$5:$B$193,$F8,Backlog!$E$5:$E$193,"Closed")</f>
        <v>0</v>
      </c>
      <c r="L8" s="12">
        <f t="shared" si="0"/>
        <v>0</v>
      </c>
    </row>
    <row r="9" spans="1:12" x14ac:dyDescent="0.3">
      <c r="A9" s="7" t="s">
        <v>23</v>
      </c>
      <c r="B9" s="8">
        <f>SUMPRODUCT(COUNTIF(Backlog!$E$5:$E$193,{"Active","Development In-Progress","Development Completed","QA In-Progress","QA-Success"}))</f>
        <v>0</v>
      </c>
      <c r="F9" s="9" t="s">
        <v>24</v>
      </c>
      <c r="G9" s="7" t="s">
        <v>25</v>
      </c>
      <c r="H9" s="10" t="s">
        <v>20</v>
      </c>
      <c r="I9" s="10">
        <f>COUNTIF(Backlog!$B$5:$B$193,$F9)</f>
        <v>6</v>
      </c>
      <c r="J9" s="11">
        <f>SUMIF(Backlog!$B$5:$B$193,$F9,Backlog!$J$5:$J$193)</f>
        <v>8</v>
      </c>
      <c r="K9" s="10">
        <f>COUNTIFS(Backlog!$B$5:$B$193,$F9,Backlog!$E$5:$E$193,"Closed")</f>
        <v>0</v>
      </c>
      <c r="L9" s="12">
        <f t="shared" si="0"/>
        <v>0</v>
      </c>
    </row>
    <row r="10" spans="1:12" x14ac:dyDescent="0.3">
      <c r="A10" s="7" t="s">
        <v>26</v>
      </c>
      <c r="B10" s="8">
        <f>COUNTIF(Backlog!$E$5:$E$193,"New")</f>
        <v>179</v>
      </c>
      <c r="F10" s="9" t="s">
        <v>27</v>
      </c>
      <c r="G10" s="7" t="s">
        <v>28</v>
      </c>
      <c r="H10" s="10" t="s">
        <v>20</v>
      </c>
      <c r="I10" s="10">
        <f>COUNTIF(Backlog!$B$5:$B$193,$F10)</f>
        <v>7</v>
      </c>
      <c r="J10" s="11">
        <f>SUMIF(Backlog!$B$5:$B$193,$F10,Backlog!$J$5:$J$193)</f>
        <v>6</v>
      </c>
      <c r="K10" s="10">
        <f>COUNTIFS(Backlog!$B$5:$B$193,$F10,Backlog!$E$5:$E$193,"Closed")</f>
        <v>0</v>
      </c>
      <c r="L10" s="12">
        <f t="shared" si="0"/>
        <v>0</v>
      </c>
    </row>
    <row r="11" spans="1:12" x14ac:dyDescent="0.3">
      <c r="A11" s="7" t="s">
        <v>29</v>
      </c>
      <c r="B11" s="8">
        <f>COUNTIF(Backlog!$E$5:$E$193,"Blocked")+COUNTIF(Backlog!$E$5:$E$193,"On Hold")</f>
        <v>0</v>
      </c>
      <c r="F11" s="9" t="s">
        <v>30</v>
      </c>
      <c r="G11" s="7" t="s">
        <v>31</v>
      </c>
      <c r="H11" s="10" t="s">
        <v>20</v>
      </c>
      <c r="I11" s="10">
        <f>COUNTIF(Backlog!$B$5:$B$193,$F11)</f>
        <v>8</v>
      </c>
      <c r="J11" s="11">
        <f>SUMIF(Backlog!$B$5:$B$193,$F11,Backlog!$J$5:$J$193)</f>
        <v>8</v>
      </c>
      <c r="K11" s="10">
        <f>COUNTIFS(Backlog!$B$5:$B$193,$F11,Backlog!$E$5:$E$193,"Closed")</f>
        <v>0</v>
      </c>
      <c r="L11" s="12">
        <f t="shared" si="0"/>
        <v>0</v>
      </c>
    </row>
    <row r="12" spans="1:12" x14ac:dyDescent="0.3">
      <c r="A12" s="7" t="s">
        <v>32</v>
      </c>
      <c r="B12" s="14">
        <f>IFERROR(COUNTIF(Backlog!$E$5:$E$193,"Closed")/COUNTA(Backlog!$A$5:$A$193),0)</f>
        <v>5.2910052910052907E-2</v>
      </c>
      <c r="F12" s="9" t="s">
        <v>33</v>
      </c>
      <c r="G12" s="7" t="s">
        <v>34</v>
      </c>
      <c r="H12" s="10" t="s">
        <v>35</v>
      </c>
      <c r="I12" s="10">
        <f>COUNTIF(Backlog!$B$5:$B$193,$F12)</f>
        <v>8</v>
      </c>
      <c r="J12" s="11">
        <f>SUMIF(Backlog!$B$5:$B$193,$F12,Backlog!$J$5:$J$193)</f>
        <v>12</v>
      </c>
      <c r="K12" s="10">
        <f>COUNTIFS(Backlog!$B$5:$B$193,$F12,Backlog!$E$5:$E$193,"Closed")</f>
        <v>0</v>
      </c>
      <c r="L12" s="12">
        <f t="shared" si="0"/>
        <v>0</v>
      </c>
    </row>
    <row r="13" spans="1:12" x14ac:dyDescent="0.3">
      <c r="A13" s="7" t="s">
        <v>36</v>
      </c>
      <c r="B13" s="13">
        <f>SUMIF(Backlog!$E$5:$E$193,"Closed",Backlog!$J$5:$J$193)</f>
        <v>0</v>
      </c>
      <c r="F13" s="9" t="s">
        <v>37</v>
      </c>
      <c r="G13" s="7" t="s">
        <v>38</v>
      </c>
      <c r="H13" s="10" t="s">
        <v>35</v>
      </c>
      <c r="I13" s="10">
        <f>COUNTIF(Backlog!$B$5:$B$193,$F13)</f>
        <v>6</v>
      </c>
      <c r="J13" s="11">
        <f>SUMIF(Backlog!$B$5:$B$193,$F13,Backlog!$J$5:$J$193)</f>
        <v>7</v>
      </c>
      <c r="K13" s="10">
        <f>COUNTIFS(Backlog!$B$5:$B$193,$F13,Backlog!$E$5:$E$193,"Closed")</f>
        <v>0</v>
      </c>
      <c r="L13" s="12">
        <f t="shared" si="0"/>
        <v>0</v>
      </c>
    </row>
    <row r="14" spans="1:12" x14ac:dyDescent="0.3">
      <c r="A14" s="7" t="s">
        <v>39</v>
      </c>
      <c r="B14" s="13">
        <f>SUM(Backlog!$J$5:$J$193)-SUMIF(Backlog!$E$5:$E$193,"Closed",Backlog!$J$5:$J$193)</f>
        <v>242</v>
      </c>
      <c r="F14" s="9" t="s">
        <v>40</v>
      </c>
      <c r="G14" s="7" t="s">
        <v>41</v>
      </c>
      <c r="H14" s="10" t="s">
        <v>42</v>
      </c>
      <c r="I14" s="10">
        <f>COUNTIF(Backlog!$B$5:$B$193,$F14)</f>
        <v>9</v>
      </c>
      <c r="J14" s="11">
        <f>SUMIF(Backlog!$B$5:$B$193,$F14,Backlog!$J$5:$J$193)</f>
        <v>12</v>
      </c>
      <c r="K14" s="10">
        <f>COUNTIFS(Backlog!$B$5:$B$193,$F14,Backlog!$E$5:$E$193,"Closed")</f>
        <v>0</v>
      </c>
      <c r="L14" s="12">
        <f t="shared" si="0"/>
        <v>0</v>
      </c>
    </row>
    <row r="15" spans="1:12" x14ac:dyDescent="0.3">
      <c r="F15" s="9" t="s">
        <v>43</v>
      </c>
      <c r="G15" s="7" t="s">
        <v>44</v>
      </c>
      <c r="H15" s="10" t="s">
        <v>42</v>
      </c>
      <c r="I15" s="10">
        <f>COUNTIF(Backlog!$B$5:$B$193,$F15)</f>
        <v>8</v>
      </c>
      <c r="J15" s="11">
        <f>SUMIF(Backlog!$B$5:$B$193,$F15,Backlog!$J$5:$J$193)</f>
        <v>9</v>
      </c>
      <c r="K15" s="10">
        <f>COUNTIFS(Backlog!$B$5:$B$193,$F15,Backlog!$E$5:$E$193,"Closed")</f>
        <v>0</v>
      </c>
      <c r="L15" s="12">
        <f t="shared" si="0"/>
        <v>0</v>
      </c>
    </row>
    <row r="16" spans="1:12" x14ac:dyDescent="0.3">
      <c r="A16" s="5" t="s">
        <v>45</v>
      </c>
      <c r="F16" s="9" t="s">
        <v>46</v>
      </c>
      <c r="G16" s="7" t="s">
        <v>47</v>
      </c>
      <c r="H16" s="10" t="s">
        <v>42</v>
      </c>
      <c r="I16" s="10">
        <f>COUNTIF(Backlog!$B$5:$B$193,$F16)</f>
        <v>8</v>
      </c>
      <c r="J16" s="11">
        <f>SUMIF(Backlog!$B$5:$B$193,$F16,Backlog!$J$5:$J$193)</f>
        <v>10</v>
      </c>
      <c r="K16" s="10">
        <f>COUNTIFS(Backlog!$B$5:$B$193,$F16,Backlog!$E$5:$E$193,"Closed")</f>
        <v>0</v>
      </c>
      <c r="L16" s="12">
        <f t="shared" si="0"/>
        <v>0</v>
      </c>
    </row>
    <row r="17" spans="1:12" ht="25.5" customHeight="1" x14ac:dyDescent="0.3">
      <c r="A17" s="6" t="s">
        <v>48</v>
      </c>
      <c r="B17" s="6" t="s">
        <v>9</v>
      </c>
      <c r="C17" s="6" t="s">
        <v>49</v>
      </c>
      <c r="D17" s="6" t="s">
        <v>10</v>
      </c>
      <c r="F17" s="9" t="s">
        <v>50</v>
      </c>
      <c r="G17" s="7" t="s">
        <v>51</v>
      </c>
      <c r="H17" s="10" t="s">
        <v>42</v>
      </c>
      <c r="I17" s="10">
        <f>COUNTIF(Backlog!$B$5:$B$193,$F17)</f>
        <v>8</v>
      </c>
      <c r="J17" s="11">
        <f>SUMIF(Backlog!$B$5:$B$193,$F17,Backlog!$J$5:$J$193)</f>
        <v>10</v>
      </c>
      <c r="K17" s="10">
        <f>COUNTIFS(Backlog!$B$5:$B$193,$F17,Backlog!$E$5:$E$193,"Closed")</f>
        <v>0</v>
      </c>
      <c r="L17" s="12">
        <f t="shared" si="0"/>
        <v>0</v>
      </c>
    </row>
    <row r="18" spans="1:12" x14ac:dyDescent="0.3">
      <c r="A18" s="15" t="s">
        <v>52</v>
      </c>
      <c r="B18" s="10">
        <f>COUNTIF(Backlog!$E$5:$E$193,$A18)</f>
        <v>179</v>
      </c>
      <c r="C18" s="16">
        <f>IFERROR($B18/COUNTA(Backlog!$A$5:$A$193),0)</f>
        <v>0.94708994708994709</v>
      </c>
      <c r="D18" s="11">
        <f>SUMIF(Backlog!$E$5:$E$193,$A18,Backlog!$J$5:$J$193)</f>
        <v>242</v>
      </c>
      <c r="F18" s="9" t="s">
        <v>53</v>
      </c>
      <c r="G18" s="7" t="s">
        <v>54</v>
      </c>
      <c r="H18" s="10" t="s">
        <v>55</v>
      </c>
      <c r="I18" s="10">
        <f>COUNTIF(Backlog!$B$5:$B$193,$F18)</f>
        <v>12</v>
      </c>
      <c r="J18" s="11">
        <f>SUMIF(Backlog!$B$5:$B$193,$F18,Backlog!$J$5:$J$193)</f>
        <v>23</v>
      </c>
      <c r="K18" s="10">
        <f>COUNTIFS(Backlog!$B$5:$B$193,$F18,Backlog!$E$5:$E$193,"Closed")</f>
        <v>0</v>
      </c>
      <c r="L18" s="12">
        <f t="shared" si="0"/>
        <v>0</v>
      </c>
    </row>
    <row r="19" spans="1:12" x14ac:dyDescent="0.3">
      <c r="A19" s="17" t="s">
        <v>56</v>
      </c>
      <c r="B19" s="10">
        <f>COUNTIF(Backlog!$E$5:$E$193,$A19)</f>
        <v>0</v>
      </c>
      <c r="C19" s="16">
        <f>IFERROR($B19/COUNTA(Backlog!$A$5:$A$193),0)</f>
        <v>0</v>
      </c>
      <c r="D19" s="11">
        <f>SUMIF(Backlog!$E$5:$E$193,$A19,Backlog!$J$5:$J$193)</f>
        <v>0</v>
      </c>
      <c r="F19" s="9" t="s">
        <v>57</v>
      </c>
      <c r="G19" s="7" t="s">
        <v>58</v>
      </c>
      <c r="H19" s="10" t="s">
        <v>59</v>
      </c>
      <c r="I19" s="10">
        <f>COUNTIF(Backlog!$B$5:$B$193,$F19)</f>
        <v>6</v>
      </c>
      <c r="J19" s="11">
        <f>SUMIF(Backlog!$B$5:$B$193,$F19,Backlog!$J$5:$J$193)</f>
        <v>8</v>
      </c>
      <c r="K19" s="10">
        <f>COUNTIFS(Backlog!$B$5:$B$193,$F19,Backlog!$E$5:$E$193,"Closed")</f>
        <v>0</v>
      </c>
      <c r="L19" s="12">
        <f t="shared" si="0"/>
        <v>0</v>
      </c>
    </row>
    <row r="20" spans="1:12" x14ac:dyDescent="0.3">
      <c r="A20" s="18" t="s">
        <v>60</v>
      </c>
      <c r="B20" s="10">
        <f>COUNTIF(Backlog!$E$5:$E$193,$A20)</f>
        <v>0</v>
      </c>
      <c r="C20" s="16">
        <f>IFERROR($B20/COUNTA(Backlog!$A$5:$A$193),0)</f>
        <v>0</v>
      </c>
      <c r="D20" s="11">
        <f>SUMIF(Backlog!$E$5:$E$193,$A20,Backlog!$J$5:$J$193)</f>
        <v>0</v>
      </c>
      <c r="F20" s="9" t="s">
        <v>61</v>
      </c>
      <c r="G20" s="7" t="s">
        <v>62</v>
      </c>
      <c r="H20" s="10" t="s">
        <v>55</v>
      </c>
      <c r="I20" s="10">
        <f>COUNTIF(Backlog!$B$5:$B$193,$F20)</f>
        <v>9</v>
      </c>
      <c r="J20" s="11">
        <f>SUMIF(Backlog!$B$5:$B$193,$F20,Backlog!$J$5:$J$193)</f>
        <v>13</v>
      </c>
      <c r="K20" s="10">
        <f>COUNTIFS(Backlog!$B$5:$B$193,$F20,Backlog!$E$5:$E$193,"Closed")</f>
        <v>0</v>
      </c>
      <c r="L20" s="12">
        <f t="shared" si="0"/>
        <v>0</v>
      </c>
    </row>
    <row r="21" spans="1:12" x14ac:dyDescent="0.3">
      <c r="A21" s="19" t="s">
        <v>63</v>
      </c>
      <c r="B21" s="10">
        <f>COUNTIF(Backlog!$E$5:$E$193,$A21)</f>
        <v>0</v>
      </c>
      <c r="C21" s="16">
        <f>IFERROR($B21/COUNTA(Backlog!$A$5:$A$193),0)</f>
        <v>0</v>
      </c>
      <c r="D21" s="11">
        <f>SUMIF(Backlog!$E$5:$E$193,$A21,Backlog!$J$5:$J$193)</f>
        <v>0</v>
      </c>
      <c r="F21" s="9" t="s">
        <v>64</v>
      </c>
      <c r="G21" s="7" t="s">
        <v>65</v>
      </c>
      <c r="H21" s="10" t="s">
        <v>55</v>
      </c>
      <c r="I21" s="10">
        <f>COUNTIF(Backlog!$B$5:$B$193,$F21)</f>
        <v>11</v>
      </c>
      <c r="J21" s="11">
        <f>SUMIF(Backlog!$B$5:$B$193,$F21,Backlog!$J$5:$J$193)</f>
        <v>16.5</v>
      </c>
      <c r="K21" s="10">
        <f>COUNTIFS(Backlog!$B$5:$B$193,$F21,Backlog!$E$5:$E$193,"Closed")</f>
        <v>0</v>
      </c>
      <c r="L21" s="12">
        <f t="shared" si="0"/>
        <v>0</v>
      </c>
    </row>
    <row r="22" spans="1:12" x14ac:dyDescent="0.3">
      <c r="A22" s="20" t="s">
        <v>66</v>
      </c>
      <c r="B22" s="10">
        <f>COUNTIF(Backlog!$E$5:$E$193,$A22)</f>
        <v>0</v>
      </c>
      <c r="C22" s="16">
        <f>IFERROR($B22/COUNTA(Backlog!$A$5:$A$193),0)</f>
        <v>0</v>
      </c>
      <c r="D22" s="11">
        <f>SUMIF(Backlog!$E$5:$E$193,$A22,Backlog!$J$5:$J$193)</f>
        <v>0</v>
      </c>
      <c r="F22" s="9" t="s">
        <v>67</v>
      </c>
      <c r="G22" s="7" t="s">
        <v>68</v>
      </c>
      <c r="H22" s="10" t="s">
        <v>55</v>
      </c>
      <c r="I22" s="10">
        <f>COUNTIF(Backlog!$B$5:$B$193,$F22)</f>
        <v>6</v>
      </c>
      <c r="J22" s="11">
        <f>SUMIF(Backlog!$B$5:$B$193,$F22,Backlog!$J$5:$J$193)</f>
        <v>7</v>
      </c>
      <c r="K22" s="10">
        <f>COUNTIFS(Backlog!$B$5:$B$193,$F22,Backlog!$E$5:$E$193,"Closed")</f>
        <v>0</v>
      </c>
      <c r="L22" s="12">
        <f t="shared" si="0"/>
        <v>0</v>
      </c>
    </row>
    <row r="23" spans="1:12" x14ac:dyDescent="0.3">
      <c r="A23" s="21" t="s">
        <v>69</v>
      </c>
      <c r="B23" s="10">
        <f>COUNTIF(Backlog!$E$5:$E$193,$A23)</f>
        <v>0</v>
      </c>
      <c r="C23" s="16">
        <f>IFERROR($B23/COUNTA(Backlog!$A$5:$A$193),0)</f>
        <v>0</v>
      </c>
      <c r="D23" s="11">
        <f>SUMIF(Backlog!$E$5:$E$193,$A23,Backlog!$J$5:$J$193)</f>
        <v>0</v>
      </c>
      <c r="F23" s="9" t="s">
        <v>70</v>
      </c>
      <c r="G23" s="7" t="s">
        <v>71</v>
      </c>
      <c r="H23" s="10" t="s">
        <v>72</v>
      </c>
      <c r="I23" s="10">
        <f>COUNTIF(Backlog!$B$5:$B$193,$F23)</f>
        <v>9</v>
      </c>
      <c r="J23" s="11">
        <f>SUMIF(Backlog!$B$5:$B$193,$F23,Backlog!$J$5:$J$193)</f>
        <v>15</v>
      </c>
      <c r="K23" s="10">
        <f>COUNTIFS(Backlog!$B$5:$B$193,$F23,Backlog!$E$5:$E$193,"Closed")</f>
        <v>0</v>
      </c>
      <c r="L23" s="12">
        <f t="shared" si="0"/>
        <v>0</v>
      </c>
    </row>
    <row r="24" spans="1:12" x14ac:dyDescent="0.3">
      <c r="A24" s="22" t="s">
        <v>73</v>
      </c>
      <c r="B24" s="10">
        <f>COUNTIF(Backlog!$E$5:$E$193,$A24)</f>
        <v>0</v>
      </c>
      <c r="C24" s="16">
        <f>IFERROR($B24/COUNTA(Backlog!$A$5:$A$193),0)</f>
        <v>0</v>
      </c>
      <c r="D24" s="11">
        <f>SUMIF(Backlog!$E$5:$E$193,$A24,Backlog!$J$5:$J$193)</f>
        <v>0</v>
      </c>
      <c r="F24" s="9" t="s">
        <v>74</v>
      </c>
      <c r="G24" s="7" t="s">
        <v>75</v>
      </c>
      <c r="H24" s="10" t="s">
        <v>76</v>
      </c>
      <c r="I24" s="10">
        <f>COUNTIF(Backlog!$B$5:$B$193,$F24)</f>
        <v>8</v>
      </c>
      <c r="J24" s="11">
        <f>SUMIF(Backlog!$B$5:$B$193,$F24,Backlog!$J$5:$J$193)</f>
        <v>13</v>
      </c>
      <c r="K24" s="10">
        <f>COUNTIFS(Backlog!$B$5:$B$193,$F24,Backlog!$E$5:$E$193,"Closed")</f>
        <v>0</v>
      </c>
      <c r="L24" s="12">
        <f t="shared" si="0"/>
        <v>0</v>
      </c>
    </row>
    <row r="25" spans="1:12" x14ac:dyDescent="0.3">
      <c r="A25" s="23" t="s">
        <v>77</v>
      </c>
      <c r="B25" s="10">
        <f>COUNTIF(Backlog!$E$5:$E$193,$A25)</f>
        <v>0</v>
      </c>
      <c r="C25" s="16">
        <f>IFERROR($B25/COUNTA(Backlog!$A$5:$A$193),0)</f>
        <v>0</v>
      </c>
      <c r="D25" s="11">
        <f>SUMIF(Backlog!$E$5:$E$193,$A25,Backlog!$J$5:$J$193)</f>
        <v>0</v>
      </c>
      <c r="F25" s="9" t="s">
        <v>78</v>
      </c>
      <c r="G25" s="7" t="s">
        <v>79</v>
      </c>
      <c r="H25" s="10" t="s">
        <v>80</v>
      </c>
      <c r="I25" s="10">
        <f>COUNTIF(Backlog!$B$5:$B$193,$F25)</f>
        <v>6</v>
      </c>
      <c r="J25" s="11">
        <f>SUMIF(Backlog!$B$5:$B$193,$F25,Backlog!$J$5:$J$193)</f>
        <v>6.5</v>
      </c>
      <c r="K25" s="10">
        <f>COUNTIFS(Backlog!$B$5:$B$193,$F25,Backlog!$E$5:$E$193,"Closed")</f>
        <v>0</v>
      </c>
      <c r="L25" s="12">
        <f t="shared" si="0"/>
        <v>0</v>
      </c>
    </row>
    <row r="26" spans="1:12" x14ac:dyDescent="0.3">
      <c r="A26" s="24" t="s">
        <v>81</v>
      </c>
      <c r="B26" s="10">
        <f>COUNTIF(Backlog!$E$5:$E$193,$A26)</f>
        <v>0</v>
      </c>
      <c r="C26" s="16">
        <f>IFERROR($B26/COUNTA(Backlog!$A$5:$A$193),0)</f>
        <v>0</v>
      </c>
      <c r="D26" s="11">
        <f>SUMIF(Backlog!$E$5:$E$193,$A26,Backlog!$J$5:$J$193)</f>
        <v>0</v>
      </c>
      <c r="F26" s="9" t="s">
        <v>82</v>
      </c>
      <c r="G26" s="7" t="s">
        <v>83</v>
      </c>
      <c r="H26" s="10" t="s">
        <v>76</v>
      </c>
      <c r="I26" s="10">
        <f>COUNTIF(Backlog!$B$5:$B$193,$F26)</f>
        <v>6</v>
      </c>
      <c r="J26" s="11">
        <f>SUMIF(Backlog!$B$5:$B$193,$F26,Backlog!$J$5:$J$193)</f>
        <v>7.5</v>
      </c>
      <c r="K26" s="10">
        <f>COUNTIFS(Backlog!$B$5:$B$193,$F26,Backlog!$E$5:$E$193,"Closed")</f>
        <v>0</v>
      </c>
      <c r="L26" s="12">
        <f t="shared" si="0"/>
        <v>0</v>
      </c>
    </row>
    <row r="27" spans="1:12" x14ac:dyDescent="0.3">
      <c r="A27" s="25" t="s">
        <v>11</v>
      </c>
      <c r="B27" s="10">
        <f>COUNTIF(Backlog!$E$5:$E$193,$A27)</f>
        <v>10</v>
      </c>
      <c r="C27" s="16">
        <f>IFERROR($B27/COUNTA(Backlog!$A$5:$A$193),0)</f>
        <v>5.2910052910052907E-2</v>
      </c>
      <c r="D27" s="11">
        <f>SUMIF(Backlog!$E$5:$E$193,$A27,Backlog!$J$5:$J$193)</f>
        <v>0</v>
      </c>
      <c r="F27" s="9" t="s">
        <v>84</v>
      </c>
      <c r="G27" s="7" t="s">
        <v>85</v>
      </c>
      <c r="H27" s="10" t="s">
        <v>76</v>
      </c>
      <c r="I27" s="10">
        <f>COUNTIF(Backlog!$B$5:$B$193,$F27)</f>
        <v>8</v>
      </c>
      <c r="J27" s="11">
        <f>SUMIF(Backlog!$B$5:$B$193,$F27,Backlog!$J$5:$J$193)</f>
        <v>9</v>
      </c>
      <c r="K27" s="10">
        <f>COUNTIFS(Backlog!$B$5:$B$193,$F27,Backlog!$E$5:$E$193,"Closed")</f>
        <v>0</v>
      </c>
      <c r="L27" s="12">
        <f t="shared" si="0"/>
        <v>0</v>
      </c>
    </row>
    <row r="28" spans="1:12" x14ac:dyDescent="0.3">
      <c r="A28" s="26" t="s">
        <v>86</v>
      </c>
      <c r="B28" s="10">
        <f>COUNTIF(Backlog!$E$5:$E$193,$A28)</f>
        <v>0</v>
      </c>
      <c r="C28" s="16">
        <f>IFERROR($B28/COUNTA(Backlog!$A$5:$A$193),0)</f>
        <v>0</v>
      </c>
      <c r="D28" s="11">
        <f>SUMIF(Backlog!$E$5:$E$193,$A28,Backlog!$J$5:$J$193)</f>
        <v>0</v>
      </c>
      <c r="F28" s="9" t="s">
        <v>87</v>
      </c>
      <c r="G28" s="7" t="s">
        <v>88</v>
      </c>
      <c r="H28" s="10" t="s">
        <v>89</v>
      </c>
      <c r="I28" s="10">
        <f>COUNTIF(Backlog!$B$5:$B$193,$F28)</f>
        <v>8</v>
      </c>
      <c r="J28" s="11">
        <f>SUMIF(Backlog!$B$5:$B$193,$F28,Backlog!$J$5:$J$193)</f>
        <v>13</v>
      </c>
      <c r="K28" s="10">
        <f>COUNTIFS(Backlog!$B$5:$B$193,$F28,Backlog!$E$5:$E$193,"Closed")</f>
        <v>0</v>
      </c>
      <c r="L28" s="12">
        <f t="shared" si="0"/>
        <v>0</v>
      </c>
    </row>
    <row r="29" spans="1:12" x14ac:dyDescent="0.3">
      <c r="A29" s="27" t="s">
        <v>90</v>
      </c>
      <c r="B29" s="10">
        <f>COUNTIF(Backlog!$E$5:$E$193,$A29)</f>
        <v>0</v>
      </c>
      <c r="C29" s="16">
        <f>IFERROR($B29/COUNTA(Backlog!$A$5:$A$193),0)</f>
        <v>0</v>
      </c>
      <c r="D29" s="11">
        <f>SUMIF(Backlog!$E$5:$E$193,$A29,Backlog!$J$5:$J$193)</f>
        <v>0</v>
      </c>
      <c r="F29" s="9" t="s">
        <v>91</v>
      </c>
      <c r="G29" s="7" t="s">
        <v>92</v>
      </c>
      <c r="H29" s="10" t="s">
        <v>93</v>
      </c>
      <c r="I29" s="10">
        <f>COUNTIF(Backlog!$B$5:$B$193,$F29)</f>
        <v>7</v>
      </c>
      <c r="J29" s="11">
        <f>SUMIF(Backlog!$B$5:$B$193,$F29,Backlog!$J$5:$J$193)</f>
        <v>8</v>
      </c>
      <c r="K29" s="10">
        <f>COUNTIFS(Backlog!$B$5:$B$193,$F29,Backlog!$E$5:$E$193,"Closed")</f>
        <v>0</v>
      </c>
      <c r="L29" s="12">
        <f t="shared" si="0"/>
        <v>0</v>
      </c>
    </row>
    <row r="30" spans="1:12" x14ac:dyDescent="0.3">
      <c r="A30" s="28" t="s">
        <v>94</v>
      </c>
      <c r="B30" s="10">
        <f>COUNTIF(Backlog!$E$5:$E$193,$A30)</f>
        <v>0</v>
      </c>
      <c r="C30" s="16">
        <f>IFERROR($B30/COUNTA(Backlog!$A$5:$A$193),0)</f>
        <v>0</v>
      </c>
      <c r="D30" s="11">
        <f>SUMIF(Backlog!$E$5:$E$193,$A30,Backlog!$J$5:$J$193)</f>
        <v>0</v>
      </c>
      <c r="F30" s="9" t="s">
        <v>95</v>
      </c>
      <c r="G30" s="29"/>
      <c r="H30" s="29"/>
      <c r="I30" s="30">
        <f>SUM(I6:I29)</f>
        <v>189</v>
      </c>
      <c r="J30" s="13">
        <f>SUM(J6:J29)</f>
        <v>242</v>
      </c>
      <c r="K30" s="30">
        <f>SUM(K6:K29)</f>
        <v>10</v>
      </c>
      <c r="L30" s="31">
        <f>IFERROR(K30/I30,0)</f>
        <v>5.2910052910052907E-2</v>
      </c>
    </row>
    <row r="31" spans="1:12" x14ac:dyDescent="0.3">
      <c r="A31" s="32" t="s">
        <v>96</v>
      </c>
      <c r="B31" s="10">
        <f>COUNTIF(Backlog!$E$5:$E$193,$A31)</f>
        <v>0</v>
      </c>
      <c r="C31" s="16">
        <f>IFERROR($B31/COUNTA(Backlog!$A$5:$A$193),0)</f>
        <v>0</v>
      </c>
      <c r="D31" s="11">
        <f>SUMIF(Backlog!$E$5:$E$193,$A31,Backlog!$J$5:$J$193)</f>
        <v>0</v>
      </c>
    </row>
    <row r="32" spans="1:12" x14ac:dyDescent="0.3">
      <c r="A32" s="9" t="s">
        <v>95</v>
      </c>
      <c r="B32" s="30">
        <f>SUM(B18:B31)</f>
        <v>189</v>
      </c>
      <c r="C32" s="14">
        <f>SUM(C18:C31)</f>
        <v>1</v>
      </c>
      <c r="D32" s="13">
        <f>SUM(D18:D31)</f>
        <v>242</v>
      </c>
    </row>
    <row r="34" spans="1:4" x14ac:dyDescent="0.3">
      <c r="A34" s="5" t="s">
        <v>97</v>
      </c>
    </row>
    <row r="35" spans="1:4" ht="25.5" customHeight="1" x14ac:dyDescent="0.3">
      <c r="A35" s="6" t="s">
        <v>98</v>
      </c>
      <c r="B35" s="6" t="s">
        <v>9</v>
      </c>
      <c r="C35" s="6" t="s">
        <v>10</v>
      </c>
      <c r="D35" s="6" t="s">
        <v>11</v>
      </c>
    </row>
    <row r="36" spans="1:4" x14ac:dyDescent="0.3">
      <c r="A36" s="24" t="s">
        <v>99</v>
      </c>
      <c r="B36" s="33">
        <f>COUNTIF(Backlog!$F$5:$F$193,$A36)</f>
        <v>127</v>
      </c>
      <c r="C36" s="11">
        <f>SUMIF(Backlog!$F$5:$F$193,$A36,Backlog!$J$5:$J$193)</f>
        <v>161</v>
      </c>
      <c r="D36" s="33">
        <f>COUNTIFS(Backlog!$F$5:$F$193,$A36,Backlog!$E$5:$E$193,"Closed")</f>
        <v>10</v>
      </c>
    </row>
    <row r="37" spans="1:4" x14ac:dyDescent="0.3">
      <c r="A37" s="17" t="s">
        <v>100</v>
      </c>
      <c r="B37" s="33">
        <f>COUNTIF(Backlog!$F$5:$F$193,$A37)</f>
        <v>49</v>
      </c>
      <c r="C37" s="11">
        <f>SUMIF(Backlog!$F$5:$F$193,$A37,Backlog!$J$5:$J$193)</f>
        <v>65.5</v>
      </c>
      <c r="D37" s="33">
        <f>COUNTIFS(Backlog!$F$5:$F$193,$A37,Backlog!$E$5:$E$193,"Closed")</f>
        <v>0</v>
      </c>
    </row>
    <row r="38" spans="1:4" x14ac:dyDescent="0.3">
      <c r="A38" s="23" t="s">
        <v>101</v>
      </c>
      <c r="B38" s="33">
        <f>COUNTIF(Backlog!$F$5:$F$193,$A38)</f>
        <v>13</v>
      </c>
      <c r="C38" s="11">
        <f>SUMIF(Backlog!$F$5:$F$193,$A38,Backlog!$J$5:$J$193)</f>
        <v>15.5</v>
      </c>
      <c r="D38" s="33">
        <f>COUNTIFS(Backlog!$F$5:$F$193,$A38,Backlog!$E$5:$E$193,"Closed")</f>
        <v>0</v>
      </c>
    </row>
    <row r="39" spans="1:4" x14ac:dyDescent="0.3">
      <c r="A39" s="34" t="s">
        <v>102</v>
      </c>
      <c r="B39" s="33">
        <f>COUNTIF(Backlog!$F$5:$F$193,$A39)</f>
        <v>0</v>
      </c>
      <c r="C39" s="11">
        <f>SUMIF(Backlog!$F$5:$F$193,$A39,Backlog!$J$5:$J$193)</f>
        <v>0</v>
      </c>
      <c r="D39" s="33">
        <f>COUNTIFS(Backlog!$F$5:$F$193,$A39,Backlog!$E$5:$E$193,"Closed")</f>
        <v>0</v>
      </c>
    </row>
    <row r="41" spans="1:4" x14ac:dyDescent="0.3">
      <c r="A41" s="5" t="s">
        <v>103</v>
      </c>
    </row>
    <row r="42" spans="1:4" ht="25.5" customHeight="1" x14ac:dyDescent="0.3">
      <c r="A42" s="6" t="s">
        <v>104</v>
      </c>
      <c r="B42" s="6" t="s">
        <v>9</v>
      </c>
      <c r="C42" s="6" t="s">
        <v>10</v>
      </c>
      <c r="D42" s="6" t="s">
        <v>11</v>
      </c>
    </row>
    <row r="43" spans="1:4" x14ac:dyDescent="0.3">
      <c r="A43" s="35" t="s">
        <v>105</v>
      </c>
      <c r="B43" s="33">
        <f>COUNTIF(Backlog!$H$5:$H$193,$A43)</f>
        <v>98</v>
      </c>
      <c r="C43" s="11">
        <f>SUMIF(Backlog!$H$5:$H$193,$A43,Backlog!$J$5:$J$193)</f>
        <v>135.5</v>
      </c>
      <c r="D43" s="33">
        <f>COUNTIFS(Backlog!$H$5:$H$193,$A43,Backlog!$E$5:$E$193,"Closed")</f>
        <v>6</v>
      </c>
    </row>
    <row r="44" spans="1:4" x14ac:dyDescent="0.3">
      <c r="A44" s="36" t="s">
        <v>106</v>
      </c>
      <c r="B44" s="33">
        <f>COUNTIF(Backlog!$H$5:$H$193,$A44)</f>
        <v>58</v>
      </c>
      <c r="C44" s="11">
        <f>SUMIF(Backlog!$H$5:$H$193,$A44,Backlog!$J$5:$J$193)</f>
        <v>75.5</v>
      </c>
      <c r="D44" s="33">
        <f>COUNTIFS(Backlog!$H$5:$H$193,$A44,Backlog!$E$5:$E$193,"Closed")</f>
        <v>2</v>
      </c>
    </row>
    <row r="45" spans="1:4" x14ac:dyDescent="0.3">
      <c r="A45" s="37" t="s">
        <v>107</v>
      </c>
      <c r="B45" s="33">
        <f>COUNTIF(Backlog!$H$5:$H$193,$A45)</f>
        <v>33</v>
      </c>
      <c r="C45" s="11">
        <f>SUMIF(Backlog!$H$5:$H$193,$A45,Backlog!$J$5:$J$193)</f>
        <v>31</v>
      </c>
      <c r="D45" s="33">
        <f>COUNTIFS(Backlog!$H$5:$H$193,$A45,Backlog!$E$5:$E$193,"Closed")</f>
        <v>2</v>
      </c>
    </row>
    <row r="47" spans="1:4" x14ac:dyDescent="0.3">
      <c r="A47" s="5" t="s">
        <v>108</v>
      </c>
    </row>
    <row r="48" spans="1:4" ht="25.5" customHeight="1" x14ac:dyDescent="0.3">
      <c r="A48" s="6" t="s">
        <v>109</v>
      </c>
      <c r="B48" s="6" t="s">
        <v>9</v>
      </c>
      <c r="C48" s="6" t="s">
        <v>10</v>
      </c>
      <c r="D48" s="6" t="s">
        <v>11</v>
      </c>
    </row>
    <row r="49" spans="1:4" x14ac:dyDescent="0.3">
      <c r="A49" s="9" t="s">
        <v>110</v>
      </c>
      <c r="B49" s="33">
        <f>COUNTIF(Backlog!$I$5:$I$193,$A49)</f>
        <v>134</v>
      </c>
      <c r="C49" s="11">
        <f>SUMIF(Backlog!$I$5:$I$193,$A49,Backlog!$J$5:$J$193)</f>
        <v>183.5</v>
      </c>
      <c r="D49" s="33">
        <f>COUNTIFS(Backlog!$I$5:$I$193,$A49,Backlog!$E$5:$E$193,"Closed")</f>
        <v>0</v>
      </c>
    </row>
    <row r="50" spans="1:4" x14ac:dyDescent="0.3">
      <c r="A50" s="9" t="s">
        <v>111</v>
      </c>
      <c r="B50" s="33">
        <f>COUNTIF(Backlog!$I$5:$I$193,$A50)</f>
        <v>14</v>
      </c>
      <c r="C50" s="11">
        <f>SUMIF(Backlog!$I$5:$I$193,$A50,Backlog!$J$5:$J$193)</f>
        <v>7</v>
      </c>
      <c r="D50" s="33">
        <f>COUNTIFS(Backlog!$I$5:$I$193,$A50,Backlog!$E$5:$E$193,"Closed")</f>
        <v>10</v>
      </c>
    </row>
    <row r="51" spans="1:4" x14ac:dyDescent="0.3">
      <c r="A51" s="9" t="s">
        <v>112</v>
      </c>
      <c r="B51" s="33">
        <f>COUNTIF(Backlog!$I$5:$I$193,$A51)</f>
        <v>18</v>
      </c>
      <c r="C51" s="11">
        <f>SUMIF(Backlog!$I$5:$I$193,$A51,Backlog!$J$5:$J$193)</f>
        <v>21.5</v>
      </c>
      <c r="D51" s="33">
        <f>COUNTIFS(Backlog!$I$5:$I$193,$A51,Backlog!$E$5:$E$193,"Closed")</f>
        <v>0</v>
      </c>
    </row>
    <row r="52" spans="1:4" x14ac:dyDescent="0.3">
      <c r="A52" s="9" t="s">
        <v>113</v>
      </c>
      <c r="B52" s="33">
        <f>COUNTIF(Backlog!$I$5:$I$193,$A52)</f>
        <v>10</v>
      </c>
      <c r="C52" s="11">
        <f>SUMIF(Backlog!$I$5:$I$193,$A52,Backlog!$J$5:$J$193)</f>
        <v>16</v>
      </c>
      <c r="D52" s="33">
        <f>COUNTIFS(Backlog!$I$5:$I$193,$A52,Backlog!$E$5:$E$193,"Closed")</f>
        <v>0</v>
      </c>
    </row>
    <row r="53" spans="1:4" x14ac:dyDescent="0.3">
      <c r="A53" s="9" t="s">
        <v>114</v>
      </c>
      <c r="B53" s="33">
        <f>COUNTIF(Backlog!$I$5:$I$193,$A53)</f>
        <v>12</v>
      </c>
      <c r="C53" s="11">
        <f>SUMIF(Backlog!$I$5:$I$193,$A53,Backlog!$J$5:$J$193)</f>
        <v>12.5</v>
      </c>
      <c r="D53" s="33">
        <f>COUNTIFS(Backlog!$I$5:$I$193,$A53,Backlog!$E$5:$E$193,"Closed")</f>
        <v>0</v>
      </c>
    </row>
    <row r="54" spans="1:4" x14ac:dyDescent="0.3">
      <c r="A54" s="9" t="s">
        <v>115</v>
      </c>
      <c r="B54" s="33">
        <f>COUNTIF(Backlog!$I$5:$I$193,$A54)</f>
        <v>1</v>
      </c>
      <c r="C54" s="11">
        <f>SUMIF(Backlog!$I$5:$I$193,$A54,Backlog!$J$5:$J$193)</f>
        <v>1.5</v>
      </c>
      <c r="D54" s="33">
        <f>COUNTIFS(Backlog!$I$5:$I$193,$A54,Backlog!$E$5:$E$193,"Closed")</f>
        <v>0</v>
      </c>
    </row>
  </sheetData>
  <conditionalFormatting sqref="L6:L29">
    <cfRule type="expression" dxfId="43" priority="2">
      <formula>$L6=1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93"/>
  <sheetViews>
    <sheetView zoomScaleNormal="100" workbookViewId="0">
      <pane xSplit="4" ySplit="4" topLeftCell="E182" activePane="bottomRight" state="frozen"/>
      <selection pane="topRight" activeCell="E1" sqref="E1"/>
      <selection pane="bottomLeft" activeCell="A5" sqref="A5"/>
      <selection pane="bottomRight"/>
    </sheetView>
  </sheetViews>
  <sheetFormatPr defaultColWidth="8.6640625" defaultRowHeight="14.4" x14ac:dyDescent="0.3"/>
  <cols>
    <col min="1" max="1" width="11" customWidth="1"/>
    <col min="2" max="2" width="7" customWidth="1"/>
    <col min="3" max="3" width="26" customWidth="1"/>
    <col min="4" max="4" width="42" customWidth="1"/>
    <col min="5" max="5" width="23" customWidth="1"/>
    <col min="6" max="6" width="9" customWidth="1"/>
    <col min="7" max="7" width="7" customWidth="1"/>
    <col min="8" max="8" width="20" customWidth="1"/>
    <col min="9" max="9" width="8" customWidth="1"/>
    <col min="10" max="10" width="9" customWidth="1"/>
    <col min="11" max="11" width="20" customWidth="1"/>
    <col min="12" max="12" width="13" customWidth="1"/>
    <col min="13" max="13" width="12" customWidth="1"/>
    <col min="14" max="14" width="8" customWidth="1"/>
    <col min="15" max="16" width="12" customWidth="1"/>
    <col min="17" max="17" width="11" customWidth="1"/>
    <col min="18" max="18" width="10" customWidth="1"/>
    <col min="19" max="19" width="55" customWidth="1"/>
    <col min="20" max="20" width="60" customWidth="1"/>
    <col min="21" max="21" width="50" customWidth="1"/>
    <col min="22" max="22" width="40" customWidth="1"/>
    <col min="23" max="23" width="30" customWidth="1"/>
  </cols>
  <sheetData>
    <row r="1" spans="1:23" ht="17.399999999999999" x14ac:dyDescent="0.3">
      <c r="A1" s="38" t="s">
        <v>116</v>
      </c>
    </row>
    <row r="2" spans="1:23" x14ac:dyDescent="0.3">
      <c r="A2" s="4" t="s">
        <v>117</v>
      </c>
    </row>
    <row r="4" spans="1:23" ht="30" customHeight="1" x14ac:dyDescent="0.3">
      <c r="A4" s="39" t="s">
        <v>118</v>
      </c>
      <c r="B4" s="39" t="s">
        <v>6</v>
      </c>
      <c r="C4" s="39" t="s">
        <v>119</v>
      </c>
      <c r="D4" s="39" t="s">
        <v>120</v>
      </c>
      <c r="E4" s="39" t="s">
        <v>48</v>
      </c>
      <c r="F4" s="39" t="s">
        <v>98</v>
      </c>
      <c r="G4" s="39" t="s">
        <v>8</v>
      </c>
      <c r="H4" s="39" t="s">
        <v>104</v>
      </c>
      <c r="I4" s="39" t="s">
        <v>109</v>
      </c>
      <c r="J4" s="39" t="s">
        <v>121</v>
      </c>
      <c r="K4" s="39" t="s">
        <v>122</v>
      </c>
      <c r="L4" s="39" t="s">
        <v>123</v>
      </c>
      <c r="M4" s="39" t="s">
        <v>124</v>
      </c>
      <c r="N4" s="39" t="s">
        <v>125</v>
      </c>
      <c r="O4" s="39" t="s">
        <v>126</v>
      </c>
      <c r="P4" s="39" t="s">
        <v>127</v>
      </c>
      <c r="Q4" s="39" t="s">
        <v>32</v>
      </c>
      <c r="R4" s="39" t="s">
        <v>128</v>
      </c>
      <c r="S4" s="39" t="s">
        <v>129</v>
      </c>
      <c r="T4" s="39" t="s">
        <v>130</v>
      </c>
      <c r="U4" s="39" t="s">
        <v>131</v>
      </c>
      <c r="V4" s="39" t="s">
        <v>132</v>
      </c>
      <c r="W4" s="39" t="s">
        <v>133</v>
      </c>
    </row>
    <row r="5" spans="1:23" ht="30" customHeight="1" x14ac:dyDescent="0.3">
      <c r="A5" s="40" t="s">
        <v>134</v>
      </c>
      <c r="B5" s="41" t="s">
        <v>14</v>
      </c>
      <c r="C5" s="42" t="s">
        <v>15</v>
      </c>
      <c r="D5" s="42" t="s">
        <v>135</v>
      </c>
      <c r="E5" s="42" t="s">
        <v>11</v>
      </c>
      <c r="F5" s="43" t="s">
        <v>99</v>
      </c>
      <c r="G5" s="41" t="s">
        <v>16</v>
      </c>
      <c r="H5" s="44" t="s">
        <v>107</v>
      </c>
      <c r="I5" s="41" t="s">
        <v>111</v>
      </c>
      <c r="J5" s="45"/>
      <c r="K5" s="42"/>
      <c r="L5" s="42"/>
      <c r="M5" s="46"/>
      <c r="N5" s="47"/>
      <c r="O5" s="48"/>
      <c r="P5" s="48"/>
      <c r="Q5" s="49"/>
      <c r="R5" s="41">
        <v>0</v>
      </c>
      <c r="S5" s="50"/>
      <c r="T5" s="50"/>
      <c r="U5" s="50"/>
      <c r="V5" s="50"/>
      <c r="W5" s="51"/>
    </row>
    <row r="6" spans="1:23" ht="30" customHeight="1" x14ac:dyDescent="0.3">
      <c r="A6" s="40" t="s">
        <v>136</v>
      </c>
      <c r="B6" s="41" t="s">
        <v>14</v>
      </c>
      <c r="C6" s="42" t="s">
        <v>15</v>
      </c>
      <c r="D6" s="42" t="s">
        <v>137</v>
      </c>
      <c r="E6" s="42" t="s">
        <v>11</v>
      </c>
      <c r="F6" s="43" t="s">
        <v>99</v>
      </c>
      <c r="G6" s="41" t="s">
        <v>16</v>
      </c>
      <c r="H6" s="52" t="s">
        <v>106</v>
      </c>
      <c r="I6" s="41" t="s">
        <v>111</v>
      </c>
      <c r="J6" s="45"/>
      <c r="K6" s="42"/>
      <c r="L6" s="42"/>
      <c r="M6" s="46"/>
      <c r="N6" s="47"/>
      <c r="O6" s="48"/>
      <c r="P6" s="48"/>
      <c r="Q6" s="49"/>
      <c r="R6" s="41">
        <v>0</v>
      </c>
      <c r="S6" s="50"/>
      <c r="T6" s="50"/>
      <c r="U6" s="50"/>
      <c r="V6" s="50"/>
      <c r="W6" s="51"/>
    </row>
    <row r="7" spans="1:23" ht="30" customHeight="1" x14ac:dyDescent="0.3">
      <c r="A7" s="40" t="s">
        <v>138</v>
      </c>
      <c r="B7" s="41" t="s">
        <v>14</v>
      </c>
      <c r="C7" s="42" t="s">
        <v>15</v>
      </c>
      <c r="D7" s="42" t="s">
        <v>139</v>
      </c>
      <c r="E7" s="42" t="s">
        <v>11</v>
      </c>
      <c r="F7" s="43" t="s">
        <v>99</v>
      </c>
      <c r="G7" s="41" t="s">
        <v>16</v>
      </c>
      <c r="H7" s="53" t="s">
        <v>105</v>
      </c>
      <c r="I7" s="41" t="s">
        <v>111</v>
      </c>
      <c r="J7" s="45"/>
      <c r="K7" s="42"/>
      <c r="L7" s="42"/>
      <c r="M7" s="46"/>
      <c r="N7" s="47"/>
      <c r="O7" s="48"/>
      <c r="P7" s="48"/>
      <c r="Q7" s="49"/>
      <c r="R7" s="41">
        <v>0</v>
      </c>
      <c r="S7" s="50"/>
      <c r="T7" s="50"/>
      <c r="U7" s="50"/>
      <c r="V7" s="50"/>
      <c r="W7" s="51"/>
    </row>
    <row r="8" spans="1:23" ht="30" customHeight="1" x14ac:dyDescent="0.3">
      <c r="A8" s="40" t="s">
        <v>140</v>
      </c>
      <c r="B8" s="41" t="s">
        <v>14</v>
      </c>
      <c r="C8" s="42" t="s">
        <v>15</v>
      </c>
      <c r="D8" s="42" t="s">
        <v>141</v>
      </c>
      <c r="E8" s="42" t="s">
        <v>11</v>
      </c>
      <c r="F8" s="43" t="s">
        <v>99</v>
      </c>
      <c r="G8" s="41" t="s">
        <v>16</v>
      </c>
      <c r="H8" s="53" t="s">
        <v>105</v>
      </c>
      <c r="I8" s="41" t="s">
        <v>111</v>
      </c>
      <c r="J8" s="45"/>
      <c r="K8" s="42"/>
      <c r="L8" s="42"/>
      <c r="M8" s="46"/>
      <c r="N8" s="47"/>
      <c r="O8" s="48"/>
      <c r="P8" s="48"/>
      <c r="Q8" s="49"/>
      <c r="R8" s="41">
        <v>0</v>
      </c>
      <c r="S8" s="50"/>
      <c r="T8" s="50"/>
      <c r="U8" s="50"/>
      <c r="V8" s="50"/>
      <c r="W8" s="51"/>
    </row>
    <row r="9" spans="1:23" ht="30" customHeight="1" x14ac:dyDescent="0.3">
      <c r="A9" s="40" t="s">
        <v>142</v>
      </c>
      <c r="B9" s="41" t="s">
        <v>14</v>
      </c>
      <c r="C9" s="42" t="s">
        <v>15</v>
      </c>
      <c r="D9" s="42" t="s">
        <v>143</v>
      </c>
      <c r="E9" s="42" t="s">
        <v>11</v>
      </c>
      <c r="F9" s="43" t="s">
        <v>99</v>
      </c>
      <c r="G9" s="41" t="s">
        <v>16</v>
      </c>
      <c r="H9" s="53" t="s">
        <v>105</v>
      </c>
      <c r="I9" s="41" t="s">
        <v>111</v>
      </c>
      <c r="J9" s="45"/>
      <c r="K9" s="42"/>
      <c r="L9" s="42"/>
      <c r="M9" s="46"/>
      <c r="N9" s="47"/>
      <c r="O9" s="48"/>
      <c r="P9" s="48"/>
      <c r="Q9" s="49"/>
      <c r="R9" s="41">
        <v>0</v>
      </c>
      <c r="S9" s="50"/>
      <c r="T9" s="50"/>
      <c r="U9" s="50"/>
      <c r="V9" s="50"/>
      <c r="W9" s="51"/>
    </row>
    <row r="10" spans="1:23" ht="30" customHeight="1" x14ac:dyDescent="0.3">
      <c r="A10" s="40" t="s">
        <v>144</v>
      </c>
      <c r="B10" s="41" t="s">
        <v>14</v>
      </c>
      <c r="C10" s="42" t="s">
        <v>15</v>
      </c>
      <c r="D10" s="42" t="s">
        <v>145</v>
      </c>
      <c r="E10" s="42" t="s">
        <v>11</v>
      </c>
      <c r="F10" s="43" t="s">
        <v>99</v>
      </c>
      <c r="G10" s="41" t="s">
        <v>16</v>
      </c>
      <c r="H10" s="53" t="s">
        <v>105</v>
      </c>
      <c r="I10" s="41" t="s">
        <v>111</v>
      </c>
      <c r="J10" s="45"/>
      <c r="K10" s="42"/>
      <c r="L10" s="42"/>
      <c r="M10" s="46"/>
      <c r="N10" s="47"/>
      <c r="O10" s="48"/>
      <c r="P10" s="48"/>
      <c r="Q10" s="49"/>
      <c r="R10" s="41">
        <v>0</v>
      </c>
      <c r="S10" s="50"/>
      <c r="T10" s="50"/>
      <c r="U10" s="50"/>
      <c r="V10" s="50"/>
      <c r="W10" s="51"/>
    </row>
    <row r="11" spans="1:23" ht="30" customHeight="1" x14ac:dyDescent="0.3">
      <c r="A11" s="40" t="s">
        <v>146</v>
      </c>
      <c r="B11" s="41" t="s">
        <v>14</v>
      </c>
      <c r="C11" s="42" t="s">
        <v>15</v>
      </c>
      <c r="D11" s="42" t="s">
        <v>147</v>
      </c>
      <c r="E11" s="42" t="s">
        <v>11</v>
      </c>
      <c r="F11" s="43" t="s">
        <v>99</v>
      </c>
      <c r="G11" s="41" t="s">
        <v>16</v>
      </c>
      <c r="H11" s="53" t="s">
        <v>105</v>
      </c>
      <c r="I11" s="41" t="s">
        <v>111</v>
      </c>
      <c r="J11" s="45"/>
      <c r="K11" s="42"/>
      <c r="L11" s="42"/>
      <c r="M11" s="46"/>
      <c r="N11" s="47"/>
      <c r="O11" s="48"/>
      <c r="P11" s="48"/>
      <c r="Q11" s="49"/>
      <c r="R11" s="41">
        <v>0</v>
      </c>
      <c r="S11" s="50"/>
      <c r="T11" s="50"/>
      <c r="U11" s="50"/>
      <c r="V11" s="50"/>
      <c r="W11" s="51"/>
    </row>
    <row r="12" spans="1:23" ht="30" customHeight="1" x14ac:dyDescent="0.3">
      <c r="A12" s="40" t="s">
        <v>148</v>
      </c>
      <c r="B12" s="41" t="s">
        <v>14</v>
      </c>
      <c r="C12" s="42" t="s">
        <v>15</v>
      </c>
      <c r="D12" s="42" t="s">
        <v>149</v>
      </c>
      <c r="E12" s="42" t="s">
        <v>11</v>
      </c>
      <c r="F12" s="43" t="s">
        <v>99</v>
      </c>
      <c r="G12" s="41" t="s">
        <v>16</v>
      </c>
      <c r="H12" s="53" t="s">
        <v>105</v>
      </c>
      <c r="I12" s="41" t="s">
        <v>111</v>
      </c>
      <c r="J12" s="45"/>
      <c r="K12" s="42"/>
      <c r="L12" s="42"/>
      <c r="M12" s="46"/>
      <c r="N12" s="47"/>
      <c r="O12" s="48"/>
      <c r="P12" s="48"/>
      <c r="Q12" s="49"/>
      <c r="R12" s="41">
        <v>0</v>
      </c>
      <c r="S12" s="50"/>
      <c r="T12" s="50"/>
      <c r="U12" s="50"/>
      <c r="V12" s="50"/>
      <c r="W12" s="51"/>
    </row>
    <row r="13" spans="1:23" ht="30" customHeight="1" x14ac:dyDescent="0.3">
      <c r="A13" s="40" t="s">
        <v>150</v>
      </c>
      <c r="B13" s="41" t="s">
        <v>14</v>
      </c>
      <c r="C13" s="42" t="s">
        <v>15</v>
      </c>
      <c r="D13" s="42" t="s">
        <v>151</v>
      </c>
      <c r="E13" s="42" t="s">
        <v>11</v>
      </c>
      <c r="F13" s="43" t="s">
        <v>99</v>
      </c>
      <c r="G13" s="41" t="s">
        <v>16</v>
      </c>
      <c r="H13" s="52" t="s">
        <v>106</v>
      </c>
      <c r="I13" s="41" t="s">
        <v>111</v>
      </c>
      <c r="J13" s="45"/>
      <c r="K13" s="42"/>
      <c r="L13" s="42"/>
      <c r="M13" s="46"/>
      <c r="N13" s="47"/>
      <c r="O13" s="48"/>
      <c r="P13" s="48"/>
      <c r="Q13" s="49"/>
      <c r="R13" s="41">
        <v>0</v>
      </c>
      <c r="S13" s="50"/>
      <c r="T13" s="50"/>
      <c r="U13" s="50"/>
      <c r="V13" s="50" t="s">
        <v>152</v>
      </c>
      <c r="W13" s="51"/>
    </row>
    <row r="14" spans="1:23" ht="30" customHeight="1" x14ac:dyDescent="0.3">
      <c r="A14" s="40" t="s">
        <v>153</v>
      </c>
      <c r="B14" s="41" t="s">
        <v>14</v>
      </c>
      <c r="C14" s="42" t="s">
        <v>15</v>
      </c>
      <c r="D14" s="42" t="s">
        <v>154</v>
      </c>
      <c r="E14" s="42" t="s">
        <v>11</v>
      </c>
      <c r="F14" s="43" t="s">
        <v>99</v>
      </c>
      <c r="G14" s="41" t="s">
        <v>16</v>
      </c>
      <c r="H14" s="44" t="s">
        <v>107</v>
      </c>
      <c r="I14" s="41" t="s">
        <v>111</v>
      </c>
      <c r="J14" s="45"/>
      <c r="K14" s="42"/>
      <c r="L14" s="42"/>
      <c r="M14" s="46"/>
      <c r="N14" s="47"/>
      <c r="O14" s="48"/>
      <c r="P14" s="48"/>
      <c r="Q14" s="49"/>
      <c r="R14" s="41">
        <v>0</v>
      </c>
      <c r="S14" s="50"/>
      <c r="T14" s="50"/>
      <c r="U14" s="50"/>
      <c r="V14" s="50"/>
      <c r="W14" s="51"/>
    </row>
    <row r="15" spans="1:23" ht="30" customHeight="1" x14ac:dyDescent="0.3">
      <c r="A15" s="40" t="s">
        <v>155</v>
      </c>
      <c r="B15" s="41" t="s">
        <v>18</v>
      </c>
      <c r="C15" s="42" t="s">
        <v>19</v>
      </c>
      <c r="D15" s="42" t="s">
        <v>156</v>
      </c>
      <c r="E15" s="42" t="s">
        <v>52</v>
      </c>
      <c r="F15" s="43" t="s">
        <v>99</v>
      </c>
      <c r="G15" s="41" t="s">
        <v>20</v>
      </c>
      <c r="H15" s="52" t="s">
        <v>106</v>
      </c>
      <c r="I15" s="41" t="s">
        <v>111</v>
      </c>
      <c r="J15" s="45">
        <v>2</v>
      </c>
      <c r="K15" s="42" t="s">
        <v>157</v>
      </c>
      <c r="L15" s="42"/>
      <c r="M15" s="46"/>
      <c r="N15" s="47"/>
      <c r="O15" s="48"/>
      <c r="P15" s="48"/>
      <c r="Q15" s="49"/>
      <c r="R15" s="41">
        <v>9</v>
      </c>
      <c r="S15" s="50" t="s">
        <v>158</v>
      </c>
      <c r="T15" s="50" t="s">
        <v>159</v>
      </c>
      <c r="U15" s="50" t="s">
        <v>160</v>
      </c>
      <c r="V15" s="50"/>
      <c r="W15" s="51"/>
    </row>
    <row r="16" spans="1:23" ht="30" customHeight="1" x14ac:dyDescent="0.3">
      <c r="A16" s="40" t="s">
        <v>161</v>
      </c>
      <c r="B16" s="41" t="s">
        <v>18</v>
      </c>
      <c r="C16" s="42" t="s">
        <v>19</v>
      </c>
      <c r="D16" s="42" t="s">
        <v>162</v>
      </c>
      <c r="E16" s="42" t="s">
        <v>52</v>
      </c>
      <c r="F16" s="43" t="s">
        <v>99</v>
      </c>
      <c r="G16" s="41" t="s">
        <v>20</v>
      </c>
      <c r="H16" s="44" t="s">
        <v>107</v>
      </c>
      <c r="I16" s="41" t="s">
        <v>111</v>
      </c>
      <c r="J16" s="45">
        <v>2</v>
      </c>
      <c r="K16" s="42" t="s">
        <v>155</v>
      </c>
      <c r="L16" s="42"/>
      <c r="M16" s="46"/>
      <c r="N16" s="47"/>
      <c r="O16" s="48"/>
      <c r="P16" s="48"/>
      <c r="Q16" s="49"/>
      <c r="R16" s="41">
        <v>5</v>
      </c>
      <c r="S16" s="50" t="s">
        <v>163</v>
      </c>
      <c r="T16" s="50" t="s">
        <v>164</v>
      </c>
      <c r="U16" s="50" t="s">
        <v>165</v>
      </c>
      <c r="V16" s="50"/>
      <c r="W16" s="51"/>
    </row>
    <row r="17" spans="1:23" ht="30" customHeight="1" x14ac:dyDescent="0.3">
      <c r="A17" s="40" t="s">
        <v>166</v>
      </c>
      <c r="B17" s="41" t="s">
        <v>18</v>
      </c>
      <c r="C17" s="42" t="s">
        <v>19</v>
      </c>
      <c r="D17" s="42" t="s">
        <v>167</v>
      </c>
      <c r="E17" s="42" t="s">
        <v>52</v>
      </c>
      <c r="F17" s="43" t="s">
        <v>99</v>
      </c>
      <c r="G17" s="41" t="s">
        <v>20</v>
      </c>
      <c r="H17" s="52" t="s">
        <v>106</v>
      </c>
      <c r="I17" s="41" t="s">
        <v>111</v>
      </c>
      <c r="J17" s="45">
        <v>1.5</v>
      </c>
      <c r="K17" s="42" t="s">
        <v>157</v>
      </c>
      <c r="L17" s="42"/>
      <c r="M17" s="46"/>
      <c r="N17" s="47"/>
      <c r="O17" s="48"/>
      <c r="P17" s="48"/>
      <c r="Q17" s="49"/>
      <c r="R17" s="41">
        <v>6</v>
      </c>
      <c r="S17" s="50" t="s">
        <v>168</v>
      </c>
      <c r="T17" s="50" t="s">
        <v>169</v>
      </c>
      <c r="U17" s="50" t="s">
        <v>170</v>
      </c>
      <c r="V17" s="50"/>
      <c r="W17" s="51"/>
    </row>
    <row r="18" spans="1:23" ht="30" customHeight="1" x14ac:dyDescent="0.3">
      <c r="A18" s="40" t="s">
        <v>171</v>
      </c>
      <c r="B18" s="41" t="s">
        <v>18</v>
      </c>
      <c r="C18" s="42" t="s">
        <v>19</v>
      </c>
      <c r="D18" s="42" t="s">
        <v>172</v>
      </c>
      <c r="E18" s="42" t="s">
        <v>52</v>
      </c>
      <c r="F18" s="43" t="s">
        <v>99</v>
      </c>
      <c r="G18" s="41" t="s">
        <v>20</v>
      </c>
      <c r="H18" s="52" t="s">
        <v>106</v>
      </c>
      <c r="I18" s="41" t="s">
        <v>111</v>
      </c>
      <c r="J18" s="45">
        <v>1.5</v>
      </c>
      <c r="K18" s="42" t="s">
        <v>166</v>
      </c>
      <c r="L18" s="42"/>
      <c r="M18" s="46"/>
      <c r="N18" s="47"/>
      <c r="O18" s="48"/>
      <c r="P18" s="48"/>
      <c r="Q18" s="49"/>
      <c r="R18" s="41">
        <v>6</v>
      </c>
      <c r="S18" s="50" t="s">
        <v>173</v>
      </c>
      <c r="T18" s="50" t="s">
        <v>174</v>
      </c>
      <c r="U18" s="50" t="s">
        <v>175</v>
      </c>
      <c r="V18" s="50"/>
      <c r="W18" s="51"/>
    </row>
    <row r="19" spans="1:23" ht="30" customHeight="1" x14ac:dyDescent="0.3">
      <c r="A19" s="40" t="s">
        <v>176</v>
      </c>
      <c r="B19" s="41" t="s">
        <v>18</v>
      </c>
      <c r="C19" s="42" t="s">
        <v>19</v>
      </c>
      <c r="D19" s="42" t="s">
        <v>177</v>
      </c>
      <c r="E19" s="42" t="s">
        <v>52</v>
      </c>
      <c r="F19" s="43" t="s">
        <v>99</v>
      </c>
      <c r="G19" s="41" t="s">
        <v>20</v>
      </c>
      <c r="H19" s="53" t="s">
        <v>105</v>
      </c>
      <c r="I19" s="41" t="s">
        <v>112</v>
      </c>
      <c r="J19" s="45">
        <v>1</v>
      </c>
      <c r="K19" s="42" t="s">
        <v>155</v>
      </c>
      <c r="L19" s="42"/>
      <c r="M19" s="46"/>
      <c r="N19" s="47"/>
      <c r="O19" s="48"/>
      <c r="P19" s="48"/>
      <c r="Q19" s="49"/>
      <c r="R19" s="41">
        <v>5</v>
      </c>
      <c r="S19" s="50" t="s">
        <v>178</v>
      </c>
      <c r="T19" s="50" t="s">
        <v>179</v>
      </c>
      <c r="U19" s="50" t="s">
        <v>180</v>
      </c>
      <c r="V19" s="50"/>
      <c r="W19" s="51"/>
    </row>
    <row r="20" spans="1:23" ht="30" customHeight="1" x14ac:dyDescent="0.3">
      <c r="A20" s="40" t="s">
        <v>181</v>
      </c>
      <c r="B20" s="41" t="s">
        <v>18</v>
      </c>
      <c r="C20" s="42" t="s">
        <v>19</v>
      </c>
      <c r="D20" s="42" t="s">
        <v>182</v>
      </c>
      <c r="E20" s="42" t="s">
        <v>52</v>
      </c>
      <c r="F20" s="54" t="s">
        <v>101</v>
      </c>
      <c r="G20" s="41" t="s">
        <v>76</v>
      </c>
      <c r="H20" s="44" t="s">
        <v>107</v>
      </c>
      <c r="I20" s="41" t="s">
        <v>114</v>
      </c>
      <c r="J20" s="45">
        <v>0.5</v>
      </c>
      <c r="K20" s="42" t="s">
        <v>155</v>
      </c>
      <c r="L20" s="42"/>
      <c r="M20" s="46"/>
      <c r="N20" s="47"/>
      <c r="O20" s="48"/>
      <c r="P20" s="48"/>
      <c r="Q20" s="49"/>
      <c r="R20" s="41">
        <v>3</v>
      </c>
      <c r="S20" s="50" t="s">
        <v>183</v>
      </c>
      <c r="T20" s="50" t="s">
        <v>184</v>
      </c>
      <c r="U20" s="50"/>
      <c r="V20" s="50"/>
      <c r="W20" s="51"/>
    </row>
    <row r="21" spans="1:23" ht="30" customHeight="1" x14ac:dyDescent="0.3">
      <c r="A21" s="40" t="s">
        <v>185</v>
      </c>
      <c r="B21" s="41" t="s">
        <v>21</v>
      </c>
      <c r="C21" s="42" t="s">
        <v>22</v>
      </c>
      <c r="D21" s="42" t="s">
        <v>186</v>
      </c>
      <c r="E21" s="42" t="s">
        <v>52</v>
      </c>
      <c r="F21" s="43" t="s">
        <v>99</v>
      </c>
      <c r="G21" s="41" t="s">
        <v>20</v>
      </c>
      <c r="H21" s="53" t="s">
        <v>105</v>
      </c>
      <c r="I21" s="41" t="s">
        <v>112</v>
      </c>
      <c r="J21" s="45">
        <v>2</v>
      </c>
      <c r="K21" s="42" t="s">
        <v>157</v>
      </c>
      <c r="L21" s="42"/>
      <c r="M21" s="46"/>
      <c r="N21" s="47"/>
      <c r="O21" s="48"/>
      <c r="P21" s="48"/>
      <c r="Q21" s="49"/>
      <c r="R21" s="41">
        <v>7</v>
      </c>
      <c r="S21" s="50" t="s">
        <v>187</v>
      </c>
      <c r="T21" s="50" t="s">
        <v>188</v>
      </c>
      <c r="U21" s="50" t="s">
        <v>189</v>
      </c>
      <c r="V21" s="50"/>
      <c r="W21" s="51"/>
    </row>
    <row r="22" spans="1:23" ht="30" customHeight="1" x14ac:dyDescent="0.3">
      <c r="A22" s="40" t="s">
        <v>190</v>
      </c>
      <c r="B22" s="41" t="s">
        <v>21</v>
      </c>
      <c r="C22" s="42" t="s">
        <v>22</v>
      </c>
      <c r="D22" s="42" t="s">
        <v>191</v>
      </c>
      <c r="E22" s="42" t="s">
        <v>52</v>
      </c>
      <c r="F22" s="43" t="s">
        <v>99</v>
      </c>
      <c r="G22" s="41" t="s">
        <v>20</v>
      </c>
      <c r="H22" s="53" t="s">
        <v>105</v>
      </c>
      <c r="I22" s="41" t="s">
        <v>112</v>
      </c>
      <c r="J22" s="45">
        <v>1</v>
      </c>
      <c r="K22" s="42" t="s">
        <v>185</v>
      </c>
      <c r="L22" s="42"/>
      <c r="M22" s="46"/>
      <c r="N22" s="47"/>
      <c r="O22" s="48"/>
      <c r="P22" s="48"/>
      <c r="Q22" s="49"/>
      <c r="R22" s="41">
        <v>5</v>
      </c>
      <c r="S22" s="50" t="s">
        <v>192</v>
      </c>
      <c r="T22" s="50" t="s">
        <v>193</v>
      </c>
      <c r="U22" s="50" t="s">
        <v>194</v>
      </c>
      <c r="V22" s="50"/>
      <c r="W22" s="51"/>
    </row>
    <row r="23" spans="1:23" ht="30" customHeight="1" x14ac:dyDescent="0.3">
      <c r="A23" s="40" t="s">
        <v>195</v>
      </c>
      <c r="B23" s="41" t="s">
        <v>21</v>
      </c>
      <c r="C23" s="42" t="s">
        <v>22</v>
      </c>
      <c r="D23" s="42" t="s">
        <v>196</v>
      </c>
      <c r="E23" s="42" t="s">
        <v>52</v>
      </c>
      <c r="F23" s="43" t="s">
        <v>99</v>
      </c>
      <c r="G23" s="41" t="s">
        <v>20</v>
      </c>
      <c r="H23" s="52" t="s">
        <v>106</v>
      </c>
      <c r="I23" s="41" t="s">
        <v>110</v>
      </c>
      <c r="J23" s="45">
        <v>1.5</v>
      </c>
      <c r="K23" s="42" t="s">
        <v>185</v>
      </c>
      <c r="L23" s="42"/>
      <c r="M23" s="46"/>
      <c r="N23" s="47"/>
      <c r="O23" s="48"/>
      <c r="P23" s="48"/>
      <c r="Q23" s="49"/>
      <c r="R23" s="41">
        <v>4</v>
      </c>
      <c r="S23" s="50" t="s">
        <v>197</v>
      </c>
      <c r="T23" s="50" t="s">
        <v>198</v>
      </c>
      <c r="U23" s="50" t="s">
        <v>199</v>
      </c>
      <c r="V23" s="50"/>
      <c r="W23" s="51"/>
    </row>
    <row r="24" spans="1:23" ht="30" customHeight="1" x14ac:dyDescent="0.3">
      <c r="A24" s="40" t="s">
        <v>200</v>
      </c>
      <c r="B24" s="41" t="s">
        <v>21</v>
      </c>
      <c r="C24" s="42" t="s">
        <v>22</v>
      </c>
      <c r="D24" s="42" t="s">
        <v>201</v>
      </c>
      <c r="E24" s="42" t="s">
        <v>52</v>
      </c>
      <c r="F24" s="43" t="s">
        <v>99</v>
      </c>
      <c r="G24" s="41" t="s">
        <v>55</v>
      </c>
      <c r="H24" s="53" t="s">
        <v>105</v>
      </c>
      <c r="I24" s="41" t="s">
        <v>110</v>
      </c>
      <c r="J24" s="45">
        <v>2</v>
      </c>
      <c r="K24" s="42" t="s">
        <v>202</v>
      </c>
      <c r="L24" s="42"/>
      <c r="M24" s="46"/>
      <c r="N24" s="47"/>
      <c r="O24" s="48"/>
      <c r="P24" s="48"/>
      <c r="Q24" s="49"/>
      <c r="R24" s="41">
        <v>7</v>
      </c>
      <c r="S24" s="50" t="s">
        <v>203</v>
      </c>
      <c r="T24" s="50" t="s">
        <v>204</v>
      </c>
      <c r="U24" s="50" t="s">
        <v>205</v>
      </c>
      <c r="V24" s="50"/>
      <c r="W24" s="51"/>
    </row>
    <row r="25" spans="1:23" ht="30" customHeight="1" x14ac:dyDescent="0.3">
      <c r="A25" s="40" t="s">
        <v>206</v>
      </c>
      <c r="B25" s="41" t="s">
        <v>21</v>
      </c>
      <c r="C25" s="42" t="s">
        <v>22</v>
      </c>
      <c r="D25" s="42" t="s">
        <v>207</v>
      </c>
      <c r="E25" s="42" t="s">
        <v>52</v>
      </c>
      <c r="F25" s="43" t="s">
        <v>99</v>
      </c>
      <c r="G25" s="41" t="s">
        <v>55</v>
      </c>
      <c r="H25" s="53" t="s">
        <v>105</v>
      </c>
      <c r="I25" s="41" t="s">
        <v>112</v>
      </c>
      <c r="J25" s="45">
        <v>1</v>
      </c>
      <c r="K25" s="42" t="s">
        <v>208</v>
      </c>
      <c r="L25" s="42"/>
      <c r="M25" s="46"/>
      <c r="N25" s="47"/>
      <c r="O25" s="48"/>
      <c r="P25" s="48"/>
      <c r="Q25" s="49"/>
      <c r="R25" s="41">
        <v>5</v>
      </c>
      <c r="S25" s="50" t="s">
        <v>209</v>
      </c>
      <c r="T25" s="50" t="s">
        <v>210</v>
      </c>
      <c r="U25" s="50" t="s">
        <v>211</v>
      </c>
      <c r="V25" s="50"/>
      <c r="W25" s="51"/>
    </row>
    <row r="26" spans="1:23" ht="30" customHeight="1" x14ac:dyDescent="0.3">
      <c r="A26" s="40" t="s">
        <v>212</v>
      </c>
      <c r="B26" s="41" t="s">
        <v>21</v>
      </c>
      <c r="C26" s="42" t="s">
        <v>22</v>
      </c>
      <c r="D26" s="42" t="s">
        <v>213</v>
      </c>
      <c r="E26" s="42" t="s">
        <v>52</v>
      </c>
      <c r="F26" s="43" t="s">
        <v>99</v>
      </c>
      <c r="G26" s="41" t="s">
        <v>20</v>
      </c>
      <c r="H26" s="52" t="s">
        <v>106</v>
      </c>
      <c r="I26" s="41" t="s">
        <v>110</v>
      </c>
      <c r="J26" s="45">
        <v>1</v>
      </c>
      <c r="K26" s="42" t="s">
        <v>214</v>
      </c>
      <c r="L26" s="42"/>
      <c r="M26" s="46"/>
      <c r="N26" s="47"/>
      <c r="O26" s="48"/>
      <c r="P26" s="48"/>
      <c r="Q26" s="49"/>
      <c r="R26" s="41">
        <v>4</v>
      </c>
      <c r="S26" s="50" t="s">
        <v>215</v>
      </c>
      <c r="T26" s="50" t="s">
        <v>216</v>
      </c>
      <c r="U26" s="50" t="s">
        <v>217</v>
      </c>
      <c r="V26" s="50"/>
      <c r="W26" s="51"/>
    </row>
    <row r="27" spans="1:23" ht="30" customHeight="1" x14ac:dyDescent="0.3">
      <c r="A27" s="40" t="s">
        <v>218</v>
      </c>
      <c r="B27" s="41" t="s">
        <v>21</v>
      </c>
      <c r="C27" s="42" t="s">
        <v>22</v>
      </c>
      <c r="D27" s="42" t="s">
        <v>219</v>
      </c>
      <c r="E27" s="42" t="s">
        <v>52</v>
      </c>
      <c r="F27" s="43" t="s">
        <v>99</v>
      </c>
      <c r="G27" s="41" t="s">
        <v>55</v>
      </c>
      <c r="H27" s="53" t="s">
        <v>105</v>
      </c>
      <c r="I27" s="41" t="s">
        <v>110</v>
      </c>
      <c r="J27" s="45">
        <v>0.5</v>
      </c>
      <c r="K27" s="42" t="s">
        <v>200</v>
      </c>
      <c r="L27" s="42"/>
      <c r="M27" s="46"/>
      <c r="N27" s="47"/>
      <c r="O27" s="48"/>
      <c r="P27" s="48"/>
      <c r="Q27" s="49"/>
      <c r="R27" s="41">
        <v>3</v>
      </c>
      <c r="S27" s="50" t="s">
        <v>220</v>
      </c>
      <c r="T27" s="50" t="s">
        <v>221</v>
      </c>
      <c r="U27" s="50" t="s">
        <v>222</v>
      </c>
      <c r="V27" s="50"/>
      <c r="W27" s="51"/>
    </row>
    <row r="28" spans="1:23" ht="30" customHeight="1" x14ac:dyDescent="0.3">
      <c r="A28" s="40" t="s">
        <v>223</v>
      </c>
      <c r="B28" s="41" t="s">
        <v>21</v>
      </c>
      <c r="C28" s="42" t="s">
        <v>22</v>
      </c>
      <c r="D28" s="42" t="s">
        <v>224</v>
      </c>
      <c r="E28" s="42" t="s">
        <v>52</v>
      </c>
      <c r="F28" s="54" t="s">
        <v>101</v>
      </c>
      <c r="G28" s="41" t="s">
        <v>35</v>
      </c>
      <c r="H28" s="44" t="s">
        <v>107</v>
      </c>
      <c r="I28" s="41" t="s">
        <v>110</v>
      </c>
      <c r="J28" s="45">
        <v>2</v>
      </c>
      <c r="K28" s="42" t="s">
        <v>195</v>
      </c>
      <c r="L28" s="42"/>
      <c r="M28" s="46"/>
      <c r="N28" s="47"/>
      <c r="O28" s="48"/>
      <c r="P28" s="48"/>
      <c r="Q28" s="49"/>
      <c r="R28" s="41">
        <v>3</v>
      </c>
      <c r="S28" s="50" t="s">
        <v>225</v>
      </c>
      <c r="T28" s="50" t="s">
        <v>226</v>
      </c>
      <c r="U28" s="50"/>
      <c r="V28" s="50"/>
      <c r="W28" s="51"/>
    </row>
    <row r="29" spans="1:23" ht="30" customHeight="1" x14ac:dyDescent="0.3">
      <c r="A29" s="40" t="s">
        <v>227</v>
      </c>
      <c r="B29" s="41" t="s">
        <v>21</v>
      </c>
      <c r="C29" s="42" t="s">
        <v>22</v>
      </c>
      <c r="D29" s="42" t="s">
        <v>228</v>
      </c>
      <c r="E29" s="42" t="s">
        <v>52</v>
      </c>
      <c r="F29" s="43" t="s">
        <v>99</v>
      </c>
      <c r="G29" s="41" t="s">
        <v>55</v>
      </c>
      <c r="H29" s="53" t="s">
        <v>105</v>
      </c>
      <c r="I29" s="41" t="s">
        <v>110</v>
      </c>
      <c r="J29" s="45">
        <v>1</v>
      </c>
      <c r="K29" s="42" t="s">
        <v>200</v>
      </c>
      <c r="L29" s="42"/>
      <c r="M29" s="46"/>
      <c r="N29" s="47"/>
      <c r="O29" s="48"/>
      <c r="P29" s="48"/>
      <c r="Q29" s="49"/>
      <c r="R29" s="41">
        <v>5</v>
      </c>
      <c r="S29" s="50" t="s">
        <v>229</v>
      </c>
      <c r="T29" s="50" t="s">
        <v>230</v>
      </c>
      <c r="U29" s="50" t="s">
        <v>231</v>
      </c>
      <c r="V29" s="50"/>
      <c r="W29" s="51"/>
    </row>
    <row r="30" spans="1:23" ht="30" customHeight="1" x14ac:dyDescent="0.3">
      <c r="A30" s="40" t="s">
        <v>232</v>
      </c>
      <c r="B30" s="41" t="s">
        <v>24</v>
      </c>
      <c r="C30" s="42" t="s">
        <v>25</v>
      </c>
      <c r="D30" s="42" t="s">
        <v>233</v>
      </c>
      <c r="E30" s="42" t="s">
        <v>52</v>
      </c>
      <c r="F30" s="43" t="s">
        <v>99</v>
      </c>
      <c r="G30" s="41" t="s">
        <v>20</v>
      </c>
      <c r="H30" s="52" t="s">
        <v>106</v>
      </c>
      <c r="I30" s="41" t="s">
        <v>110</v>
      </c>
      <c r="J30" s="45">
        <v>1.5</v>
      </c>
      <c r="K30" s="42" t="s">
        <v>161</v>
      </c>
      <c r="L30" s="42"/>
      <c r="M30" s="46"/>
      <c r="N30" s="47"/>
      <c r="O30" s="48"/>
      <c r="P30" s="48"/>
      <c r="Q30" s="49"/>
      <c r="R30" s="41">
        <v>6</v>
      </c>
      <c r="S30" s="50" t="s">
        <v>234</v>
      </c>
      <c r="T30" s="50" t="s">
        <v>235</v>
      </c>
      <c r="U30" s="50" t="s">
        <v>236</v>
      </c>
      <c r="V30" s="50"/>
      <c r="W30" s="51"/>
    </row>
    <row r="31" spans="1:23" ht="30" customHeight="1" x14ac:dyDescent="0.3">
      <c r="A31" s="40" t="s">
        <v>237</v>
      </c>
      <c r="B31" s="41" t="s">
        <v>24</v>
      </c>
      <c r="C31" s="42" t="s">
        <v>25</v>
      </c>
      <c r="D31" s="42" t="s">
        <v>238</v>
      </c>
      <c r="E31" s="42" t="s">
        <v>52</v>
      </c>
      <c r="F31" s="43" t="s">
        <v>99</v>
      </c>
      <c r="G31" s="41" t="s">
        <v>20</v>
      </c>
      <c r="H31" s="53" t="s">
        <v>105</v>
      </c>
      <c r="I31" s="41" t="s">
        <v>110</v>
      </c>
      <c r="J31" s="45">
        <v>2</v>
      </c>
      <c r="K31" s="42" t="s">
        <v>232</v>
      </c>
      <c r="L31" s="42"/>
      <c r="M31" s="46"/>
      <c r="N31" s="47"/>
      <c r="O31" s="48"/>
      <c r="P31" s="48"/>
      <c r="Q31" s="49"/>
      <c r="R31" s="41">
        <v>5</v>
      </c>
      <c r="S31" s="50" t="s">
        <v>239</v>
      </c>
      <c r="T31" s="50" t="s">
        <v>240</v>
      </c>
      <c r="U31" s="50" t="s">
        <v>241</v>
      </c>
      <c r="V31" s="50"/>
      <c r="W31" s="51"/>
    </row>
    <row r="32" spans="1:23" ht="30" customHeight="1" x14ac:dyDescent="0.3">
      <c r="A32" s="40" t="s">
        <v>242</v>
      </c>
      <c r="B32" s="41" t="s">
        <v>24</v>
      </c>
      <c r="C32" s="42" t="s">
        <v>25</v>
      </c>
      <c r="D32" s="42" t="s">
        <v>243</v>
      </c>
      <c r="E32" s="42" t="s">
        <v>52</v>
      </c>
      <c r="F32" s="43" t="s">
        <v>99</v>
      </c>
      <c r="G32" s="41" t="s">
        <v>20</v>
      </c>
      <c r="H32" s="52" t="s">
        <v>106</v>
      </c>
      <c r="I32" s="41" t="s">
        <v>110</v>
      </c>
      <c r="J32" s="45">
        <v>1.5</v>
      </c>
      <c r="K32" s="42" t="s">
        <v>195</v>
      </c>
      <c r="L32" s="42"/>
      <c r="M32" s="46"/>
      <c r="N32" s="47"/>
      <c r="O32" s="48"/>
      <c r="P32" s="48"/>
      <c r="Q32" s="49"/>
      <c r="R32" s="41">
        <v>4</v>
      </c>
      <c r="S32" s="50" t="s">
        <v>244</v>
      </c>
      <c r="T32" s="50" t="s">
        <v>245</v>
      </c>
      <c r="U32" s="50"/>
      <c r="V32" s="50"/>
      <c r="W32" s="51"/>
    </row>
    <row r="33" spans="1:23" ht="30" customHeight="1" x14ac:dyDescent="0.3">
      <c r="A33" s="40" t="s">
        <v>246</v>
      </c>
      <c r="B33" s="41" t="s">
        <v>24</v>
      </c>
      <c r="C33" s="42" t="s">
        <v>25</v>
      </c>
      <c r="D33" s="42" t="s">
        <v>247</v>
      </c>
      <c r="E33" s="42" t="s">
        <v>52</v>
      </c>
      <c r="F33" s="43" t="s">
        <v>99</v>
      </c>
      <c r="G33" s="41" t="s">
        <v>20</v>
      </c>
      <c r="H33" s="52" t="s">
        <v>106</v>
      </c>
      <c r="I33" s="41" t="s">
        <v>113</v>
      </c>
      <c r="J33" s="45">
        <v>1.5</v>
      </c>
      <c r="K33" s="42" t="s">
        <v>232</v>
      </c>
      <c r="L33" s="42"/>
      <c r="M33" s="46"/>
      <c r="N33" s="47"/>
      <c r="O33" s="48"/>
      <c r="P33" s="48"/>
      <c r="Q33" s="49"/>
      <c r="R33" s="41">
        <v>5</v>
      </c>
      <c r="S33" s="50" t="s">
        <v>248</v>
      </c>
      <c r="T33" s="50" t="s">
        <v>249</v>
      </c>
      <c r="U33" s="50" t="s">
        <v>250</v>
      </c>
      <c r="V33" s="50"/>
      <c r="W33" s="51"/>
    </row>
    <row r="34" spans="1:23" ht="30" customHeight="1" x14ac:dyDescent="0.3">
      <c r="A34" s="40" t="s">
        <v>251</v>
      </c>
      <c r="B34" s="41" t="s">
        <v>24</v>
      </c>
      <c r="C34" s="42" t="s">
        <v>25</v>
      </c>
      <c r="D34" s="42" t="s">
        <v>252</v>
      </c>
      <c r="E34" s="42" t="s">
        <v>52</v>
      </c>
      <c r="F34" s="43" t="s">
        <v>99</v>
      </c>
      <c r="G34" s="41" t="s">
        <v>35</v>
      </c>
      <c r="H34" s="52" t="s">
        <v>106</v>
      </c>
      <c r="I34" s="41" t="s">
        <v>110</v>
      </c>
      <c r="J34" s="45">
        <v>1</v>
      </c>
      <c r="K34" s="42" t="s">
        <v>232</v>
      </c>
      <c r="L34" s="42"/>
      <c r="M34" s="46"/>
      <c r="N34" s="47"/>
      <c r="O34" s="48"/>
      <c r="P34" s="48"/>
      <c r="Q34" s="49"/>
      <c r="R34" s="41">
        <v>3</v>
      </c>
      <c r="S34" s="50" t="s">
        <v>253</v>
      </c>
      <c r="T34" s="50" t="s">
        <v>254</v>
      </c>
      <c r="U34" s="50"/>
      <c r="V34" s="50"/>
      <c r="W34" s="51"/>
    </row>
    <row r="35" spans="1:23" ht="30" customHeight="1" x14ac:dyDescent="0.3">
      <c r="A35" s="40" t="s">
        <v>255</v>
      </c>
      <c r="B35" s="41" t="s">
        <v>24</v>
      </c>
      <c r="C35" s="42" t="s">
        <v>25</v>
      </c>
      <c r="D35" s="42" t="s">
        <v>256</v>
      </c>
      <c r="E35" s="42" t="s">
        <v>52</v>
      </c>
      <c r="F35" s="54" t="s">
        <v>101</v>
      </c>
      <c r="G35" s="41" t="s">
        <v>76</v>
      </c>
      <c r="H35" s="44" t="s">
        <v>107</v>
      </c>
      <c r="I35" s="41" t="s">
        <v>114</v>
      </c>
      <c r="J35" s="45">
        <v>0.5</v>
      </c>
      <c r="K35" s="42" t="s">
        <v>257</v>
      </c>
      <c r="L35" s="42"/>
      <c r="M35" s="46"/>
      <c r="N35" s="47"/>
      <c r="O35" s="48"/>
      <c r="P35" s="48"/>
      <c r="Q35" s="49"/>
      <c r="R35" s="41">
        <v>0</v>
      </c>
      <c r="S35" s="50" t="s">
        <v>258</v>
      </c>
      <c r="T35" s="50"/>
      <c r="U35" s="50"/>
      <c r="V35" s="50"/>
      <c r="W35" s="51"/>
    </row>
    <row r="36" spans="1:23" ht="30" customHeight="1" x14ac:dyDescent="0.3">
      <c r="A36" s="40" t="s">
        <v>259</v>
      </c>
      <c r="B36" s="41" t="s">
        <v>27</v>
      </c>
      <c r="C36" s="42" t="s">
        <v>28</v>
      </c>
      <c r="D36" s="42" t="s">
        <v>260</v>
      </c>
      <c r="E36" s="42" t="s">
        <v>52</v>
      </c>
      <c r="F36" s="43" t="s">
        <v>99</v>
      </c>
      <c r="G36" s="41" t="s">
        <v>20</v>
      </c>
      <c r="H36" s="53" t="s">
        <v>105</v>
      </c>
      <c r="I36" s="41" t="s">
        <v>110</v>
      </c>
      <c r="J36" s="45">
        <v>1</v>
      </c>
      <c r="K36" s="42" t="s">
        <v>161</v>
      </c>
      <c r="L36" s="42"/>
      <c r="M36" s="46"/>
      <c r="N36" s="47"/>
      <c r="O36" s="48"/>
      <c r="P36" s="48"/>
      <c r="Q36" s="49"/>
      <c r="R36" s="41">
        <v>5</v>
      </c>
      <c r="S36" s="50" t="s">
        <v>261</v>
      </c>
      <c r="T36" s="50" t="s">
        <v>262</v>
      </c>
      <c r="U36" s="50" t="s">
        <v>263</v>
      </c>
      <c r="V36" s="50"/>
      <c r="W36" s="51"/>
    </row>
    <row r="37" spans="1:23" ht="30" customHeight="1" x14ac:dyDescent="0.3">
      <c r="A37" s="40" t="s">
        <v>264</v>
      </c>
      <c r="B37" s="41" t="s">
        <v>27</v>
      </c>
      <c r="C37" s="42" t="s">
        <v>28</v>
      </c>
      <c r="D37" s="42" t="s">
        <v>265</v>
      </c>
      <c r="E37" s="42" t="s">
        <v>52</v>
      </c>
      <c r="F37" s="43" t="s">
        <v>99</v>
      </c>
      <c r="G37" s="41" t="s">
        <v>20</v>
      </c>
      <c r="H37" s="53" t="s">
        <v>105</v>
      </c>
      <c r="I37" s="41" t="s">
        <v>110</v>
      </c>
      <c r="J37" s="45">
        <v>0.5</v>
      </c>
      <c r="K37" s="42" t="s">
        <v>161</v>
      </c>
      <c r="L37" s="42"/>
      <c r="M37" s="46"/>
      <c r="N37" s="47"/>
      <c r="O37" s="48"/>
      <c r="P37" s="48"/>
      <c r="Q37" s="49"/>
      <c r="R37" s="41">
        <v>3</v>
      </c>
      <c r="S37" s="50" t="s">
        <v>266</v>
      </c>
      <c r="T37" s="50" t="s">
        <v>267</v>
      </c>
      <c r="U37" s="50" t="s">
        <v>268</v>
      </c>
      <c r="V37" s="50"/>
      <c r="W37" s="51"/>
    </row>
    <row r="38" spans="1:23" ht="30" customHeight="1" x14ac:dyDescent="0.3">
      <c r="A38" s="40" t="s">
        <v>269</v>
      </c>
      <c r="B38" s="41" t="s">
        <v>27</v>
      </c>
      <c r="C38" s="42" t="s">
        <v>28</v>
      </c>
      <c r="D38" s="42" t="s">
        <v>270</v>
      </c>
      <c r="E38" s="42" t="s">
        <v>52</v>
      </c>
      <c r="F38" s="43" t="s">
        <v>99</v>
      </c>
      <c r="G38" s="41" t="s">
        <v>20</v>
      </c>
      <c r="H38" s="53" t="s">
        <v>105</v>
      </c>
      <c r="I38" s="41" t="s">
        <v>110</v>
      </c>
      <c r="J38" s="45">
        <v>0.5</v>
      </c>
      <c r="K38" s="42" t="s">
        <v>161</v>
      </c>
      <c r="L38" s="42"/>
      <c r="M38" s="46"/>
      <c r="N38" s="47"/>
      <c r="O38" s="48"/>
      <c r="P38" s="48"/>
      <c r="Q38" s="49"/>
      <c r="R38" s="41">
        <v>3</v>
      </c>
      <c r="S38" s="50" t="s">
        <v>271</v>
      </c>
      <c r="T38" s="50" t="s">
        <v>272</v>
      </c>
      <c r="U38" s="50"/>
      <c r="V38" s="50"/>
      <c r="W38" s="51"/>
    </row>
    <row r="39" spans="1:23" ht="30" customHeight="1" x14ac:dyDescent="0.3">
      <c r="A39" s="40" t="s">
        <v>273</v>
      </c>
      <c r="B39" s="41" t="s">
        <v>27</v>
      </c>
      <c r="C39" s="42" t="s">
        <v>28</v>
      </c>
      <c r="D39" s="42" t="s">
        <v>274</v>
      </c>
      <c r="E39" s="42" t="s">
        <v>52</v>
      </c>
      <c r="F39" s="43" t="s">
        <v>99</v>
      </c>
      <c r="G39" s="41" t="s">
        <v>20</v>
      </c>
      <c r="H39" s="52" t="s">
        <v>106</v>
      </c>
      <c r="I39" s="41" t="s">
        <v>110</v>
      </c>
      <c r="J39" s="45">
        <v>1</v>
      </c>
      <c r="K39" s="42" t="s">
        <v>161</v>
      </c>
      <c r="L39" s="42"/>
      <c r="M39" s="46"/>
      <c r="N39" s="47"/>
      <c r="O39" s="48"/>
      <c r="P39" s="48"/>
      <c r="Q39" s="49"/>
      <c r="R39" s="41">
        <v>4</v>
      </c>
      <c r="S39" s="50" t="s">
        <v>275</v>
      </c>
      <c r="T39" s="50" t="s">
        <v>276</v>
      </c>
      <c r="U39" s="50"/>
      <c r="V39" s="50"/>
      <c r="W39" s="51"/>
    </row>
    <row r="40" spans="1:23" ht="30" customHeight="1" x14ac:dyDescent="0.3">
      <c r="A40" s="40" t="s">
        <v>277</v>
      </c>
      <c r="B40" s="41" t="s">
        <v>27</v>
      </c>
      <c r="C40" s="42" t="s">
        <v>28</v>
      </c>
      <c r="D40" s="42" t="s">
        <v>278</v>
      </c>
      <c r="E40" s="42" t="s">
        <v>52</v>
      </c>
      <c r="F40" s="43" t="s">
        <v>99</v>
      </c>
      <c r="G40" s="41" t="s">
        <v>20</v>
      </c>
      <c r="H40" s="53" t="s">
        <v>105</v>
      </c>
      <c r="I40" s="41" t="s">
        <v>110</v>
      </c>
      <c r="J40" s="45">
        <v>1</v>
      </c>
      <c r="K40" s="42" t="s">
        <v>161</v>
      </c>
      <c r="L40" s="42"/>
      <c r="M40" s="46"/>
      <c r="N40" s="47"/>
      <c r="O40" s="48"/>
      <c r="P40" s="48"/>
      <c r="Q40" s="49"/>
      <c r="R40" s="41">
        <v>4</v>
      </c>
      <c r="S40" s="50" t="s">
        <v>279</v>
      </c>
      <c r="T40" s="50" t="s">
        <v>280</v>
      </c>
      <c r="U40" s="50" t="s">
        <v>281</v>
      </c>
      <c r="V40" s="50"/>
      <c r="W40" s="51"/>
    </row>
    <row r="41" spans="1:23" ht="30" customHeight="1" x14ac:dyDescent="0.3">
      <c r="A41" s="40" t="s">
        <v>282</v>
      </c>
      <c r="B41" s="41" t="s">
        <v>27</v>
      </c>
      <c r="C41" s="42" t="s">
        <v>28</v>
      </c>
      <c r="D41" s="42" t="s">
        <v>283</v>
      </c>
      <c r="E41" s="42" t="s">
        <v>52</v>
      </c>
      <c r="F41" s="55" t="s">
        <v>100</v>
      </c>
      <c r="G41" s="41" t="s">
        <v>20</v>
      </c>
      <c r="H41" s="52" t="s">
        <v>106</v>
      </c>
      <c r="I41" s="41" t="s">
        <v>110</v>
      </c>
      <c r="J41" s="45">
        <v>1</v>
      </c>
      <c r="K41" s="42" t="s">
        <v>161</v>
      </c>
      <c r="L41" s="42"/>
      <c r="M41" s="46"/>
      <c r="N41" s="47"/>
      <c r="O41" s="48"/>
      <c r="P41" s="48"/>
      <c r="Q41" s="49"/>
      <c r="R41" s="41">
        <v>4</v>
      </c>
      <c r="S41" s="50" t="s">
        <v>284</v>
      </c>
      <c r="T41" s="50" t="s">
        <v>285</v>
      </c>
      <c r="U41" s="50"/>
      <c r="V41" s="50"/>
      <c r="W41" s="51"/>
    </row>
    <row r="42" spans="1:23" ht="30" customHeight="1" x14ac:dyDescent="0.3">
      <c r="A42" s="40" t="s">
        <v>286</v>
      </c>
      <c r="B42" s="41" t="s">
        <v>27</v>
      </c>
      <c r="C42" s="42" t="s">
        <v>28</v>
      </c>
      <c r="D42" s="42" t="s">
        <v>287</v>
      </c>
      <c r="E42" s="42" t="s">
        <v>52</v>
      </c>
      <c r="F42" s="43" t="s">
        <v>99</v>
      </c>
      <c r="G42" s="41" t="s">
        <v>20</v>
      </c>
      <c r="H42" s="53" t="s">
        <v>105</v>
      </c>
      <c r="I42" s="41" t="s">
        <v>114</v>
      </c>
      <c r="J42" s="45">
        <v>1</v>
      </c>
      <c r="K42" s="42" t="s">
        <v>288</v>
      </c>
      <c r="L42" s="42"/>
      <c r="M42" s="46"/>
      <c r="N42" s="47"/>
      <c r="O42" s="48"/>
      <c r="P42" s="48"/>
      <c r="Q42" s="49"/>
      <c r="R42" s="41">
        <v>5</v>
      </c>
      <c r="S42" s="50" t="s">
        <v>289</v>
      </c>
      <c r="T42" s="50" t="s">
        <v>290</v>
      </c>
      <c r="U42" s="50" t="s">
        <v>291</v>
      </c>
      <c r="V42" s="50"/>
      <c r="W42" s="51"/>
    </row>
    <row r="43" spans="1:23" ht="30" customHeight="1" x14ac:dyDescent="0.3">
      <c r="A43" s="40" t="s">
        <v>257</v>
      </c>
      <c r="B43" s="41" t="s">
        <v>30</v>
      </c>
      <c r="C43" s="42" t="s">
        <v>31</v>
      </c>
      <c r="D43" s="42" t="s">
        <v>292</v>
      </c>
      <c r="E43" s="42" t="s">
        <v>52</v>
      </c>
      <c r="F43" s="43" t="s">
        <v>99</v>
      </c>
      <c r="G43" s="41" t="s">
        <v>20</v>
      </c>
      <c r="H43" s="52" t="s">
        <v>106</v>
      </c>
      <c r="I43" s="41" t="s">
        <v>110</v>
      </c>
      <c r="J43" s="45">
        <v>2</v>
      </c>
      <c r="K43" s="42" t="s">
        <v>195</v>
      </c>
      <c r="L43" s="42"/>
      <c r="M43" s="46"/>
      <c r="N43" s="47"/>
      <c r="O43" s="48"/>
      <c r="P43" s="48"/>
      <c r="Q43" s="49"/>
      <c r="R43" s="41">
        <v>6</v>
      </c>
      <c r="S43" s="50" t="s">
        <v>293</v>
      </c>
      <c r="T43" s="50" t="s">
        <v>294</v>
      </c>
      <c r="U43" s="50" t="s">
        <v>295</v>
      </c>
      <c r="V43" s="50"/>
      <c r="W43" s="51"/>
    </row>
    <row r="44" spans="1:23" ht="30" customHeight="1" x14ac:dyDescent="0.3">
      <c r="A44" s="40" t="s">
        <v>296</v>
      </c>
      <c r="B44" s="41" t="s">
        <v>30</v>
      </c>
      <c r="C44" s="42" t="s">
        <v>31</v>
      </c>
      <c r="D44" s="42" t="s">
        <v>297</v>
      </c>
      <c r="E44" s="42" t="s">
        <v>52</v>
      </c>
      <c r="F44" s="43" t="s">
        <v>99</v>
      </c>
      <c r="G44" s="41" t="s">
        <v>20</v>
      </c>
      <c r="H44" s="52" t="s">
        <v>106</v>
      </c>
      <c r="I44" s="41" t="s">
        <v>110</v>
      </c>
      <c r="J44" s="45">
        <v>1</v>
      </c>
      <c r="K44" s="42" t="s">
        <v>257</v>
      </c>
      <c r="L44" s="42"/>
      <c r="M44" s="46"/>
      <c r="N44" s="47"/>
      <c r="O44" s="48"/>
      <c r="P44" s="48"/>
      <c r="Q44" s="49"/>
      <c r="R44" s="41">
        <v>5</v>
      </c>
      <c r="S44" s="50" t="s">
        <v>298</v>
      </c>
      <c r="T44" s="50" t="s">
        <v>299</v>
      </c>
      <c r="U44" s="50"/>
      <c r="V44" s="50"/>
      <c r="W44" s="51"/>
    </row>
    <row r="45" spans="1:23" ht="30" customHeight="1" x14ac:dyDescent="0.3">
      <c r="A45" s="40" t="s">
        <v>300</v>
      </c>
      <c r="B45" s="41" t="s">
        <v>30</v>
      </c>
      <c r="C45" s="42" t="s">
        <v>31</v>
      </c>
      <c r="D45" s="42" t="s">
        <v>301</v>
      </c>
      <c r="E45" s="42" t="s">
        <v>52</v>
      </c>
      <c r="F45" s="43" t="s">
        <v>99</v>
      </c>
      <c r="G45" s="41" t="s">
        <v>20</v>
      </c>
      <c r="H45" s="52" t="s">
        <v>106</v>
      </c>
      <c r="I45" s="41" t="s">
        <v>110</v>
      </c>
      <c r="J45" s="45">
        <v>0.5</v>
      </c>
      <c r="K45" s="42" t="s">
        <v>296</v>
      </c>
      <c r="L45" s="42"/>
      <c r="M45" s="46"/>
      <c r="N45" s="47"/>
      <c r="O45" s="48"/>
      <c r="P45" s="48"/>
      <c r="Q45" s="49"/>
      <c r="R45" s="41">
        <v>3</v>
      </c>
      <c r="S45" s="50" t="s">
        <v>302</v>
      </c>
      <c r="T45" s="50" t="s">
        <v>303</v>
      </c>
      <c r="U45" s="50"/>
      <c r="V45" s="50"/>
      <c r="W45" s="51"/>
    </row>
    <row r="46" spans="1:23" ht="30" customHeight="1" x14ac:dyDescent="0.3">
      <c r="A46" s="40" t="s">
        <v>304</v>
      </c>
      <c r="B46" s="41" t="s">
        <v>30</v>
      </c>
      <c r="C46" s="42" t="s">
        <v>31</v>
      </c>
      <c r="D46" s="42" t="s">
        <v>305</v>
      </c>
      <c r="E46" s="42" t="s">
        <v>52</v>
      </c>
      <c r="F46" s="43" t="s">
        <v>99</v>
      </c>
      <c r="G46" s="41" t="s">
        <v>20</v>
      </c>
      <c r="H46" s="53" t="s">
        <v>105</v>
      </c>
      <c r="I46" s="41" t="s">
        <v>110</v>
      </c>
      <c r="J46" s="45">
        <v>1</v>
      </c>
      <c r="K46" s="42" t="s">
        <v>300</v>
      </c>
      <c r="L46" s="42"/>
      <c r="M46" s="46"/>
      <c r="N46" s="47"/>
      <c r="O46" s="48"/>
      <c r="P46" s="48"/>
      <c r="Q46" s="49"/>
      <c r="R46" s="41">
        <v>4</v>
      </c>
      <c r="S46" s="50" t="s">
        <v>306</v>
      </c>
      <c r="T46" s="50" t="s">
        <v>307</v>
      </c>
      <c r="U46" s="50" t="s">
        <v>308</v>
      </c>
      <c r="V46" s="50"/>
      <c r="W46" s="51"/>
    </row>
    <row r="47" spans="1:23" ht="30" customHeight="1" x14ac:dyDescent="0.3">
      <c r="A47" s="40" t="s">
        <v>309</v>
      </c>
      <c r="B47" s="41" t="s">
        <v>30</v>
      </c>
      <c r="C47" s="42" t="s">
        <v>31</v>
      </c>
      <c r="D47" s="42" t="s">
        <v>310</v>
      </c>
      <c r="E47" s="42" t="s">
        <v>52</v>
      </c>
      <c r="F47" s="43" t="s">
        <v>99</v>
      </c>
      <c r="G47" s="41" t="s">
        <v>20</v>
      </c>
      <c r="H47" s="52" t="s">
        <v>106</v>
      </c>
      <c r="I47" s="41" t="s">
        <v>110</v>
      </c>
      <c r="J47" s="45">
        <v>0.5</v>
      </c>
      <c r="K47" s="42" t="s">
        <v>304</v>
      </c>
      <c r="L47" s="42"/>
      <c r="M47" s="46"/>
      <c r="N47" s="47"/>
      <c r="O47" s="48"/>
      <c r="P47" s="48"/>
      <c r="Q47" s="49"/>
      <c r="R47" s="41">
        <v>3</v>
      </c>
      <c r="S47" s="50" t="s">
        <v>311</v>
      </c>
      <c r="T47" s="50" t="s">
        <v>312</v>
      </c>
      <c r="U47" s="50"/>
      <c r="V47" s="50"/>
      <c r="W47" s="51"/>
    </row>
    <row r="48" spans="1:23" ht="30" customHeight="1" x14ac:dyDescent="0.3">
      <c r="A48" s="40" t="s">
        <v>313</v>
      </c>
      <c r="B48" s="41" t="s">
        <v>30</v>
      </c>
      <c r="C48" s="42" t="s">
        <v>31</v>
      </c>
      <c r="D48" s="42" t="s">
        <v>314</v>
      </c>
      <c r="E48" s="42" t="s">
        <v>52</v>
      </c>
      <c r="F48" s="43" t="s">
        <v>99</v>
      </c>
      <c r="G48" s="41" t="s">
        <v>20</v>
      </c>
      <c r="H48" s="53" t="s">
        <v>105</v>
      </c>
      <c r="I48" s="41" t="s">
        <v>110</v>
      </c>
      <c r="J48" s="45">
        <v>2</v>
      </c>
      <c r="K48" s="42" t="s">
        <v>309</v>
      </c>
      <c r="L48" s="42"/>
      <c r="M48" s="46"/>
      <c r="N48" s="47"/>
      <c r="O48" s="48"/>
      <c r="P48" s="48"/>
      <c r="Q48" s="49"/>
      <c r="R48" s="41">
        <v>5</v>
      </c>
      <c r="S48" s="50" t="s">
        <v>315</v>
      </c>
      <c r="T48" s="50" t="s">
        <v>316</v>
      </c>
      <c r="U48" s="50" t="s">
        <v>317</v>
      </c>
      <c r="V48" s="50"/>
      <c r="W48" s="51"/>
    </row>
    <row r="49" spans="1:23" ht="30" customHeight="1" x14ac:dyDescent="0.3">
      <c r="A49" s="40" t="s">
        <v>318</v>
      </c>
      <c r="B49" s="41" t="s">
        <v>30</v>
      </c>
      <c r="C49" s="42" t="s">
        <v>31</v>
      </c>
      <c r="D49" s="42" t="s">
        <v>319</v>
      </c>
      <c r="E49" s="42" t="s">
        <v>52</v>
      </c>
      <c r="F49" s="43" t="s">
        <v>99</v>
      </c>
      <c r="G49" s="41" t="s">
        <v>20</v>
      </c>
      <c r="H49" s="52" t="s">
        <v>106</v>
      </c>
      <c r="I49" s="41" t="s">
        <v>110</v>
      </c>
      <c r="J49" s="45">
        <v>0.5</v>
      </c>
      <c r="K49" s="42" t="s">
        <v>313</v>
      </c>
      <c r="L49" s="42"/>
      <c r="M49" s="46"/>
      <c r="N49" s="47"/>
      <c r="O49" s="48"/>
      <c r="P49" s="48"/>
      <c r="Q49" s="49"/>
      <c r="R49" s="41">
        <v>3</v>
      </c>
      <c r="S49" s="50" t="s">
        <v>320</v>
      </c>
      <c r="T49" s="50" t="s">
        <v>321</v>
      </c>
      <c r="U49" s="50"/>
      <c r="V49" s="50"/>
      <c r="W49" s="51"/>
    </row>
    <row r="50" spans="1:23" ht="30" customHeight="1" x14ac:dyDescent="0.3">
      <c r="A50" s="40" t="s">
        <v>322</v>
      </c>
      <c r="B50" s="41" t="s">
        <v>30</v>
      </c>
      <c r="C50" s="42" t="s">
        <v>31</v>
      </c>
      <c r="D50" s="42" t="s">
        <v>323</v>
      </c>
      <c r="E50" s="42" t="s">
        <v>52</v>
      </c>
      <c r="F50" s="43" t="s">
        <v>99</v>
      </c>
      <c r="G50" s="41" t="s">
        <v>20</v>
      </c>
      <c r="H50" s="44" t="s">
        <v>107</v>
      </c>
      <c r="I50" s="41" t="s">
        <v>110</v>
      </c>
      <c r="J50" s="45">
        <v>0.5</v>
      </c>
      <c r="K50" s="42" t="s">
        <v>309</v>
      </c>
      <c r="L50" s="42"/>
      <c r="M50" s="46"/>
      <c r="N50" s="47"/>
      <c r="O50" s="48"/>
      <c r="P50" s="48"/>
      <c r="Q50" s="49"/>
      <c r="R50" s="41">
        <v>3</v>
      </c>
      <c r="S50" s="50" t="s">
        <v>324</v>
      </c>
      <c r="T50" s="50" t="s">
        <v>325</v>
      </c>
      <c r="U50" s="50"/>
      <c r="V50" s="50"/>
      <c r="W50" s="51"/>
    </row>
    <row r="51" spans="1:23" ht="30" customHeight="1" x14ac:dyDescent="0.3">
      <c r="A51" s="40" t="s">
        <v>326</v>
      </c>
      <c r="B51" s="41" t="s">
        <v>33</v>
      </c>
      <c r="C51" s="42" t="s">
        <v>34</v>
      </c>
      <c r="D51" s="42" t="s">
        <v>327</v>
      </c>
      <c r="E51" s="42" t="s">
        <v>52</v>
      </c>
      <c r="F51" s="43" t="s">
        <v>99</v>
      </c>
      <c r="G51" s="41" t="s">
        <v>35</v>
      </c>
      <c r="H51" s="53" t="s">
        <v>105</v>
      </c>
      <c r="I51" s="41" t="s">
        <v>110</v>
      </c>
      <c r="J51" s="45">
        <v>2</v>
      </c>
      <c r="K51" s="42" t="s">
        <v>313</v>
      </c>
      <c r="L51" s="42"/>
      <c r="M51" s="46"/>
      <c r="N51" s="47"/>
      <c r="O51" s="48"/>
      <c r="P51" s="48"/>
      <c r="Q51" s="49"/>
      <c r="R51" s="41">
        <v>5</v>
      </c>
      <c r="S51" s="50" t="s">
        <v>328</v>
      </c>
      <c r="T51" s="50" t="s">
        <v>329</v>
      </c>
      <c r="U51" s="50" t="s">
        <v>330</v>
      </c>
      <c r="V51" s="50"/>
      <c r="W51" s="51"/>
    </row>
    <row r="52" spans="1:23" ht="30" customHeight="1" x14ac:dyDescent="0.3">
      <c r="A52" s="40" t="s">
        <v>331</v>
      </c>
      <c r="B52" s="41" t="s">
        <v>33</v>
      </c>
      <c r="C52" s="42" t="s">
        <v>34</v>
      </c>
      <c r="D52" s="42" t="s">
        <v>332</v>
      </c>
      <c r="E52" s="42" t="s">
        <v>52</v>
      </c>
      <c r="F52" s="43" t="s">
        <v>99</v>
      </c>
      <c r="G52" s="41" t="s">
        <v>35</v>
      </c>
      <c r="H52" s="52" t="s">
        <v>106</v>
      </c>
      <c r="I52" s="41" t="s">
        <v>110</v>
      </c>
      <c r="J52" s="45">
        <v>2</v>
      </c>
      <c r="K52" s="42" t="s">
        <v>326</v>
      </c>
      <c r="L52" s="42"/>
      <c r="M52" s="46"/>
      <c r="N52" s="47"/>
      <c r="O52" s="48"/>
      <c r="P52" s="48"/>
      <c r="Q52" s="49"/>
      <c r="R52" s="41">
        <v>8</v>
      </c>
      <c r="S52" s="50"/>
      <c r="T52" s="50" t="s">
        <v>333</v>
      </c>
      <c r="U52" s="50" t="s">
        <v>334</v>
      </c>
      <c r="V52" s="50"/>
      <c r="W52" s="51"/>
    </row>
    <row r="53" spans="1:23" ht="30" customHeight="1" x14ac:dyDescent="0.3">
      <c r="A53" s="40" t="s">
        <v>335</v>
      </c>
      <c r="B53" s="41" t="s">
        <v>33</v>
      </c>
      <c r="C53" s="42" t="s">
        <v>34</v>
      </c>
      <c r="D53" s="42" t="s">
        <v>336</v>
      </c>
      <c r="E53" s="42" t="s">
        <v>52</v>
      </c>
      <c r="F53" s="43" t="s">
        <v>99</v>
      </c>
      <c r="G53" s="41" t="s">
        <v>35</v>
      </c>
      <c r="H53" s="53" t="s">
        <v>105</v>
      </c>
      <c r="I53" s="41" t="s">
        <v>110</v>
      </c>
      <c r="J53" s="45">
        <v>1.5</v>
      </c>
      <c r="K53" s="42" t="s">
        <v>337</v>
      </c>
      <c r="L53" s="42"/>
      <c r="M53" s="46"/>
      <c r="N53" s="47"/>
      <c r="O53" s="48"/>
      <c r="P53" s="48"/>
      <c r="Q53" s="49"/>
      <c r="R53" s="41">
        <v>5</v>
      </c>
      <c r="S53" s="50" t="s">
        <v>338</v>
      </c>
      <c r="T53" s="50" t="s">
        <v>339</v>
      </c>
      <c r="U53" s="50" t="s">
        <v>340</v>
      </c>
      <c r="V53" s="50"/>
      <c r="W53" s="51"/>
    </row>
    <row r="54" spans="1:23" ht="30" customHeight="1" x14ac:dyDescent="0.3">
      <c r="A54" s="40" t="s">
        <v>341</v>
      </c>
      <c r="B54" s="41" t="s">
        <v>33</v>
      </c>
      <c r="C54" s="42" t="s">
        <v>34</v>
      </c>
      <c r="D54" s="42" t="s">
        <v>342</v>
      </c>
      <c r="E54" s="42" t="s">
        <v>52</v>
      </c>
      <c r="F54" s="43" t="s">
        <v>99</v>
      </c>
      <c r="G54" s="41" t="s">
        <v>35</v>
      </c>
      <c r="H54" s="52" t="s">
        <v>106</v>
      </c>
      <c r="I54" s="41" t="s">
        <v>110</v>
      </c>
      <c r="J54" s="45">
        <v>1</v>
      </c>
      <c r="K54" s="42" t="s">
        <v>331</v>
      </c>
      <c r="L54" s="42"/>
      <c r="M54" s="46"/>
      <c r="N54" s="47"/>
      <c r="O54" s="48"/>
      <c r="P54" s="48"/>
      <c r="Q54" s="49"/>
      <c r="R54" s="41">
        <v>3</v>
      </c>
      <c r="S54" s="50"/>
      <c r="T54" s="50" t="s">
        <v>343</v>
      </c>
      <c r="U54" s="50"/>
      <c r="V54" s="50"/>
      <c r="W54" s="51"/>
    </row>
    <row r="55" spans="1:23" ht="30" customHeight="1" x14ac:dyDescent="0.3">
      <c r="A55" s="40" t="s">
        <v>344</v>
      </c>
      <c r="B55" s="41" t="s">
        <v>33</v>
      </c>
      <c r="C55" s="42" t="s">
        <v>34</v>
      </c>
      <c r="D55" s="42" t="s">
        <v>345</v>
      </c>
      <c r="E55" s="42" t="s">
        <v>52</v>
      </c>
      <c r="F55" s="43" t="s">
        <v>99</v>
      </c>
      <c r="G55" s="41" t="s">
        <v>35</v>
      </c>
      <c r="H55" s="52" t="s">
        <v>106</v>
      </c>
      <c r="I55" s="41" t="s">
        <v>110</v>
      </c>
      <c r="J55" s="45">
        <v>2</v>
      </c>
      <c r="K55" s="42" t="s">
        <v>331</v>
      </c>
      <c r="L55" s="42"/>
      <c r="M55" s="46"/>
      <c r="N55" s="47"/>
      <c r="O55" s="48"/>
      <c r="P55" s="48"/>
      <c r="Q55" s="49"/>
      <c r="R55" s="41">
        <v>5</v>
      </c>
      <c r="S55" s="50" t="s">
        <v>346</v>
      </c>
      <c r="T55" s="50" t="s">
        <v>347</v>
      </c>
      <c r="U55" s="50"/>
      <c r="V55" s="50"/>
      <c r="W55" s="51"/>
    </row>
    <row r="56" spans="1:23" ht="30" customHeight="1" x14ac:dyDescent="0.3">
      <c r="A56" s="40" t="s">
        <v>348</v>
      </c>
      <c r="B56" s="41" t="s">
        <v>33</v>
      </c>
      <c r="C56" s="42" t="s">
        <v>34</v>
      </c>
      <c r="D56" s="42" t="s">
        <v>349</v>
      </c>
      <c r="E56" s="42" t="s">
        <v>52</v>
      </c>
      <c r="F56" s="43" t="s">
        <v>99</v>
      </c>
      <c r="G56" s="41" t="s">
        <v>35</v>
      </c>
      <c r="H56" s="53" t="s">
        <v>105</v>
      </c>
      <c r="I56" s="41" t="s">
        <v>110</v>
      </c>
      <c r="J56" s="45">
        <v>1</v>
      </c>
      <c r="K56" s="42" t="s">
        <v>331</v>
      </c>
      <c r="L56" s="42"/>
      <c r="M56" s="46"/>
      <c r="N56" s="47"/>
      <c r="O56" s="48"/>
      <c r="P56" s="48"/>
      <c r="Q56" s="49"/>
      <c r="R56" s="41">
        <v>4</v>
      </c>
      <c r="S56" s="50" t="s">
        <v>350</v>
      </c>
      <c r="T56" s="50" t="s">
        <v>351</v>
      </c>
      <c r="U56" s="50" t="s">
        <v>352</v>
      </c>
      <c r="V56" s="50"/>
      <c r="W56" s="51"/>
    </row>
    <row r="57" spans="1:23" ht="30" customHeight="1" x14ac:dyDescent="0.3">
      <c r="A57" s="40" t="s">
        <v>353</v>
      </c>
      <c r="B57" s="41" t="s">
        <v>33</v>
      </c>
      <c r="C57" s="42" t="s">
        <v>34</v>
      </c>
      <c r="D57" s="42" t="s">
        <v>354</v>
      </c>
      <c r="E57" s="42" t="s">
        <v>52</v>
      </c>
      <c r="F57" s="43" t="s">
        <v>99</v>
      </c>
      <c r="G57" s="41" t="s">
        <v>35</v>
      </c>
      <c r="H57" s="52" t="s">
        <v>106</v>
      </c>
      <c r="I57" s="41" t="s">
        <v>110</v>
      </c>
      <c r="J57" s="45">
        <v>1.5</v>
      </c>
      <c r="K57" s="42" t="s">
        <v>331</v>
      </c>
      <c r="L57" s="42"/>
      <c r="M57" s="46"/>
      <c r="N57" s="47"/>
      <c r="O57" s="48"/>
      <c r="P57" s="48"/>
      <c r="Q57" s="49"/>
      <c r="R57" s="41">
        <v>4</v>
      </c>
      <c r="S57" s="50" t="s">
        <v>355</v>
      </c>
      <c r="T57" s="50" t="s">
        <v>356</v>
      </c>
      <c r="U57" s="50"/>
      <c r="V57" s="50"/>
      <c r="W57" s="51"/>
    </row>
    <row r="58" spans="1:23" ht="30" customHeight="1" x14ac:dyDescent="0.3">
      <c r="A58" s="40" t="s">
        <v>357</v>
      </c>
      <c r="B58" s="41" t="s">
        <v>33</v>
      </c>
      <c r="C58" s="42" t="s">
        <v>34</v>
      </c>
      <c r="D58" s="42" t="s">
        <v>358</v>
      </c>
      <c r="E58" s="42" t="s">
        <v>52</v>
      </c>
      <c r="F58" s="54" t="s">
        <v>101</v>
      </c>
      <c r="G58" s="41" t="s">
        <v>76</v>
      </c>
      <c r="H58" s="44" t="s">
        <v>107</v>
      </c>
      <c r="I58" s="41" t="s">
        <v>110</v>
      </c>
      <c r="J58" s="45">
        <v>1</v>
      </c>
      <c r="K58" s="42" t="s">
        <v>331</v>
      </c>
      <c r="L58" s="42"/>
      <c r="M58" s="46"/>
      <c r="N58" s="47"/>
      <c r="O58" s="48"/>
      <c r="P58" s="48"/>
      <c r="Q58" s="49"/>
      <c r="R58" s="41">
        <v>0</v>
      </c>
      <c r="S58" s="50"/>
      <c r="T58" s="50"/>
      <c r="U58" s="50"/>
      <c r="V58" s="50" t="s">
        <v>359</v>
      </c>
      <c r="W58" s="51"/>
    </row>
    <row r="59" spans="1:23" ht="30" customHeight="1" x14ac:dyDescent="0.3">
      <c r="A59" s="40" t="s">
        <v>360</v>
      </c>
      <c r="B59" s="41" t="s">
        <v>37</v>
      </c>
      <c r="C59" s="42" t="s">
        <v>38</v>
      </c>
      <c r="D59" s="42" t="s">
        <v>361</v>
      </c>
      <c r="E59" s="42" t="s">
        <v>52</v>
      </c>
      <c r="F59" s="43" t="s">
        <v>99</v>
      </c>
      <c r="G59" s="41" t="s">
        <v>35</v>
      </c>
      <c r="H59" s="44" t="s">
        <v>107</v>
      </c>
      <c r="I59" s="41" t="s">
        <v>110</v>
      </c>
      <c r="J59" s="45">
        <v>0.5</v>
      </c>
      <c r="K59" s="42" t="s">
        <v>212</v>
      </c>
      <c r="L59" s="42"/>
      <c r="M59" s="46"/>
      <c r="N59" s="47"/>
      <c r="O59" s="48"/>
      <c r="P59" s="48"/>
      <c r="Q59" s="49"/>
      <c r="R59" s="41">
        <v>4</v>
      </c>
      <c r="S59" s="50"/>
      <c r="T59" s="50" t="s">
        <v>362</v>
      </c>
      <c r="U59" s="50"/>
      <c r="V59" s="50"/>
      <c r="W59" s="51"/>
    </row>
    <row r="60" spans="1:23" ht="30" customHeight="1" x14ac:dyDescent="0.3">
      <c r="A60" s="40" t="s">
        <v>363</v>
      </c>
      <c r="B60" s="41" t="s">
        <v>37</v>
      </c>
      <c r="C60" s="42" t="s">
        <v>38</v>
      </c>
      <c r="D60" s="42" t="s">
        <v>364</v>
      </c>
      <c r="E60" s="42" t="s">
        <v>52</v>
      </c>
      <c r="F60" s="43" t="s">
        <v>99</v>
      </c>
      <c r="G60" s="41" t="s">
        <v>35</v>
      </c>
      <c r="H60" s="53" t="s">
        <v>105</v>
      </c>
      <c r="I60" s="41" t="s">
        <v>110</v>
      </c>
      <c r="J60" s="45">
        <v>1.5</v>
      </c>
      <c r="K60" s="42" t="s">
        <v>365</v>
      </c>
      <c r="L60" s="42"/>
      <c r="M60" s="46"/>
      <c r="N60" s="47"/>
      <c r="O60" s="48"/>
      <c r="P60" s="48"/>
      <c r="Q60" s="49"/>
      <c r="R60" s="41">
        <v>4</v>
      </c>
      <c r="S60" s="50" t="s">
        <v>366</v>
      </c>
      <c r="T60" s="50" t="s">
        <v>367</v>
      </c>
      <c r="U60" s="50" t="s">
        <v>368</v>
      </c>
      <c r="V60" s="50"/>
      <c r="W60" s="51"/>
    </row>
    <row r="61" spans="1:23" ht="30" customHeight="1" x14ac:dyDescent="0.3">
      <c r="A61" s="40" t="s">
        <v>369</v>
      </c>
      <c r="B61" s="41" t="s">
        <v>37</v>
      </c>
      <c r="C61" s="42" t="s">
        <v>38</v>
      </c>
      <c r="D61" s="42" t="s">
        <v>370</v>
      </c>
      <c r="E61" s="42" t="s">
        <v>52</v>
      </c>
      <c r="F61" s="43" t="s">
        <v>99</v>
      </c>
      <c r="G61" s="41" t="s">
        <v>35</v>
      </c>
      <c r="H61" s="52" t="s">
        <v>106</v>
      </c>
      <c r="I61" s="41" t="s">
        <v>110</v>
      </c>
      <c r="J61" s="45">
        <v>2</v>
      </c>
      <c r="K61" s="42" t="s">
        <v>371</v>
      </c>
      <c r="L61" s="42"/>
      <c r="M61" s="46"/>
      <c r="N61" s="47"/>
      <c r="O61" s="48"/>
      <c r="P61" s="48"/>
      <c r="Q61" s="49"/>
      <c r="R61" s="41">
        <v>7</v>
      </c>
      <c r="S61" s="50"/>
      <c r="T61" s="50" t="s">
        <v>372</v>
      </c>
      <c r="U61" s="50" t="s">
        <v>373</v>
      </c>
      <c r="V61" s="50"/>
      <c r="W61" s="51"/>
    </row>
    <row r="62" spans="1:23" ht="30" customHeight="1" x14ac:dyDescent="0.3">
      <c r="A62" s="40" t="s">
        <v>374</v>
      </c>
      <c r="B62" s="41" t="s">
        <v>37</v>
      </c>
      <c r="C62" s="42" t="s">
        <v>38</v>
      </c>
      <c r="D62" s="42" t="s">
        <v>375</v>
      </c>
      <c r="E62" s="42" t="s">
        <v>52</v>
      </c>
      <c r="F62" s="43" t="s">
        <v>99</v>
      </c>
      <c r="G62" s="41" t="s">
        <v>35</v>
      </c>
      <c r="H62" s="44" t="s">
        <v>107</v>
      </c>
      <c r="I62" s="41" t="s">
        <v>110</v>
      </c>
      <c r="J62" s="45">
        <v>0.5</v>
      </c>
      <c r="K62" s="42" t="s">
        <v>369</v>
      </c>
      <c r="L62" s="42"/>
      <c r="M62" s="46"/>
      <c r="N62" s="47"/>
      <c r="O62" s="48"/>
      <c r="P62" s="48"/>
      <c r="Q62" s="49"/>
      <c r="R62" s="41">
        <v>3</v>
      </c>
      <c r="S62" s="50"/>
      <c r="T62" s="50" t="s">
        <v>376</v>
      </c>
      <c r="U62" s="50"/>
      <c r="V62" s="50"/>
      <c r="W62" s="51"/>
    </row>
    <row r="63" spans="1:23" ht="30" customHeight="1" x14ac:dyDescent="0.3">
      <c r="A63" s="40" t="s">
        <v>377</v>
      </c>
      <c r="B63" s="41" t="s">
        <v>37</v>
      </c>
      <c r="C63" s="42" t="s">
        <v>38</v>
      </c>
      <c r="D63" s="42" t="s">
        <v>378</v>
      </c>
      <c r="E63" s="42" t="s">
        <v>52</v>
      </c>
      <c r="F63" s="43" t="s">
        <v>99</v>
      </c>
      <c r="G63" s="41" t="s">
        <v>35</v>
      </c>
      <c r="H63" s="52" t="s">
        <v>106</v>
      </c>
      <c r="I63" s="41" t="s">
        <v>110</v>
      </c>
      <c r="J63" s="45">
        <v>1</v>
      </c>
      <c r="K63" s="42" t="s">
        <v>369</v>
      </c>
      <c r="L63" s="42"/>
      <c r="M63" s="46"/>
      <c r="N63" s="47"/>
      <c r="O63" s="48"/>
      <c r="P63" s="48"/>
      <c r="Q63" s="49"/>
      <c r="R63" s="41">
        <v>3</v>
      </c>
      <c r="S63" s="50" t="s">
        <v>379</v>
      </c>
      <c r="T63" s="50" t="s">
        <v>380</v>
      </c>
      <c r="U63" s="50"/>
      <c r="V63" s="50"/>
      <c r="W63" s="51"/>
    </row>
    <row r="64" spans="1:23" ht="30" customHeight="1" x14ac:dyDescent="0.3">
      <c r="A64" s="40" t="s">
        <v>381</v>
      </c>
      <c r="B64" s="41" t="s">
        <v>37</v>
      </c>
      <c r="C64" s="42" t="s">
        <v>38</v>
      </c>
      <c r="D64" s="42" t="s">
        <v>382</v>
      </c>
      <c r="E64" s="42" t="s">
        <v>52</v>
      </c>
      <c r="F64" s="55" t="s">
        <v>100</v>
      </c>
      <c r="G64" s="41" t="s">
        <v>35</v>
      </c>
      <c r="H64" s="44" t="s">
        <v>107</v>
      </c>
      <c r="I64" s="41" t="s">
        <v>113</v>
      </c>
      <c r="J64" s="45">
        <v>1.5</v>
      </c>
      <c r="K64" s="42" t="s">
        <v>374</v>
      </c>
      <c r="L64" s="42"/>
      <c r="M64" s="46"/>
      <c r="N64" s="47"/>
      <c r="O64" s="48"/>
      <c r="P64" s="48"/>
      <c r="Q64" s="49"/>
      <c r="R64" s="41">
        <v>4</v>
      </c>
      <c r="S64" s="50" t="s">
        <v>383</v>
      </c>
      <c r="T64" s="50" t="s">
        <v>384</v>
      </c>
      <c r="U64" s="50"/>
      <c r="V64" s="50"/>
      <c r="W64" s="51"/>
    </row>
    <row r="65" spans="1:23" ht="30" customHeight="1" x14ac:dyDescent="0.3">
      <c r="A65" s="40" t="s">
        <v>385</v>
      </c>
      <c r="B65" s="41" t="s">
        <v>40</v>
      </c>
      <c r="C65" s="42" t="s">
        <v>41</v>
      </c>
      <c r="D65" s="42" t="s">
        <v>386</v>
      </c>
      <c r="E65" s="42" t="s">
        <v>52</v>
      </c>
      <c r="F65" s="55" t="s">
        <v>100</v>
      </c>
      <c r="G65" s="41" t="s">
        <v>42</v>
      </c>
      <c r="H65" s="52" t="s">
        <v>106</v>
      </c>
      <c r="I65" s="41" t="s">
        <v>110</v>
      </c>
      <c r="J65" s="45">
        <v>1.5</v>
      </c>
      <c r="K65" s="42" t="s">
        <v>161</v>
      </c>
      <c r="L65" s="42"/>
      <c r="M65" s="46"/>
      <c r="N65" s="47"/>
      <c r="O65" s="48"/>
      <c r="P65" s="48"/>
      <c r="Q65" s="49"/>
      <c r="R65" s="41">
        <v>4</v>
      </c>
      <c r="S65" s="50"/>
      <c r="T65" s="50" t="s">
        <v>387</v>
      </c>
      <c r="U65" s="50" t="s">
        <v>388</v>
      </c>
      <c r="V65" s="50"/>
      <c r="W65" s="51"/>
    </row>
    <row r="66" spans="1:23" ht="30" customHeight="1" x14ac:dyDescent="0.3">
      <c r="A66" s="40" t="s">
        <v>389</v>
      </c>
      <c r="B66" s="41" t="s">
        <v>40</v>
      </c>
      <c r="C66" s="42" t="s">
        <v>41</v>
      </c>
      <c r="D66" s="42" t="s">
        <v>390</v>
      </c>
      <c r="E66" s="42" t="s">
        <v>52</v>
      </c>
      <c r="F66" s="55" t="s">
        <v>100</v>
      </c>
      <c r="G66" s="41" t="s">
        <v>42</v>
      </c>
      <c r="H66" s="52" t="s">
        <v>106</v>
      </c>
      <c r="I66" s="41" t="s">
        <v>110</v>
      </c>
      <c r="J66" s="45">
        <v>1.5</v>
      </c>
      <c r="K66" s="42" t="s">
        <v>385</v>
      </c>
      <c r="L66" s="42"/>
      <c r="M66" s="46"/>
      <c r="N66" s="47"/>
      <c r="O66" s="48"/>
      <c r="P66" s="48"/>
      <c r="Q66" s="49"/>
      <c r="R66" s="41">
        <v>3</v>
      </c>
      <c r="S66" s="50" t="s">
        <v>391</v>
      </c>
      <c r="T66" s="50" t="s">
        <v>392</v>
      </c>
      <c r="U66" s="50"/>
      <c r="V66" s="50"/>
      <c r="W66" s="51"/>
    </row>
    <row r="67" spans="1:23" ht="30" customHeight="1" x14ac:dyDescent="0.3">
      <c r="A67" s="40" t="s">
        <v>393</v>
      </c>
      <c r="B67" s="41" t="s">
        <v>40</v>
      </c>
      <c r="C67" s="42" t="s">
        <v>41</v>
      </c>
      <c r="D67" s="42" t="s">
        <v>394</v>
      </c>
      <c r="E67" s="42" t="s">
        <v>52</v>
      </c>
      <c r="F67" s="43" t="s">
        <v>99</v>
      </c>
      <c r="G67" s="41" t="s">
        <v>42</v>
      </c>
      <c r="H67" s="53" t="s">
        <v>105</v>
      </c>
      <c r="I67" s="41" t="s">
        <v>112</v>
      </c>
      <c r="J67" s="45">
        <v>2</v>
      </c>
      <c r="K67" s="42" t="s">
        <v>385</v>
      </c>
      <c r="L67" s="42"/>
      <c r="M67" s="46"/>
      <c r="N67" s="47"/>
      <c r="O67" s="48"/>
      <c r="P67" s="48"/>
      <c r="Q67" s="49"/>
      <c r="R67" s="41">
        <v>7</v>
      </c>
      <c r="S67" s="50" t="s">
        <v>395</v>
      </c>
      <c r="T67" s="50" t="s">
        <v>396</v>
      </c>
      <c r="U67" s="50" t="s">
        <v>397</v>
      </c>
      <c r="V67" s="50"/>
      <c r="W67" s="51"/>
    </row>
    <row r="68" spans="1:23" ht="30" customHeight="1" x14ac:dyDescent="0.3">
      <c r="A68" s="40" t="s">
        <v>398</v>
      </c>
      <c r="B68" s="41" t="s">
        <v>40</v>
      </c>
      <c r="C68" s="42" t="s">
        <v>41</v>
      </c>
      <c r="D68" s="42" t="s">
        <v>399</v>
      </c>
      <c r="E68" s="42" t="s">
        <v>52</v>
      </c>
      <c r="F68" s="55" t="s">
        <v>100</v>
      </c>
      <c r="G68" s="41" t="s">
        <v>42</v>
      </c>
      <c r="H68" s="52" t="s">
        <v>106</v>
      </c>
      <c r="I68" s="41" t="s">
        <v>110</v>
      </c>
      <c r="J68" s="45">
        <v>1</v>
      </c>
      <c r="K68" s="42" t="s">
        <v>389</v>
      </c>
      <c r="L68" s="42"/>
      <c r="M68" s="46"/>
      <c r="N68" s="47"/>
      <c r="O68" s="48"/>
      <c r="P68" s="48"/>
      <c r="Q68" s="49"/>
      <c r="R68" s="41">
        <v>3</v>
      </c>
      <c r="S68" s="50"/>
      <c r="T68" s="50" t="s">
        <v>400</v>
      </c>
      <c r="U68" s="50"/>
      <c r="V68" s="50"/>
      <c r="W68" s="51"/>
    </row>
    <row r="69" spans="1:23" ht="30" customHeight="1" x14ac:dyDescent="0.3">
      <c r="A69" s="40" t="s">
        <v>401</v>
      </c>
      <c r="B69" s="41" t="s">
        <v>40</v>
      </c>
      <c r="C69" s="42" t="s">
        <v>41</v>
      </c>
      <c r="D69" s="42" t="s">
        <v>402</v>
      </c>
      <c r="E69" s="42" t="s">
        <v>52</v>
      </c>
      <c r="F69" s="55" t="s">
        <v>100</v>
      </c>
      <c r="G69" s="41" t="s">
        <v>42</v>
      </c>
      <c r="H69" s="53" t="s">
        <v>105</v>
      </c>
      <c r="I69" s="41" t="s">
        <v>110</v>
      </c>
      <c r="J69" s="45">
        <v>1.5</v>
      </c>
      <c r="K69" s="42" t="s">
        <v>403</v>
      </c>
      <c r="L69" s="42"/>
      <c r="M69" s="46"/>
      <c r="N69" s="47"/>
      <c r="O69" s="48"/>
      <c r="P69" s="48"/>
      <c r="Q69" s="49"/>
      <c r="R69" s="41">
        <v>4</v>
      </c>
      <c r="S69" s="50" t="s">
        <v>404</v>
      </c>
      <c r="T69" s="50" t="s">
        <v>405</v>
      </c>
      <c r="U69" s="50" t="s">
        <v>406</v>
      </c>
      <c r="V69" s="50"/>
      <c r="W69" s="51"/>
    </row>
    <row r="70" spans="1:23" ht="30" customHeight="1" x14ac:dyDescent="0.3">
      <c r="A70" s="40" t="s">
        <v>407</v>
      </c>
      <c r="B70" s="41" t="s">
        <v>40</v>
      </c>
      <c r="C70" s="42" t="s">
        <v>41</v>
      </c>
      <c r="D70" s="42" t="s">
        <v>408</v>
      </c>
      <c r="E70" s="42" t="s">
        <v>52</v>
      </c>
      <c r="F70" s="55" t="s">
        <v>100</v>
      </c>
      <c r="G70" s="41" t="s">
        <v>42</v>
      </c>
      <c r="H70" s="52" t="s">
        <v>106</v>
      </c>
      <c r="I70" s="41" t="s">
        <v>110</v>
      </c>
      <c r="J70" s="45">
        <v>1.5</v>
      </c>
      <c r="K70" s="42" t="s">
        <v>401</v>
      </c>
      <c r="L70" s="42"/>
      <c r="M70" s="46"/>
      <c r="N70" s="47"/>
      <c r="O70" s="48"/>
      <c r="P70" s="48"/>
      <c r="Q70" s="49"/>
      <c r="R70" s="41">
        <v>6</v>
      </c>
      <c r="S70" s="50" t="s">
        <v>409</v>
      </c>
      <c r="T70" s="50" t="s">
        <v>410</v>
      </c>
      <c r="U70" s="50"/>
      <c r="V70" s="50"/>
      <c r="W70" s="51"/>
    </row>
    <row r="71" spans="1:23" ht="30" customHeight="1" x14ac:dyDescent="0.3">
      <c r="A71" s="40" t="s">
        <v>411</v>
      </c>
      <c r="B71" s="41" t="s">
        <v>40</v>
      </c>
      <c r="C71" s="42" t="s">
        <v>41</v>
      </c>
      <c r="D71" s="42" t="s">
        <v>412</v>
      </c>
      <c r="E71" s="42" t="s">
        <v>52</v>
      </c>
      <c r="F71" s="55" t="s">
        <v>100</v>
      </c>
      <c r="G71" s="41" t="s">
        <v>42</v>
      </c>
      <c r="H71" s="52" t="s">
        <v>106</v>
      </c>
      <c r="I71" s="41" t="s">
        <v>110</v>
      </c>
      <c r="J71" s="45">
        <v>0.5</v>
      </c>
      <c r="K71" s="42" t="s">
        <v>401</v>
      </c>
      <c r="L71" s="42"/>
      <c r="M71" s="46"/>
      <c r="N71" s="47"/>
      <c r="O71" s="48"/>
      <c r="P71" s="48"/>
      <c r="Q71" s="49"/>
      <c r="R71" s="41">
        <v>3</v>
      </c>
      <c r="S71" s="50"/>
      <c r="T71" s="50" t="s">
        <v>413</v>
      </c>
      <c r="U71" s="50"/>
      <c r="V71" s="50"/>
      <c r="W71" s="51"/>
    </row>
    <row r="72" spans="1:23" ht="30" customHeight="1" x14ac:dyDescent="0.3">
      <c r="A72" s="40" t="s">
        <v>414</v>
      </c>
      <c r="B72" s="41" t="s">
        <v>40</v>
      </c>
      <c r="C72" s="42" t="s">
        <v>41</v>
      </c>
      <c r="D72" s="42" t="s">
        <v>415</v>
      </c>
      <c r="E72" s="42" t="s">
        <v>52</v>
      </c>
      <c r="F72" s="55" t="s">
        <v>100</v>
      </c>
      <c r="G72" s="41" t="s">
        <v>42</v>
      </c>
      <c r="H72" s="52" t="s">
        <v>106</v>
      </c>
      <c r="I72" s="41" t="s">
        <v>110</v>
      </c>
      <c r="J72" s="45">
        <v>1.5</v>
      </c>
      <c r="K72" s="42" t="s">
        <v>416</v>
      </c>
      <c r="L72" s="42"/>
      <c r="M72" s="46"/>
      <c r="N72" s="47"/>
      <c r="O72" s="48"/>
      <c r="P72" s="48"/>
      <c r="Q72" s="49"/>
      <c r="R72" s="41">
        <v>5</v>
      </c>
      <c r="S72" s="50"/>
      <c r="T72" s="50" t="s">
        <v>417</v>
      </c>
      <c r="U72" s="50" t="s">
        <v>418</v>
      </c>
      <c r="V72" s="50"/>
      <c r="W72" s="51"/>
    </row>
    <row r="73" spans="1:23" ht="30" customHeight="1" x14ac:dyDescent="0.3">
      <c r="A73" s="40" t="s">
        <v>419</v>
      </c>
      <c r="B73" s="41" t="s">
        <v>40</v>
      </c>
      <c r="C73" s="42" t="s">
        <v>41</v>
      </c>
      <c r="D73" s="42" t="s">
        <v>420</v>
      </c>
      <c r="E73" s="42" t="s">
        <v>52</v>
      </c>
      <c r="F73" s="55" t="s">
        <v>100</v>
      </c>
      <c r="G73" s="41" t="s">
        <v>59</v>
      </c>
      <c r="H73" s="44" t="s">
        <v>107</v>
      </c>
      <c r="I73" s="41" t="s">
        <v>110</v>
      </c>
      <c r="J73" s="45">
        <v>1</v>
      </c>
      <c r="K73" s="42" t="s">
        <v>421</v>
      </c>
      <c r="L73" s="42"/>
      <c r="M73" s="46"/>
      <c r="N73" s="47"/>
      <c r="O73" s="48"/>
      <c r="P73" s="48"/>
      <c r="Q73" s="49"/>
      <c r="R73" s="41">
        <v>0</v>
      </c>
      <c r="S73" s="50"/>
      <c r="T73" s="50"/>
      <c r="U73" s="50"/>
      <c r="V73" s="50" t="s">
        <v>422</v>
      </c>
      <c r="W73" s="51"/>
    </row>
    <row r="74" spans="1:23" ht="30" customHeight="1" x14ac:dyDescent="0.3">
      <c r="A74" s="40" t="s">
        <v>423</v>
      </c>
      <c r="B74" s="41" t="s">
        <v>43</v>
      </c>
      <c r="C74" s="42" t="s">
        <v>44</v>
      </c>
      <c r="D74" s="42" t="s">
        <v>424</v>
      </c>
      <c r="E74" s="42" t="s">
        <v>52</v>
      </c>
      <c r="F74" s="55" t="s">
        <v>100</v>
      </c>
      <c r="G74" s="41" t="s">
        <v>42</v>
      </c>
      <c r="H74" s="52" t="s">
        <v>106</v>
      </c>
      <c r="I74" s="41" t="s">
        <v>110</v>
      </c>
      <c r="J74" s="45">
        <v>1</v>
      </c>
      <c r="K74" s="42"/>
      <c r="L74" s="42"/>
      <c r="M74" s="46"/>
      <c r="N74" s="47"/>
      <c r="O74" s="48"/>
      <c r="P74" s="48"/>
      <c r="Q74" s="49"/>
      <c r="R74" s="41">
        <v>3</v>
      </c>
      <c r="S74" s="50" t="s">
        <v>425</v>
      </c>
      <c r="T74" s="50" t="s">
        <v>426</v>
      </c>
      <c r="U74" s="50"/>
      <c r="V74" s="50"/>
      <c r="W74" s="51"/>
    </row>
    <row r="75" spans="1:23" ht="30" customHeight="1" x14ac:dyDescent="0.3">
      <c r="A75" s="40" t="s">
        <v>427</v>
      </c>
      <c r="B75" s="41" t="s">
        <v>43</v>
      </c>
      <c r="C75" s="42" t="s">
        <v>44</v>
      </c>
      <c r="D75" s="42" t="s">
        <v>428</v>
      </c>
      <c r="E75" s="42" t="s">
        <v>52</v>
      </c>
      <c r="F75" s="55" t="s">
        <v>100</v>
      </c>
      <c r="G75" s="41" t="s">
        <v>42</v>
      </c>
      <c r="H75" s="44" t="s">
        <v>107</v>
      </c>
      <c r="I75" s="41" t="s">
        <v>110</v>
      </c>
      <c r="J75" s="45">
        <v>0.5</v>
      </c>
      <c r="K75" s="42"/>
      <c r="L75" s="42"/>
      <c r="M75" s="46"/>
      <c r="N75" s="47"/>
      <c r="O75" s="48"/>
      <c r="P75" s="48"/>
      <c r="Q75" s="49"/>
      <c r="R75" s="41">
        <v>0</v>
      </c>
      <c r="S75" s="50"/>
      <c r="T75" s="50"/>
      <c r="U75" s="50"/>
      <c r="V75" s="50" t="s">
        <v>429</v>
      </c>
      <c r="W75" s="51"/>
    </row>
    <row r="76" spans="1:23" ht="30" customHeight="1" x14ac:dyDescent="0.3">
      <c r="A76" s="40" t="s">
        <v>430</v>
      </c>
      <c r="B76" s="41" t="s">
        <v>43</v>
      </c>
      <c r="C76" s="42" t="s">
        <v>44</v>
      </c>
      <c r="D76" s="42" t="s">
        <v>431</v>
      </c>
      <c r="E76" s="42" t="s">
        <v>52</v>
      </c>
      <c r="F76" s="55" t="s">
        <v>100</v>
      </c>
      <c r="G76" s="41" t="s">
        <v>42</v>
      </c>
      <c r="H76" s="44" t="s">
        <v>107</v>
      </c>
      <c r="I76" s="41" t="s">
        <v>110</v>
      </c>
      <c r="J76" s="45">
        <v>1</v>
      </c>
      <c r="K76" s="42"/>
      <c r="L76" s="42"/>
      <c r="M76" s="46"/>
      <c r="N76" s="47"/>
      <c r="O76" s="48"/>
      <c r="P76" s="48"/>
      <c r="Q76" s="49"/>
      <c r="R76" s="41">
        <v>0</v>
      </c>
      <c r="S76" s="50"/>
      <c r="T76" s="50"/>
      <c r="U76" s="50"/>
      <c r="V76" s="50" t="s">
        <v>432</v>
      </c>
      <c r="W76" s="51"/>
    </row>
    <row r="77" spans="1:23" ht="30" customHeight="1" x14ac:dyDescent="0.3">
      <c r="A77" s="40" t="s">
        <v>433</v>
      </c>
      <c r="B77" s="41" t="s">
        <v>43</v>
      </c>
      <c r="C77" s="42" t="s">
        <v>44</v>
      </c>
      <c r="D77" s="42" t="s">
        <v>434</v>
      </c>
      <c r="E77" s="42" t="s">
        <v>52</v>
      </c>
      <c r="F77" s="55" t="s">
        <v>100</v>
      </c>
      <c r="G77" s="41" t="s">
        <v>42</v>
      </c>
      <c r="H77" s="52" t="s">
        <v>106</v>
      </c>
      <c r="I77" s="41" t="s">
        <v>110</v>
      </c>
      <c r="J77" s="45">
        <v>1.5</v>
      </c>
      <c r="K77" s="42"/>
      <c r="L77" s="42"/>
      <c r="M77" s="46"/>
      <c r="N77" s="47"/>
      <c r="O77" s="48"/>
      <c r="P77" s="48"/>
      <c r="Q77" s="49"/>
      <c r="R77" s="41">
        <v>4</v>
      </c>
      <c r="S77" s="50"/>
      <c r="T77" s="50" t="s">
        <v>435</v>
      </c>
      <c r="U77" s="50"/>
      <c r="V77" s="50"/>
      <c r="W77" s="51"/>
    </row>
    <row r="78" spans="1:23" ht="30" customHeight="1" x14ac:dyDescent="0.3">
      <c r="A78" s="40" t="s">
        <v>436</v>
      </c>
      <c r="B78" s="41" t="s">
        <v>43</v>
      </c>
      <c r="C78" s="42" t="s">
        <v>44</v>
      </c>
      <c r="D78" s="42" t="s">
        <v>437</v>
      </c>
      <c r="E78" s="42" t="s">
        <v>52</v>
      </c>
      <c r="F78" s="55" t="s">
        <v>100</v>
      </c>
      <c r="G78" s="41" t="s">
        <v>42</v>
      </c>
      <c r="H78" s="53" t="s">
        <v>105</v>
      </c>
      <c r="I78" s="41" t="s">
        <v>110</v>
      </c>
      <c r="J78" s="45">
        <v>1.5</v>
      </c>
      <c r="K78" s="42"/>
      <c r="L78" s="42"/>
      <c r="M78" s="46"/>
      <c r="N78" s="47"/>
      <c r="O78" s="48"/>
      <c r="P78" s="48"/>
      <c r="Q78" s="49"/>
      <c r="R78" s="41">
        <v>4</v>
      </c>
      <c r="S78" s="50" t="s">
        <v>438</v>
      </c>
      <c r="T78" s="50" t="s">
        <v>439</v>
      </c>
      <c r="U78" s="50" t="s">
        <v>440</v>
      </c>
      <c r="V78" s="50"/>
      <c r="W78" s="51"/>
    </row>
    <row r="79" spans="1:23" ht="30" customHeight="1" x14ac:dyDescent="0.3">
      <c r="A79" s="40" t="s">
        <v>441</v>
      </c>
      <c r="B79" s="41" t="s">
        <v>43</v>
      </c>
      <c r="C79" s="42" t="s">
        <v>44</v>
      </c>
      <c r="D79" s="42" t="s">
        <v>442</v>
      </c>
      <c r="E79" s="42" t="s">
        <v>52</v>
      </c>
      <c r="F79" s="55" t="s">
        <v>100</v>
      </c>
      <c r="G79" s="41" t="s">
        <v>42</v>
      </c>
      <c r="H79" s="52" t="s">
        <v>106</v>
      </c>
      <c r="I79" s="41" t="s">
        <v>110</v>
      </c>
      <c r="J79" s="45">
        <v>1.5</v>
      </c>
      <c r="K79" s="42" t="s">
        <v>443</v>
      </c>
      <c r="L79" s="42"/>
      <c r="M79" s="46"/>
      <c r="N79" s="47"/>
      <c r="O79" s="48"/>
      <c r="P79" s="48"/>
      <c r="Q79" s="49"/>
      <c r="R79" s="41">
        <v>4</v>
      </c>
      <c r="S79" s="50"/>
      <c r="T79" s="50" t="s">
        <v>444</v>
      </c>
      <c r="U79" s="50"/>
      <c r="V79" s="50"/>
      <c r="W79" s="51"/>
    </row>
    <row r="80" spans="1:23" ht="30" customHeight="1" x14ac:dyDescent="0.3">
      <c r="A80" s="40" t="s">
        <v>445</v>
      </c>
      <c r="B80" s="41" t="s">
        <v>43</v>
      </c>
      <c r="C80" s="42" t="s">
        <v>44</v>
      </c>
      <c r="D80" s="42" t="s">
        <v>446</v>
      </c>
      <c r="E80" s="42" t="s">
        <v>52</v>
      </c>
      <c r="F80" s="55" t="s">
        <v>100</v>
      </c>
      <c r="G80" s="41" t="s">
        <v>42</v>
      </c>
      <c r="H80" s="53" t="s">
        <v>105</v>
      </c>
      <c r="I80" s="41" t="s">
        <v>110</v>
      </c>
      <c r="J80" s="45">
        <v>1</v>
      </c>
      <c r="K80" s="42" t="s">
        <v>447</v>
      </c>
      <c r="L80" s="42"/>
      <c r="M80" s="46"/>
      <c r="N80" s="47"/>
      <c r="O80" s="48"/>
      <c r="P80" s="48"/>
      <c r="Q80" s="49"/>
      <c r="R80" s="41">
        <v>5</v>
      </c>
      <c r="S80" s="50" t="s">
        <v>448</v>
      </c>
      <c r="T80" s="50" t="s">
        <v>449</v>
      </c>
      <c r="U80" s="50" t="s">
        <v>450</v>
      </c>
      <c r="V80" s="50"/>
      <c r="W80" s="51"/>
    </row>
    <row r="81" spans="1:23" ht="30" customHeight="1" x14ac:dyDescent="0.3">
      <c r="A81" s="40" t="s">
        <v>451</v>
      </c>
      <c r="B81" s="41" t="s">
        <v>43</v>
      </c>
      <c r="C81" s="42" t="s">
        <v>44</v>
      </c>
      <c r="D81" s="42" t="s">
        <v>452</v>
      </c>
      <c r="E81" s="42" t="s">
        <v>52</v>
      </c>
      <c r="F81" s="54" t="s">
        <v>101</v>
      </c>
      <c r="G81" s="41" t="s">
        <v>76</v>
      </c>
      <c r="H81" s="44" t="s">
        <v>107</v>
      </c>
      <c r="I81" s="41" t="s">
        <v>110</v>
      </c>
      <c r="J81" s="45">
        <v>1</v>
      </c>
      <c r="K81" s="42"/>
      <c r="L81" s="42"/>
      <c r="M81" s="46"/>
      <c r="N81" s="47"/>
      <c r="O81" s="48"/>
      <c r="P81" s="48"/>
      <c r="Q81" s="49"/>
      <c r="R81" s="41">
        <v>0</v>
      </c>
      <c r="S81" s="50"/>
      <c r="T81" s="50"/>
      <c r="U81" s="50"/>
      <c r="V81" s="50" t="s">
        <v>453</v>
      </c>
      <c r="W81" s="51"/>
    </row>
    <row r="82" spans="1:23" ht="30" customHeight="1" x14ac:dyDescent="0.3">
      <c r="A82" s="40" t="s">
        <v>454</v>
      </c>
      <c r="B82" s="41" t="s">
        <v>46</v>
      </c>
      <c r="C82" s="42" t="s">
        <v>47</v>
      </c>
      <c r="D82" s="42" t="s">
        <v>455</v>
      </c>
      <c r="E82" s="42" t="s">
        <v>52</v>
      </c>
      <c r="F82" s="43" t="s">
        <v>99</v>
      </c>
      <c r="G82" s="41" t="s">
        <v>42</v>
      </c>
      <c r="H82" s="53" t="s">
        <v>105</v>
      </c>
      <c r="I82" s="41" t="s">
        <v>110</v>
      </c>
      <c r="J82" s="45">
        <v>1.5</v>
      </c>
      <c r="K82" s="42"/>
      <c r="L82" s="42"/>
      <c r="M82" s="46"/>
      <c r="N82" s="47"/>
      <c r="O82" s="48"/>
      <c r="P82" s="48"/>
      <c r="Q82" s="49"/>
      <c r="R82" s="41">
        <v>5</v>
      </c>
      <c r="S82" s="50"/>
      <c r="T82" s="50" t="s">
        <v>456</v>
      </c>
      <c r="U82" s="50" t="s">
        <v>457</v>
      </c>
      <c r="V82" s="50"/>
      <c r="W82" s="51"/>
    </row>
    <row r="83" spans="1:23" ht="30" customHeight="1" x14ac:dyDescent="0.3">
      <c r="A83" s="40" t="s">
        <v>458</v>
      </c>
      <c r="B83" s="41" t="s">
        <v>46</v>
      </c>
      <c r="C83" s="42" t="s">
        <v>47</v>
      </c>
      <c r="D83" s="42" t="s">
        <v>459</v>
      </c>
      <c r="E83" s="42" t="s">
        <v>52</v>
      </c>
      <c r="F83" s="43" t="s">
        <v>99</v>
      </c>
      <c r="G83" s="41" t="s">
        <v>42</v>
      </c>
      <c r="H83" s="53" t="s">
        <v>105</v>
      </c>
      <c r="I83" s="41" t="s">
        <v>110</v>
      </c>
      <c r="J83" s="45">
        <v>2</v>
      </c>
      <c r="K83" s="42" t="s">
        <v>454</v>
      </c>
      <c r="L83" s="42"/>
      <c r="M83" s="46"/>
      <c r="N83" s="47"/>
      <c r="O83" s="48"/>
      <c r="P83" s="48"/>
      <c r="Q83" s="49"/>
      <c r="R83" s="41">
        <v>5</v>
      </c>
      <c r="S83" s="50" t="s">
        <v>460</v>
      </c>
      <c r="T83" s="50" t="s">
        <v>461</v>
      </c>
      <c r="U83" s="50" t="s">
        <v>462</v>
      </c>
      <c r="V83" s="50"/>
      <c r="W83" s="51"/>
    </row>
    <row r="84" spans="1:23" ht="30" customHeight="1" x14ac:dyDescent="0.3">
      <c r="A84" s="40" t="s">
        <v>463</v>
      </c>
      <c r="B84" s="41" t="s">
        <v>46</v>
      </c>
      <c r="C84" s="42" t="s">
        <v>47</v>
      </c>
      <c r="D84" s="42" t="s">
        <v>464</v>
      </c>
      <c r="E84" s="42" t="s">
        <v>52</v>
      </c>
      <c r="F84" s="43" t="s">
        <v>99</v>
      </c>
      <c r="G84" s="41" t="s">
        <v>42</v>
      </c>
      <c r="H84" s="53" t="s">
        <v>105</v>
      </c>
      <c r="I84" s="41" t="s">
        <v>110</v>
      </c>
      <c r="J84" s="45">
        <v>1</v>
      </c>
      <c r="K84" s="42" t="s">
        <v>454</v>
      </c>
      <c r="L84" s="42"/>
      <c r="M84" s="46"/>
      <c r="N84" s="47"/>
      <c r="O84" s="48"/>
      <c r="P84" s="48"/>
      <c r="Q84" s="49"/>
      <c r="R84" s="41">
        <v>4</v>
      </c>
      <c r="S84" s="50"/>
      <c r="T84" s="50" t="s">
        <v>465</v>
      </c>
      <c r="U84" s="50"/>
      <c r="V84" s="50"/>
      <c r="W84" s="51"/>
    </row>
    <row r="85" spans="1:23" ht="30" customHeight="1" x14ac:dyDescent="0.3">
      <c r="A85" s="40" t="s">
        <v>466</v>
      </c>
      <c r="B85" s="41" t="s">
        <v>46</v>
      </c>
      <c r="C85" s="42" t="s">
        <v>47</v>
      </c>
      <c r="D85" s="42" t="s">
        <v>467</v>
      </c>
      <c r="E85" s="42" t="s">
        <v>52</v>
      </c>
      <c r="F85" s="43" t="s">
        <v>99</v>
      </c>
      <c r="G85" s="41" t="s">
        <v>42</v>
      </c>
      <c r="H85" s="53" t="s">
        <v>105</v>
      </c>
      <c r="I85" s="41" t="s">
        <v>110</v>
      </c>
      <c r="J85" s="45">
        <v>1</v>
      </c>
      <c r="K85" s="42" t="s">
        <v>454</v>
      </c>
      <c r="L85" s="42"/>
      <c r="M85" s="46"/>
      <c r="N85" s="47"/>
      <c r="O85" s="48"/>
      <c r="P85" s="48"/>
      <c r="Q85" s="49"/>
      <c r="R85" s="41">
        <v>5</v>
      </c>
      <c r="S85" s="50"/>
      <c r="T85" s="50" t="s">
        <v>468</v>
      </c>
      <c r="U85" s="50" t="s">
        <v>469</v>
      </c>
      <c r="V85" s="50"/>
      <c r="W85" s="51"/>
    </row>
    <row r="86" spans="1:23" ht="30" customHeight="1" x14ac:dyDescent="0.3">
      <c r="A86" s="40" t="s">
        <v>470</v>
      </c>
      <c r="B86" s="41" t="s">
        <v>46</v>
      </c>
      <c r="C86" s="42" t="s">
        <v>47</v>
      </c>
      <c r="D86" s="42" t="s">
        <v>471</v>
      </c>
      <c r="E86" s="42" t="s">
        <v>52</v>
      </c>
      <c r="F86" s="43" t="s">
        <v>99</v>
      </c>
      <c r="G86" s="41" t="s">
        <v>59</v>
      </c>
      <c r="H86" s="53" t="s">
        <v>105</v>
      </c>
      <c r="I86" s="41" t="s">
        <v>110</v>
      </c>
      <c r="J86" s="45">
        <v>1.5</v>
      </c>
      <c r="K86" s="42" t="s">
        <v>472</v>
      </c>
      <c r="L86" s="42"/>
      <c r="M86" s="46"/>
      <c r="N86" s="47"/>
      <c r="O86" s="48"/>
      <c r="P86" s="48"/>
      <c r="Q86" s="49"/>
      <c r="R86" s="41">
        <v>5</v>
      </c>
      <c r="S86" s="50"/>
      <c r="T86" s="50" t="s">
        <v>473</v>
      </c>
      <c r="U86" s="50"/>
      <c r="V86" s="50"/>
      <c r="W86" s="51"/>
    </row>
    <row r="87" spans="1:23" ht="30" customHeight="1" x14ac:dyDescent="0.3">
      <c r="A87" s="40" t="s">
        <v>474</v>
      </c>
      <c r="B87" s="41" t="s">
        <v>46</v>
      </c>
      <c r="C87" s="42" t="s">
        <v>47</v>
      </c>
      <c r="D87" s="42" t="s">
        <v>475</v>
      </c>
      <c r="E87" s="42" t="s">
        <v>52</v>
      </c>
      <c r="F87" s="55" t="s">
        <v>100</v>
      </c>
      <c r="G87" s="41" t="s">
        <v>55</v>
      </c>
      <c r="H87" s="52" t="s">
        <v>106</v>
      </c>
      <c r="I87" s="41" t="s">
        <v>110</v>
      </c>
      <c r="J87" s="45">
        <v>1.5</v>
      </c>
      <c r="K87" s="42" t="s">
        <v>454</v>
      </c>
      <c r="L87" s="42"/>
      <c r="M87" s="46"/>
      <c r="N87" s="47"/>
      <c r="O87" s="48"/>
      <c r="P87" s="48"/>
      <c r="Q87" s="49"/>
      <c r="R87" s="41">
        <v>3</v>
      </c>
      <c r="S87" s="50" t="s">
        <v>476</v>
      </c>
      <c r="T87" s="50" t="s">
        <v>477</v>
      </c>
      <c r="U87" s="50"/>
      <c r="V87" s="50"/>
      <c r="W87" s="51"/>
    </row>
    <row r="88" spans="1:23" ht="30" customHeight="1" x14ac:dyDescent="0.3">
      <c r="A88" s="40" t="s">
        <v>478</v>
      </c>
      <c r="B88" s="41" t="s">
        <v>46</v>
      </c>
      <c r="C88" s="42" t="s">
        <v>47</v>
      </c>
      <c r="D88" s="42" t="s">
        <v>479</v>
      </c>
      <c r="E88" s="42" t="s">
        <v>52</v>
      </c>
      <c r="F88" s="55" t="s">
        <v>100</v>
      </c>
      <c r="G88" s="41" t="s">
        <v>59</v>
      </c>
      <c r="H88" s="53" t="s">
        <v>105</v>
      </c>
      <c r="I88" s="41" t="s">
        <v>112</v>
      </c>
      <c r="J88" s="45">
        <v>1</v>
      </c>
      <c r="K88" s="42" t="s">
        <v>454</v>
      </c>
      <c r="L88" s="42"/>
      <c r="M88" s="46"/>
      <c r="N88" s="47"/>
      <c r="O88" s="48"/>
      <c r="P88" s="48"/>
      <c r="Q88" s="49"/>
      <c r="R88" s="41">
        <v>3</v>
      </c>
      <c r="S88" s="50"/>
      <c r="T88" s="50" t="s">
        <v>480</v>
      </c>
      <c r="U88" s="50"/>
      <c r="V88" s="50"/>
      <c r="W88" s="51"/>
    </row>
    <row r="89" spans="1:23" ht="30" customHeight="1" x14ac:dyDescent="0.3">
      <c r="A89" s="40" t="s">
        <v>481</v>
      </c>
      <c r="B89" s="41" t="s">
        <v>46</v>
      </c>
      <c r="C89" s="42" t="s">
        <v>47</v>
      </c>
      <c r="D89" s="42" t="s">
        <v>482</v>
      </c>
      <c r="E89" s="42" t="s">
        <v>52</v>
      </c>
      <c r="F89" s="54" t="s">
        <v>101</v>
      </c>
      <c r="G89" s="41" t="s">
        <v>76</v>
      </c>
      <c r="H89" s="44" t="s">
        <v>107</v>
      </c>
      <c r="I89" s="41" t="s">
        <v>110</v>
      </c>
      <c r="J89" s="45">
        <v>0.5</v>
      </c>
      <c r="K89" s="42"/>
      <c r="L89" s="42"/>
      <c r="M89" s="46"/>
      <c r="N89" s="47"/>
      <c r="O89" s="48"/>
      <c r="P89" s="48"/>
      <c r="Q89" s="49"/>
      <c r="R89" s="41">
        <v>0</v>
      </c>
      <c r="S89" s="50"/>
      <c r="T89" s="50"/>
      <c r="U89" s="50"/>
      <c r="V89" s="50" t="s">
        <v>483</v>
      </c>
      <c r="W89" s="51"/>
    </row>
    <row r="90" spans="1:23" ht="30" customHeight="1" x14ac:dyDescent="0.3">
      <c r="A90" s="40" t="s">
        <v>484</v>
      </c>
      <c r="B90" s="41" t="s">
        <v>50</v>
      </c>
      <c r="C90" s="42" t="s">
        <v>51</v>
      </c>
      <c r="D90" s="42" t="s">
        <v>485</v>
      </c>
      <c r="E90" s="42" t="s">
        <v>52</v>
      </c>
      <c r="F90" s="43" t="s">
        <v>99</v>
      </c>
      <c r="G90" s="41" t="s">
        <v>42</v>
      </c>
      <c r="H90" s="53" t="s">
        <v>105</v>
      </c>
      <c r="I90" s="41" t="s">
        <v>110</v>
      </c>
      <c r="J90" s="45">
        <v>2</v>
      </c>
      <c r="K90" s="42" t="s">
        <v>161</v>
      </c>
      <c r="L90" s="42"/>
      <c r="M90" s="46"/>
      <c r="N90" s="47"/>
      <c r="O90" s="48"/>
      <c r="P90" s="48"/>
      <c r="Q90" s="49"/>
      <c r="R90" s="41">
        <v>5</v>
      </c>
      <c r="S90" s="50" t="s">
        <v>486</v>
      </c>
      <c r="T90" s="50" t="s">
        <v>487</v>
      </c>
      <c r="U90" s="50" t="s">
        <v>488</v>
      </c>
      <c r="V90" s="50"/>
      <c r="W90" s="51"/>
    </row>
    <row r="91" spans="1:23" ht="30" customHeight="1" x14ac:dyDescent="0.3">
      <c r="A91" s="40" t="s">
        <v>489</v>
      </c>
      <c r="B91" s="41" t="s">
        <v>50</v>
      </c>
      <c r="C91" s="42" t="s">
        <v>51</v>
      </c>
      <c r="D91" s="42" t="s">
        <v>490</v>
      </c>
      <c r="E91" s="42" t="s">
        <v>52</v>
      </c>
      <c r="F91" s="43" t="s">
        <v>99</v>
      </c>
      <c r="G91" s="41" t="s">
        <v>42</v>
      </c>
      <c r="H91" s="52" t="s">
        <v>106</v>
      </c>
      <c r="I91" s="41" t="s">
        <v>110</v>
      </c>
      <c r="J91" s="45">
        <v>0.5</v>
      </c>
      <c r="K91" s="42" t="s">
        <v>491</v>
      </c>
      <c r="L91" s="42"/>
      <c r="M91" s="46"/>
      <c r="N91" s="47"/>
      <c r="O91" s="48"/>
      <c r="P91" s="48"/>
      <c r="Q91" s="49"/>
      <c r="R91" s="41">
        <v>0</v>
      </c>
      <c r="S91" s="50"/>
      <c r="T91" s="50"/>
      <c r="U91" s="50"/>
      <c r="V91" s="50"/>
      <c r="W91" s="51"/>
    </row>
    <row r="92" spans="1:23" ht="30" customHeight="1" x14ac:dyDescent="0.3">
      <c r="A92" s="40" t="s">
        <v>492</v>
      </c>
      <c r="B92" s="41" t="s">
        <v>50</v>
      </c>
      <c r="C92" s="42" t="s">
        <v>51</v>
      </c>
      <c r="D92" s="42" t="s">
        <v>493</v>
      </c>
      <c r="E92" s="42" t="s">
        <v>52</v>
      </c>
      <c r="F92" s="43" t="s">
        <v>99</v>
      </c>
      <c r="G92" s="41" t="s">
        <v>42</v>
      </c>
      <c r="H92" s="52" t="s">
        <v>106</v>
      </c>
      <c r="I92" s="41" t="s">
        <v>110</v>
      </c>
      <c r="J92" s="45">
        <v>0.5</v>
      </c>
      <c r="K92" s="42" t="s">
        <v>363</v>
      </c>
      <c r="L92" s="42"/>
      <c r="M92" s="46"/>
      <c r="N92" s="47"/>
      <c r="O92" s="48"/>
      <c r="P92" s="48"/>
      <c r="Q92" s="49"/>
      <c r="R92" s="41">
        <v>0</v>
      </c>
      <c r="S92" s="50"/>
      <c r="T92" s="50"/>
      <c r="U92" s="50"/>
      <c r="V92" s="50"/>
      <c r="W92" s="51"/>
    </row>
    <row r="93" spans="1:23" ht="30" customHeight="1" x14ac:dyDescent="0.3">
      <c r="A93" s="40" t="s">
        <v>494</v>
      </c>
      <c r="B93" s="41" t="s">
        <v>50</v>
      </c>
      <c r="C93" s="42" t="s">
        <v>51</v>
      </c>
      <c r="D93" s="42" t="s">
        <v>495</v>
      </c>
      <c r="E93" s="42" t="s">
        <v>52</v>
      </c>
      <c r="F93" s="43" t="s">
        <v>99</v>
      </c>
      <c r="G93" s="41" t="s">
        <v>42</v>
      </c>
      <c r="H93" s="52" t="s">
        <v>106</v>
      </c>
      <c r="I93" s="41" t="s">
        <v>110</v>
      </c>
      <c r="J93" s="45">
        <v>2</v>
      </c>
      <c r="K93" s="42" t="s">
        <v>335</v>
      </c>
      <c r="L93" s="42"/>
      <c r="M93" s="46"/>
      <c r="N93" s="47"/>
      <c r="O93" s="48"/>
      <c r="P93" s="48"/>
      <c r="Q93" s="49"/>
      <c r="R93" s="41">
        <v>5</v>
      </c>
      <c r="S93" s="50" t="s">
        <v>496</v>
      </c>
      <c r="T93" s="50" t="s">
        <v>497</v>
      </c>
      <c r="U93" s="50" t="s">
        <v>498</v>
      </c>
      <c r="V93" s="50"/>
      <c r="W93" s="51"/>
    </row>
    <row r="94" spans="1:23" ht="30" customHeight="1" x14ac:dyDescent="0.3">
      <c r="A94" s="40" t="s">
        <v>499</v>
      </c>
      <c r="B94" s="41" t="s">
        <v>50</v>
      </c>
      <c r="C94" s="42" t="s">
        <v>51</v>
      </c>
      <c r="D94" s="42" t="s">
        <v>500</v>
      </c>
      <c r="E94" s="42" t="s">
        <v>52</v>
      </c>
      <c r="F94" s="43" t="s">
        <v>99</v>
      </c>
      <c r="G94" s="41" t="s">
        <v>42</v>
      </c>
      <c r="H94" s="52" t="s">
        <v>106</v>
      </c>
      <c r="I94" s="41" t="s">
        <v>110</v>
      </c>
      <c r="J94" s="45">
        <v>0.5</v>
      </c>
      <c r="K94" s="42" t="s">
        <v>501</v>
      </c>
      <c r="L94" s="42"/>
      <c r="M94" s="46"/>
      <c r="N94" s="47"/>
      <c r="O94" s="48"/>
      <c r="P94" s="48"/>
      <c r="Q94" s="49"/>
      <c r="R94" s="41">
        <v>0</v>
      </c>
      <c r="S94" s="50"/>
      <c r="T94" s="50"/>
      <c r="U94" s="50"/>
      <c r="V94" s="50"/>
      <c r="W94" s="51"/>
    </row>
    <row r="95" spans="1:23" ht="30" customHeight="1" x14ac:dyDescent="0.3">
      <c r="A95" s="40" t="s">
        <v>502</v>
      </c>
      <c r="B95" s="41" t="s">
        <v>50</v>
      </c>
      <c r="C95" s="42" t="s">
        <v>51</v>
      </c>
      <c r="D95" s="42" t="s">
        <v>503</v>
      </c>
      <c r="E95" s="42" t="s">
        <v>52</v>
      </c>
      <c r="F95" s="43" t="s">
        <v>99</v>
      </c>
      <c r="G95" s="41" t="s">
        <v>42</v>
      </c>
      <c r="H95" s="53" t="s">
        <v>105</v>
      </c>
      <c r="I95" s="41" t="s">
        <v>110</v>
      </c>
      <c r="J95" s="45">
        <v>2</v>
      </c>
      <c r="K95" s="42" t="s">
        <v>504</v>
      </c>
      <c r="L95" s="42"/>
      <c r="M95" s="46"/>
      <c r="N95" s="47"/>
      <c r="O95" s="48"/>
      <c r="P95" s="48"/>
      <c r="Q95" s="49"/>
      <c r="R95" s="41">
        <v>7</v>
      </c>
      <c r="S95" s="50" t="s">
        <v>505</v>
      </c>
      <c r="T95" s="50" t="s">
        <v>506</v>
      </c>
      <c r="U95" s="50" t="s">
        <v>507</v>
      </c>
      <c r="V95" s="50"/>
      <c r="W95" s="51"/>
    </row>
    <row r="96" spans="1:23" ht="30" customHeight="1" x14ac:dyDescent="0.3">
      <c r="A96" s="40" t="s">
        <v>508</v>
      </c>
      <c r="B96" s="41" t="s">
        <v>50</v>
      </c>
      <c r="C96" s="42" t="s">
        <v>51</v>
      </c>
      <c r="D96" s="42" t="s">
        <v>509</v>
      </c>
      <c r="E96" s="42" t="s">
        <v>52</v>
      </c>
      <c r="F96" s="43" t="s">
        <v>99</v>
      </c>
      <c r="G96" s="41" t="s">
        <v>42</v>
      </c>
      <c r="H96" s="53" t="s">
        <v>105</v>
      </c>
      <c r="I96" s="41" t="s">
        <v>110</v>
      </c>
      <c r="J96" s="45">
        <v>1.5</v>
      </c>
      <c r="K96" s="42" t="s">
        <v>510</v>
      </c>
      <c r="L96" s="42"/>
      <c r="M96" s="46"/>
      <c r="N96" s="47"/>
      <c r="O96" s="48"/>
      <c r="P96" s="48"/>
      <c r="Q96" s="49"/>
      <c r="R96" s="41">
        <v>5</v>
      </c>
      <c r="S96" s="50" t="s">
        <v>511</v>
      </c>
      <c r="T96" s="50" t="s">
        <v>512</v>
      </c>
      <c r="U96" s="50" t="s">
        <v>513</v>
      </c>
      <c r="V96" s="50"/>
      <c r="W96" s="51"/>
    </row>
    <row r="97" spans="1:23" ht="30" customHeight="1" x14ac:dyDescent="0.3">
      <c r="A97" s="40" t="s">
        <v>514</v>
      </c>
      <c r="B97" s="41" t="s">
        <v>50</v>
      </c>
      <c r="C97" s="42" t="s">
        <v>51</v>
      </c>
      <c r="D97" s="42" t="s">
        <v>515</v>
      </c>
      <c r="E97" s="42" t="s">
        <v>52</v>
      </c>
      <c r="F97" s="43" t="s">
        <v>99</v>
      </c>
      <c r="G97" s="41" t="s">
        <v>42</v>
      </c>
      <c r="H97" s="53" t="s">
        <v>105</v>
      </c>
      <c r="I97" s="41" t="s">
        <v>110</v>
      </c>
      <c r="J97" s="45">
        <v>1</v>
      </c>
      <c r="K97" s="42" t="s">
        <v>516</v>
      </c>
      <c r="L97" s="42"/>
      <c r="M97" s="46"/>
      <c r="N97" s="47"/>
      <c r="O97" s="48"/>
      <c r="P97" s="48"/>
      <c r="Q97" s="49"/>
      <c r="R97" s="41">
        <v>5</v>
      </c>
      <c r="S97" s="50"/>
      <c r="T97" s="50" t="s">
        <v>517</v>
      </c>
      <c r="U97" s="50" t="s">
        <v>518</v>
      </c>
      <c r="V97" s="50"/>
      <c r="W97" s="51"/>
    </row>
    <row r="98" spans="1:23" ht="30" customHeight="1" x14ac:dyDescent="0.3">
      <c r="A98" s="40" t="s">
        <v>519</v>
      </c>
      <c r="B98" s="41" t="s">
        <v>53</v>
      </c>
      <c r="C98" s="42" t="s">
        <v>54</v>
      </c>
      <c r="D98" s="42" t="s">
        <v>520</v>
      </c>
      <c r="E98" s="42" t="s">
        <v>52</v>
      </c>
      <c r="F98" s="43" t="s">
        <v>99</v>
      </c>
      <c r="G98" s="41" t="s">
        <v>55</v>
      </c>
      <c r="H98" s="52" t="s">
        <v>106</v>
      </c>
      <c r="I98" s="41" t="s">
        <v>110</v>
      </c>
      <c r="J98" s="45">
        <v>1.5</v>
      </c>
      <c r="K98" s="42" t="s">
        <v>155</v>
      </c>
      <c r="L98" s="42"/>
      <c r="M98" s="46"/>
      <c r="N98" s="47"/>
      <c r="O98" s="48"/>
      <c r="P98" s="48"/>
      <c r="Q98" s="49"/>
      <c r="R98" s="41">
        <v>4</v>
      </c>
      <c r="S98" s="50"/>
      <c r="T98" s="50" t="s">
        <v>521</v>
      </c>
      <c r="U98" s="50"/>
      <c r="V98" s="50"/>
      <c r="W98" s="51"/>
    </row>
    <row r="99" spans="1:23" ht="30" customHeight="1" x14ac:dyDescent="0.3">
      <c r="A99" s="40" t="s">
        <v>522</v>
      </c>
      <c r="B99" s="41" t="s">
        <v>53</v>
      </c>
      <c r="C99" s="42" t="s">
        <v>54</v>
      </c>
      <c r="D99" s="42" t="s">
        <v>523</v>
      </c>
      <c r="E99" s="42" t="s">
        <v>52</v>
      </c>
      <c r="F99" s="43" t="s">
        <v>99</v>
      </c>
      <c r="G99" s="41" t="s">
        <v>55</v>
      </c>
      <c r="H99" s="53" t="s">
        <v>105</v>
      </c>
      <c r="I99" s="41" t="s">
        <v>110</v>
      </c>
      <c r="J99" s="45">
        <v>1.5</v>
      </c>
      <c r="K99" s="42" t="s">
        <v>519</v>
      </c>
      <c r="L99" s="42"/>
      <c r="M99" s="46"/>
      <c r="N99" s="47"/>
      <c r="O99" s="48"/>
      <c r="P99" s="48"/>
      <c r="Q99" s="49"/>
      <c r="R99" s="41">
        <v>5</v>
      </c>
      <c r="S99" s="50"/>
      <c r="T99" s="50" t="s">
        <v>524</v>
      </c>
      <c r="U99" s="50" t="s">
        <v>525</v>
      </c>
      <c r="V99" s="50"/>
      <c r="W99" s="51"/>
    </row>
    <row r="100" spans="1:23" ht="30" customHeight="1" x14ac:dyDescent="0.3">
      <c r="A100" s="40" t="s">
        <v>526</v>
      </c>
      <c r="B100" s="41" t="s">
        <v>53</v>
      </c>
      <c r="C100" s="42" t="s">
        <v>54</v>
      </c>
      <c r="D100" s="42" t="s">
        <v>527</v>
      </c>
      <c r="E100" s="42" t="s">
        <v>52</v>
      </c>
      <c r="F100" s="43" t="s">
        <v>99</v>
      </c>
      <c r="G100" s="41" t="s">
        <v>55</v>
      </c>
      <c r="H100" s="53" t="s">
        <v>105</v>
      </c>
      <c r="I100" s="41" t="s">
        <v>110</v>
      </c>
      <c r="J100" s="45">
        <v>3</v>
      </c>
      <c r="K100" s="42" t="s">
        <v>528</v>
      </c>
      <c r="L100" s="42"/>
      <c r="M100" s="46"/>
      <c r="N100" s="47"/>
      <c r="O100" s="48"/>
      <c r="P100" s="48"/>
      <c r="Q100" s="49"/>
      <c r="R100" s="41">
        <v>6</v>
      </c>
      <c r="S100" s="50" t="s">
        <v>529</v>
      </c>
      <c r="T100" s="50" t="s">
        <v>530</v>
      </c>
      <c r="U100" s="50" t="s">
        <v>531</v>
      </c>
      <c r="V100" s="50"/>
      <c r="W100" s="51"/>
    </row>
    <row r="101" spans="1:23" ht="30" customHeight="1" x14ac:dyDescent="0.3">
      <c r="A101" s="40" t="s">
        <v>532</v>
      </c>
      <c r="B101" s="41" t="s">
        <v>53</v>
      </c>
      <c r="C101" s="42" t="s">
        <v>54</v>
      </c>
      <c r="D101" s="42" t="s">
        <v>533</v>
      </c>
      <c r="E101" s="42" t="s">
        <v>52</v>
      </c>
      <c r="F101" s="43" t="s">
        <v>99</v>
      </c>
      <c r="G101" s="41" t="s">
        <v>55</v>
      </c>
      <c r="H101" s="53" t="s">
        <v>105</v>
      </c>
      <c r="I101" s="41" t="s">
        <v>112</v>
      </c>
      <c r="J101" s="45">
        <v>1</v>
      </c>
      <c r="K101" s="42" t="s">
        <v>155</v>
      </c>
      <c r="L101" s="42"/>
      <c r="M101" s="46"/>
      <c r="N101" s="47"/>
      <c r="O101" s="48"/>
      <c r="P101" s="48"/>
      <c r="Q101" s="49"/>
      <c r="R101" s="41">
        <v>5</v>
      </c>
      <c r="S101" s="50" t="s">
        <v>534</v>
      </c>
      <c r="T101" s="50" t="s">
        <v>535</v>
      </c>
      <c r="U101" s="50" t="s">
        <v>536</v>
      </c>
      <c r="V101" s="50"/>
      <c r="W101" s="51"/>
    </row>
    <row r="102" spans="1:23" ht="30" customHeight="1" x14ac:dyDescent="0.3">
      <c r="A102" s="40" t="s">
        <v>537</v>
      </c>
      <c r="B102" s="41" t="s">
        <v>53</v>
      </c>
      <c r="C102" s="42" t="s">
        <v>54</v>
      </c>
      <c r="D102" s="42" t="s">
        <v>538</v>
      </c>
      <c r="E102" s="42" t="s">
        <v>52</v>
      </c>
      <c r="F102" s="43" t="s">
        <v>99</v>
      </c>
      <c r="G102" s="41" t="s">
        <v>55</v>
      </c>
      <c r="H102" s="53" t="s">
        <v>105</v>
      </c>
      <c r="I102" s="41" t="s">
        <v>110</v>
      </c>
      <c r="J102" s="45">
        <v>1.5</v>
      </c>
      <c r="K102" s="42" t="s">
        <v>526</v>
      </c>
      <c r="L102" s="42"/>
      <c r="M102" s="46"/>
      <c r="N102" s="47"/>
      <c r="O102" s="48"/>
      <c r="P102" s="48"/>
      <c r="Q102" s="49"/>
      <c r="R102" s="41">
        <v>0</v>
      </c>
      <c r="S102" s="50"/>
      <c r="T102" s="50"/>
      <c r="U102" s="50"/>
      <c r="V102" s="50" t="s">
        <v>539</v>
      </c>
      <c r="W102" s="51"/>
    </row>
    <row r="103" spans="1:23" ht="30" customHeight="1" x14ac:dyDescent="0.3">
      <c r="A103" s="40" t="s">
        <v>540</v>
      </c>
      <c r="B103" s="41" t="s">
        <v>53</v>
      </c>
      <c r="C103" s="42" t="s">
        <v>54</v>
      </c>
      <c r="D103" s="42" t="s">
        <v>541</v>
      </c>
      <c r="E103" s="42" t="s">
        <v>52</v>
      </c>
      <c r="F103" s="43" t="s">
        <v>99</v>
      </c>
      <c r="G103" s="41" t="s">
        <v>55</v>
      </c>
      <c r="H103" s="53" t="s">
        <v>105</v>
      </c>
      <c r="I103" s="41" t="s">
        <v>110</v>
      </c>
      <c r="J103" s="45">
        <v>2.5</v>
      </c>
      <c r="K103" s="42" t="s">
        <v>526</v>
      </c>
      <c r="L103" s="42"/>
      <c r="M103" s="46"/>
      <c r="N103" s="47"/>
      <c r="O103" s="48"/>
      <c r="P103" s="48"/>
      <c r="Q103" s="49"/>
      <c r="R103" s="41">
        <v>4</v>
      </c>
      <c r="S103" s="50" t="s">
        <v>542</v>
      </c>
      <c r="T103" s="50" t="s">
        <v>543</v>
      </c>
      <c r="U103" s="50" t="s">
        <v>544</v>
      </c>
      <c r="V103" s="50"/>
      <c r="W103" s="51"/>
    </row>
    <row r="104" spans="1:23" ht="30" customHeight="1" x14ac:dyDescent="0.3">
      <c r="A104" s="40" t="s">
        <v>545</v>
      </c>
      <c r="B104" s="41" t="s">
        <v>53</v>
      </c>
      <c r="C104" s="42" t="s">
        <v>54</v>
      </c>
      <c r="D104" s="42" t="s">
        <v>546</v>
      </c>
      <c r="E104" s="42" t="s">
        <v>52</v>
      </c>
      <c r="F104" s="43" t="s">
        <v>99</v>
      </c>
      <c r="G104" s="41" t="s">
        <v>55</v>
      </c>
      <c r="H104" s="53" t="s">
        <v>105</v>
      </c>
      <c r="I104" s="41" t="s">
        <v>110</v>
      </c>
      <c r="J104" s="45">
        <v>2.5</v>
      </c>
      <c r="K104" s="42" t="s">
        <v>547</v>
      </c>
      <c r="L104" s="42"/>
      <c r="M104" s="46"/>
      <c r="N104" s="47"/>
      <c r="O104" s="48"/>
      <c r="P104" s="48"/>
      <c r="Q104" s="49"/>
      <c r="R104" s="41">
        <v>4</v>
      </c>
      <c r="S104" s="50" t="s">
        <v>548</v>
      </c>
      <c r="T104" s="50" t="s">
        <v>549</v>
      </c>
      <c r="U104" s="50" t="s">
        <v>550</v>
      </c>
      <c r="V104" s="50"/>
      <c r="W104" s="51"/>
    </row>
    <row r="105" spans="1:23" ht="30" customHeight="1" x14ac:dyDescent="0.3">
      <c r="A105" s="40" t="s">
        <v>551</v>
      </c>
      <c r="B105" s="41" t="s">
        <v>53</v>
      </c>
      <c r="C105" s="42" t="s">
        <v>54</v>
      </c>
      <c r="D105" s="42" t="s">
        <v>552</v>
      </c>
      <c r="E105" s="42" t="s">
        <v>52</v>
      </c>
      <c r="F105" s="55" t="s">
        <v>100</v>
      </c>
      <c r="G105" s="41" t="s">
        <v>55</v>
      </c>
      <c r="H105" s="53" t="s">
        <v>105</v>
      </c>
      <c r="I105" s="41" t="s">
        <v>110</v>
      </c>
      <c r="J105" s="45">
        <v>2</v>
      </c>
      <c r="K105" s="42" t="s">
        <v>545</v>
      </c>
      <c r="L105" s="42"/>
      <c r="M105" s="46"/>
      <c r="N105" s="47"/>
      <c r="O105" s="48"/>
      <c r="P105" s="48"/>
      <c r="Q105" s="49"/>
      <c r="R105" s="41">
        <v>0</v>
      </c>
      <c r="S105" s="50"/>
      <c r="T105" s="50"/>
      <c r="U105" s="50"/>
      <c r="V105" s="50" t="s">
        <v>553</v>
      </c>
      <c r="W105" s="51"/>
    </row>
    <row r="106" spans="1:23" ht="30" customHeight="1" x14ac:dyDescent="0.3">
      <c r="A106" s="40" t="s">
        <v>554</v>
      </c>
      <c r="B106" s="41" t="s">
        <v>53</v>
      </c>
      <c r="C106" s="42" t="s">
        <v>54</v>
      </c>
      <c r="D106" s="42" t="s">
        <v>555</v>
      </c>
      <c r="E106" s="42" t="s">
        <v>52</v>
      </c>
      <c r="F106" s="43" t="s">
        <v>99</v>
      </c>
      <c r="G106" s="41" t="s">
        <v>55</v>
      </c>
      <c r="H106" s="52" t="s">
        <v>106</v>
      </c>
      <c r="I106" s="41" t="s">
        <v>110</v>
      </c>
      <c r="J106" s="45">
        <v>1.5</v>
      </c>
      <c r="K106" s="42" t="s">
        <v>556</v>
      </c>
      <c r="L106" s="42"/>
      <c r="M106" s="46"/>
      <c r="N106" s="47"/>
      <c r="O106" s="48"/>
      <c r="P106" s="48"/>
      <c r="Q106" s="49"/>
      <c r="R106" s="41">
        <v>5</v>
      </c>
      <c r="S106" s="50" t="s">
        <v>557</v>
      </c>
      <c r="T106" s="50" t="s">
        <v>558</v>
      </c>
      <c r="U106" s="50"/>
      <c r="V106" s="50"/>
      <c r="W106" s="51"/>
    </row>
    <row r="107" spans="1:23" ht="30" customHeight="1" x14ac:dyDescent="0.3">
      <c r="A107" s="40" t="s">
        <v>559</v>
      </c>
      <c r="B107" s="41" t="s">
        <v>53</v>
      </c>
      <c r="C107" s="42" t="s">
        <v>54</v>
      </c>
      <c r="D107" s="42" t="s">
        <v>560</v>
      </c>
      <c r="E107" s="42" t="s">
        <v>52</v>
      </c>
      <c r="F107" s="43" t="s">
        <v>99</v>
      </c>
      <c r="G107" s="41" t="s">
        <v>55</v>
      </c>
      <c r="H107" s="53" t="s">
        <v>105</v>
      </c>
      <c r="I107" s="41" t="s">
        <v>110</v>
      </c>
      <c r="J107" s="45">
        <v>1.5</v>
      </c>
      <c r="K107" s="42" t="s">
        <v>522</v>
      </c>
      <c r="L107" s="42"/>
      <c r="M107" s="46"/>
      <c r="N107" s="47"/>
      <c r="O107" s="48"/>
      <c r="P107" s="48"/>
      <c r="Q107" s="49"/>
      <c r="R107" s="41">
        <v>6</v>
      </c>
      <c r="S107" s="50" t="s">
        <v>561</v>
      </c>
      <c r="T107" s="50" t="s">
        <v>562</v>
      </c>
      <c r="U107" s="50" t="s">
        <v>563</v>
      </c>
      <c r="V107" s="50"/>
      <c r="W107" s="51"/>
    </row>
    <row r="108" spans="1:23" ht="30" customHeight="1" x14ac:dyDescent="0.3">
      <c r="A108" s="40" t="s">
        <v>564</v>
      </c>
      <c r="B108" s="41" t="s">
        <v>53</v>
      </c>
      <c r="C108" s="42" t="s">
        <v>54</v>
      </c>
      <c r="D108" s="42" t="s">
        <v>565</v>
      </c>
      <c r="E108" s="42" t="s">
        <v>52</v>
      </c>
      <c r="F108" s="54" t="s">
        <v>101</v>
      </c>
      <c r="G108" s="41" t="s">
        <v>566</v>
      </c>
      <c r="H108" s="53" t="s">
        <v>105</v>
      </c>
      <c r="I108" s="41" t="s">
        <v>110</v>
      </c>
      <c r="J108" s="45">
        <v>2.5</v>
      </c>
      <c r="K108" s="42" t="s">
        <v>567</v>
      </c>
      <c r="L108" s="42"/>
      <c r="M108" s="46"/>
      <c r="N108" s="47"/>
      <c r="O108" s="48"/>
      <c r="P108" s="48"/>
      <c r="Q108" s="49"/>
      <c r="R108" s="41">
        <v>6</v>
      </c>
      <c r="S108" s="50" t="s">
        <v>568</v>
      </c>
      <c r="T108" s="50" t="s">
        <v>569</v>
      </c>
      <c r="U108" s="50" t="s">
        <v>570</v>
      </c>
      <c r="V108" s="50"/>
      <c r="W108" s="51"/>
    </row>
    <row r="109" spans="1:23" ht="30" customHeight="1" x14ac:dyDescent="0.3">
      <c r="A109" s="40" t="s">
        <v>571</v>
      </c>
      <c r="B109" s="41" t="s">
        <v>53</v>
      </c>
      <c r="C109" s="42" t="s">
        <v>54</v>
      </c>
      <c r="D109" s="42" t="s">
        <v>572</v>
      </c>
      <c r="E109" s="42" t="s">
        <v>52</v>
      </c>
      <c r="F109" s="54" t="s">
        <v>101</v>
      </c>
      <c r="G109" s="41" t="s">
        <v>566</v>
      </c>
      <c r="H109" s="53" t="s">
        <v>105</v>
      </c>
      <c r="I109" s="41" t="s">
        <v>110</v>
      </c>
      <c r="J109" s="45">
        <v>2</v>
      </c>
      <c r="K109" s="42" t="s">
        <v>564</v>
      </c>
      <c r="L109" s="42"/>
      <c r="M109" s="46"/>
      <c r="N109" s="47"/>
      <c r="O109" s="48"/>
      <c r="P109" s="48"/>
      <c r="Q109" s="49"/>
      <c r="R109" s="41">
        <v>0</v>
      </c>
      <c r="S109" s="50"/>
      <c r="T109" s="50"/>
      <c r="U109" s="50"/>
      <c r="V109" s="50" t="s">
        <v>573</v>
      </c>
      <c r="W109" s="51"/>
    </row>
    <row r="110" spans="1:23" ht="30" customHeight="1" x14ac:dyDescent="0.3">
      <c r="A110" s="40" t="s">
        <v>574</v>
      </c>
      <c r="B110" s="41" t="s">
        <v>57</v>
      </c>
      <c r="C110" s="42" t="s">
        <v>58</v>
      </c>
      <c r="D110" s="42" t="s">
        <v>575</v>
      </c>
      <c r="E110" s="42" t="s">
        <v>52</v>
      </c>
      <c r="F110" s="43" t="s">
        <v>99</v>
      </c>
      <c r="G110" s="41" t="s">
        <v>59</v>
      </c>
      <c r="H110" s="53" t="s">
        <v>105</v>
      </c>
      <c r="I110" s="41" t="s">
        <v>110</v>
      </c>
      <c r="J110" s="45">
        <v>2</v>
      </c>
      <c r="K110" s="42" t="s">
        <v>576</v>
      </c>
      <c r="L110" s="42"/>
      <c r="M110" s="46"/>
      <c r="N110" s="47"/>
      <c r="O110" s="48"/>
      <c r="P110" s="48"/>
      <c r="Q110" s="49"/>
      <c r="R110" s="41">
        <v>5</v>
      </c>
      <c r="S110" s="50"/>
      <c r="T110" s="50" t="s">
        <v>577</v>
      </c>
      <c r="U110" s="50" t="s">
        <v>578</v>
      </c>
      <c r="V110" s="50"/>
      <c r="W110" s="51"/>
    </row>
    <row r="111" spans="1:23" ht="30" customHeight="1" x14ac:dyDescent="0.3">
      <c r="A111" s="40" t="s">
        <v>579</v>
      </c>
      <c r="B111" s="41" t="s">
        <v>57</v>
      </c>
      <c r="C111" s="42" t="s">
        <v>58</v>
      </c>
      <c r="D111" s="42" t="s">
        <v>580</v>
      </c>
      <c r="E111" s="42" t="s">
        <v>52</v>
      </c>
      <c r="F111" s="43" t="s">
        <v>99</v>
      </c>
      <c r="G111" s="41" t="s">
        <v>59</v>
      </c>
      <c r="H111" s="52" t="s">
        <v>106</v>
      </c>
      <c r="I111" s="41" t="s">
        <v>110</v>
      </c>
      <c r="J111" s="45">
        <v>1</v>
      </c>
      <c r="K111" s="42" t="s">
        <v>581</v>
      </c>
      <c r="L111" s="42"/>
      <c r="M111" s="46"/>
      <c r="N111" s="47"/>
      <c r="O111" s="48"/>
      <c r="P111" s="48"/>
      <c r="Q111" s="49"/>
      <c r="R111" s="41">
        <v>0</v>
      </c>
      <c r="S111" s="50"/>
      <c r="T111" s="50"/>
      <c r="U111" s="50"/>
      <c r="V111" s="50" t="s">
        <v>582</v>
      </c>
      <c r="W111" s="51"/>
    </row>
    <row r="112" spans="1:23" ht="30" customHeight="1" x14ac:dyDescent="0.3">
      <c r="A112" s="40" t="s">
        <v>583</v>
      </c>
      <c r="B112" s="41" t="s">
        <v>57</v>
      </c>
      <c r="C112" s="42" t="s">
        <v>58</v>
      </c>
      <c r="D112" s="42" t="s">
        <v>584</v>
      </c>
      <c r="E112" s="42" t="s">
        <v>52</v>
      </c>
      <c r="F112" s="43" t="s">
        <v>99</v>
      </c>
      <c r="G112" s="41" t="s">
        <v>59</v>
      </c>
      <c r="H112" s="53" t="s">
        <v>105</v>
      </c>
      <c r="I112" s="41" t="s">
        <v>110</v>
      </c>
      <c r="J112" s="45">
        <v>1.5</v>
      </c>
      <c r="K112" s="42" t="s">
        <v>585</v>
      </c>
      <c r="L112" s="42"/>
      <c r="M112" s="46"/>
      <c r="N112" s="47"/>
      <c r="O112" s="48"/>
      <c r="P112" s="48"/>
      <c r="Q112" s="49"/>
      <c r="R112" s="41">
        <v>5</v>
      </c>
      <c r="S112" s="50"/>
      <c r="T112" s="50" t="s">
        <v>586</v>
      </c>
      <c r="U112" s="50"/>
      <c r="V112" s="50"/>
      <c r="W112" s="51"/>
    </row>
    <row r="113" spans="1:23" ht="30" customHeight="1" x14ac:dyDescent="0.3">
      <c r="A113" s="40" t="s">
        <v>587</v>
      </c>
      <c r="B113" s="41" t="s">
        <v>57</v>
      </c>
      <c r="C113" s="42" t="s">
        <v>58</v>
      </c>
      <c r="D113" s="42" t="s">
        <v>588</v>
      </c>
      <c r="E113" s="42" t="s">
        <v>52</v>
      </c>
      <c r="F113" s="43" t="s">
        <v>99</v>
      </c>
      <c r="G113" s="41" t="s">
        <v>59</v>
      </c>
      <c r="H113" s="53" t="s">
        <v>105</v>
      </c>
      <c r="I113" s="41" t="s">
        <v>110</v>
      </c>
      <c r="J113" s="45">
        <v>1</v>
      </c>
      <c r="K113" s="42" t="s">
        <v>583</v>
      </c>
      <c r="L113" s="42"/>
      <c r="M113" s="46"/>
      <c r="N113" s="47"/>
      <c r="O113" s="48"/>
      <c r="P113" s="48"/>
      <c r="Q113" s="49"/>
      <c r="R113" s="41">
        <v>3</v>
      </c>
      <c r="S113" s="50"/>
      <c r="T113" s="50" t="s">
        <v>589</v>
      </c>
      <c r="U113" s="50" t="s">
        <v>590</v>
      </c>
      <c r="V113" s="50"/>
      <c r="W113" s="51"/>
    </row>
    <row r="114" spans="1:23" ht="30" customHeight="1" x14ac:dyDescent="0.3">
      <c r="A114" s="40" t="s">
        <v>591</v>
      </c>
      <c r="B114" s="41" t="s">
        <v>57</v>
      </c>
      <c r="C114" s="42" t="s">
        <v>58</v>
      </c>
      <c r="D114" s="42" t="s">
        <v>592</v>
      </c>
      <c r="E114" s="42" t="s">
        <v>52</v>
      </c>
      <c r="F114" s="43" t="s">
        <v>99</v>
      </c>
      <c r="G114" s="41" t="s">
        <v>59</v>
      </c>
      <c r="H114" s="53" t="s">
        <v>105</v>
      </c>
      <c r="I114" s="41" t="s">
        <v>110</v>
      </c>
      <c r="J114" s="45">
        <v>1</v>
      </c>
      <c r="K114" s="42" t="s">
        <v>593</v>
      </c>
      <c r="L114" s="42"/>
      <c r="M114" s="46"/>
      <c r="N114" s="47"/>
      <c r="O114" s="48"/>
      <c r="P114" s="48"/>
      <c r="Q114" s="49"/>
      <c r="R114" s="41">
        <v>3</v>
      </c>
      <c r="S114" s="50"/>
      <c r="T114" s="50" t="s">
        <v>594</v>
      </c>
      <c r="U114" s="50"/>
      <c r="V114" s="50"/>
      <c r="W114" s="51"/>
    </row>
    <row r="115" spans="1:23" ht="30" customHeight="1" x14ac:dyDescent="0.3">
      <c r="A115" s="40" t="s">
        <v>595</v>
      </c>
      <c r="B115" s="41" t="s">
        <v>57</v>
      </c>
      <c r="C115" s="42" t="s">
        <v>58</v>
      </c>
      <c r="D115" s="42" t="s">
        <v>596</v>
      </c>
      <c r="E115" s="42" t="s">
        <v>52</v>
      </c>
      <c r="F115" s="54" t="s">
        <v>101</v>
      </c>
      <c r="G115" s="41" t="s">
        <v>76</v>
      </c>
      <c r="H115" s="52" t="s">
        <v>106</v>
      </c>
      <c r="I115" s="41" t="s">
        <v>110</v>
      </c>
      <c r="J115" s="45">
        <v>1.5</v>
      </c>
      <c r="K115" s="42" t="s">
        <v>502</v>
      </c>
      <c r="L115" s="42"/>
      <c r="M115" s="46"/>
      <c r="N115" s="47"/>
      <c r="O115" s="48"/>
      <c r="P115" s="48"/>
      <c r="Q115" s="49"/>
      <c r="R115" s="41">
        <v>0</v>
      </c>
      <c r="S115" s="50"/>
      <c r="T115" s="50"/>
      <c r="U115" s="50"/>
      <c r="V115" s="50" t="s">
        <v>597</v>
      </c>
      <c r="W115" s="51"/>
    </row>
    <row r="116" spans="1:23" ht="30" customHeight="1" x14ac:dyDescent="0.3">
      <c r="A116" s="40" t="s">
        <v>598</v>
      </c>
      <c r="B116" s="41" t="s">
        <v>61</v>
      </c>
      <c r="C116" s="42" t="s">
        <v>62</v>
      </c>
      <c r="D116" s="42" t="s">
        <v>599</v>
      </c>
      <c r="E116" s="42" t="s">
        <v>52</v>
      </c>
      <c r="F116" s="43" t="s">
        <v>99</v>
      </c>
      <c r="G116" s="41" t="s">
        <v>55</v>
      </c>
      <c r="H116" s="53" t="s">
        <v>105</v>
      </c>
      <c r="I116" s="41" t="s">
        <v>110</v>
      </c>
      <c r="J116" s="45">
        <v>1.5</v>
      </c>
      <c r="K116" s="42" t="s">
        <v>587</v>
      </c>
      <c r="L116" s="42"/>
      <c r="M116" s="46"/>
      <c r="N116" s="47"/>
      <c r="O116" s="48"/>
      <c r="P116" s="48"/>
      <c r="Q116" s="49"/>
      <c r="R116" s="41">
        <v>4</v>
      </c>
      <c r="S116" s="50"/>
      <c r="T116" s="50" t="s">
        <v>600</v>
      </c>
      <c r="U116" s="50" t="s">
        <v>601</v>
      </c>
      <c r="V116" s="50"/>
      <c r="W116" s="51"/>
    </row>
    <row r="117" spans="1:23" ht="30" customHeight="1" x14ac:dyDescent="0.3">
      <c r="A117" s="40" t="s">
        <v>602</v>
      </c>
      <c r="B117" s="41" t="s">
        <v>61</v>
      </c>
      <c r="C117" s="42" t="s">
        <v>62</v>
      </c>
      <c r="D117" s="42" t="s">
        <v>603</v>
      </c>
      <c r="E117" s="42" t="s">
        <v>52</v>
      </c>
      <c r="F117" s="43" t="s">
        <v>99</v>
      </c>
      <c r="G117" s="41" t="s">
        <v>55</v>
      </c>
      <c r="H117" s="53" t="s">
        <v>105</v>
      </c>
      <c r="I117" s="41" t="s">
        <v>110</v>
      </c>
      <c r="J117" s="45">
        <v>1</v>
      </c>
      <c r="K117" s="42" t="s">
        <v>598</v>
      </c>
      <c r="L117" s="42"/>
      <c r="M117" s="46"/>
      <c r="N117" s="47"/>
      <c r="O117" s="48"/>
      <c r="P117" s="48"/>
      <c r="Q117" s="49"/>
      <c r="R117" s="41">
        <v>0</v>
      </c>
      <c r="S117" s="50"/>
      <c r="T117" s="50"/>
      <c r="U117" s="50"/>
      <c r="V117" s="50" t="s">
        <v>604</v>
      </c>
      <c r="W117" s="51"/>
    </row>
    <row r="118" spans="1:23" ht="30" customHeight="1" x14ac:dyDescent="0.3">
      <c r="A118" s="40" t="s">
        <v>605</v>
      </c>
      <c r="B118" s="41" t="s">
        <v>61</v>
      </c>
      <c r="C118" s="42" t="s">
        <v>62</v>
      </c>
      <c r="D118" s="42" t="s">
        <v>606</v>
      </c>
      <c r="E118" s="42" t="s">
        <v>52</v>
      </c>
      <c r="F118" s="43" t="s">
        <v>99</v>
      </c>
      <c r="G118" s="41" t="s">
        <v>55</v>
      </c>
      <c r="H118" s="53" t="s">
        <v>105</v>
      </c>
      <c r="I118" s="41" t="s">
        <v>110</v>
      </c>
      <c r="J118" s="45">
        <v>1</v>
      </c>
      <c r="K118" s="42" t="s">
        <v>607</v>
      </c>
      <c r="L118" s="42"/>
      <c r="M118" s="46"/>
      <c r="N118" s="47"/>
      <c r="O118" s="48"/>
      <c r="P118" s="48"/>
      <c r="Q118" s="49"/>
      <c r="R118" s="41">
        <v>0</v>
      </c>
      <c r="S118" s="50"/>
      <c r="T118" s="50"/>
      <c r="U118" s="50"/>
      <c r="V118" s="50" t="s">
        <v>608</v>
      </c>
      <c r="W118" s="51"/>
    </row>
    <row r="119" spans="1:23" ht="30" customHeight="1" x14ac:dyDescent="0.3">
      <c r="A119" s="40" t="s">
        <v>609</v>
      </c>
      <c r="B119" s="41" t="s">
        <v>61</v>
      </c>
      <c r="C119" s="42" t="s">
        <v>62</v>
      </c>
      <c r="D119" s="42" t="s">
        <v>610</v>
      </c>
      <c r="E119" s="42" t="s">
        <v>52</v>
      </c>
      <c r="F119" s="43" t="s">
        <v>99</v>
      </c>
      <c r="G119" s="41" t="s">
        <v>55</v>
      </c>
      <c r="H119" s="53" t="s">
        <v>105</v>
      </c>
      <c r="I119" s="41" t="s">
        <v>110</v>
      </c>
      <c r="J119" s="45">
        <v>2</v>
      </c>
      <c r="K119" s="42" t="s">
        <v>598</v>
      </c>
      <c r="L119" s="42"/>
      <c r="M119" s="46"/>
      <c r="N119" s="47"/>
      <c r="O119" s="48"/>
      <c r="P119" s="48"/>
      <c r="Q119" s="49"/>
      <c r="R119" s="41">
        <v>4</v>
      </c>
      <c r="S119" s="50"/>
      <c r="T119" s="50" t="s">
        <v>611</v>
      </c>
      <c r="U119" s="50" t="s">
        <v>612</v>
      </c>
      <c r="V119" s="50"/>
      <c r="W119" s="51"/>
    </row>
    <row r="120" spans="1:23" ht="30" customHeight="1" x14ac:dyDescent="0.3">
      <c r="A120" s="40" t="s">
        <v>613</v>
      </c>
      <c r="B120" s="41" t="s">
        <v>61</v>
      </c>
      <c r="C120" s="42" t="s">
        <v>62</v>
      </c>
      <c r="D120" s="42" t="s">
        <v>614</v>
      </c>
      <c r="E120" s="42" t="s">
        <v>52</v>
      </c>
      <c r="F120" s="43" t="s">
        <v>99</v>
      </c>
      <c r="G120" s="41" t="s">
        <v>55</v>
      </c>
      <c r="H120" s="53" t="s">
        <v>105</v>
      </c>
      <c r="I120" s="41" t="s">
        <v>110</v>
      </c>
      <c r="J120" s="45">
        <v>1</v>
      </c>
      <c r="K120" s="42" t="s">
        <v>598</v>
      </c>
      <c r="L120" s="42"/>
      <c r="M120" s="46"/>
      <c r="N120" s="47"/>
      <c r="O120" s="48"/>
      <c r="P120" s="48"/>
      <c r="Q120" s="49"/>
      <c r="R120" s="41">
        <v>0</v>
      </c>
      <c r="S120" s="50"/>
      <c r="T120" s="50"/>
      <c r="U120" s="50"/>
      <c r="V120" s="50" t="s">
        <v>615</v>
      </c>
      <c r="W120" s="51"/>
    </row>
    <row r="121" spans="1:23" ht="30" customHeight="1" x14ac:dyDescent="0.3">
      <c r="A121" s="40" t="s">
        <v>616</v>
      </c>
      <c r="B121" s="41" t="s">
        <v>61</v>
      </c>
      <c r="C121" s="42" t="s">
        <v>62</v>
      </c>
      <c r="D121" s="42" t="s">
        <v>617</v>
      </c>
      <c r="E121" s="42" t="s">
        <v>52</v>
      </c>
      <c r="F121" s="43" t="s">
        <v>99</v>
      </c>
      <c r="G121" s="41" t="s">
        <v>55</v>
      </c>
      <c r="H121" s="53" t="s">
        <v>105</v>
      </c>
      <c r="I121" s="41" t="s">
        <v>110</v>
      </c>
      <c r="J121" s="45">
        <v>1</v>
      </c>
      <c r="K121" s="42" t="s">
        <v>218</v>
      </c>
      <c r="L121" s="42"/>
      <c r="M121" s="46"/>
      <c r="N121" s="47"/>
      <c r="O121" s="48"/>
      <c r="P121" s="48"/>
      <c r="Q121" s="49"/>
      <c r="R121" s="41">
        <v>2</v>
      </c>
      <c r="S121" s="50"/>
      <c r="T121" s="50" t="s">
        <v>618</v>
      </c>
      <c r="U121" s="50"/>
      <c r="V121" s="50"/>
      <c r="W121" s="51"/>
    </row>
    <row r="122" spans="1:23" ht="30" customHeight="1" x14ac:dyDescent="0.3">
      <c r="A122" s="40" t="s">
        <v>619</v>
      </c>
      <c r="B122" s="41" t="s">
        <v>61</v>
      </c>
      <c r="C122" s="42" t="s">
        <v>62</v>
      </c>
      <c r="D122" s="42" t="s">
        <v>620</v>
      </c>
      <c r="E122" s="42" t="s">
        <v>52</v>
      </c>
      <c r="F122" s="43" t="s">
        <v>99</v>
      </c>
      <c r="G122" s="41" t="s">
        <v>55</v>
      </c>
      <c r="H122" s="53" t="s">
        <v>105</v>
      </c>
      <c r="I122" s="41" t="s">
        <v>110</v>
      </c>
      <c r="J122" s="45">
        <v>2.5</v>
      </c>
      <c r="K122" s="42" t="s">
        <v>616</v>
      </c>
      <c r="L122" s="42"/>
      <c r="M122" s="46"/>
      <c r="N122" s="47"/>
      <c r="O122" s="48"/>
      <c r="P122" s="48"/>
      <c r="Q122" s="49"/>
      <c r="R122" s="41">
        <v>7</v>
      </c>
      <c r="S122" s="50" t="s">
        <v>621</v>
      </c>
      <c r="T122" s="50" t="s">
        <v>622</v>
      </c>
      <c r="U122" s="50" t="s">
        <v>623</v>
      </c>
      <c r="V122" s="50"/>
      <c r="W122" s="51"/>
    </row>
    <row r="123" spans="1:23" ht="30" customHeight="1" x14ac:dyDescent="0.3">
      <c r="A123" s="40" t="s">
        <v>624</v>
      </c>
      <c r="B123" s="41" t="s">
        <v>61</v>
      </c>
      <c r="C123" s="42" t="s">
        <v>62</v>
      </c>
      <c r="D123" s="42" t="s">
        <v>625</v>
      </c>
      <c r="E123" s="42" t="s">
        <v>52</v>
      </c>
      <c r="F123" s="43" t="s">
        <v>99</v>
      </c>
      <c r="G123" s="41" t="s">
        <v>55</v>
      </c>
      <c r="H123" s="53" t="s">
        <v>105</v>
      </c>
      <c r="I123" s="41" t="s">
        <v>110</v>
      </c>
      <c r="J123" s="45">
        <v>1.5</v>
      </c>
      <c r="K123" s="42" t="s">
        <v>166</v>
      </c>
      <c r="L123" s="42"/>
      <c r="M123" s="46"/>
      <c r="N123" s="47"/>
      <c r="O123" s="48"/>
      <c r="P123" s="48"/>
      <c r="Q123" s="49"/>
      <c r="R123" s="41">
        <v>4</v>
      </c>
      <c r="S123" s="50"/>
      <c r="T123" s="50" t="s">
        <v>626</v>
      </c>
      <c r="U123" s="50" t="s">
        <v>627</v>
      </c>
      <c r="V123" s="50"/>
      <c r="W123" s="51"/>
    </row>
    <row r="124" spans="1:23" ht="30" customHeight="1" x14ac:dyDescent="0.3">
      <c r="A124" s="40" t="s">
        <v>628</v>
      </c>
      <c r="B124" s="41" t="s">
        <v>61</v>
      </c>
      <c r="C124" s="42" t="s">
        <v>62</v>
      </c>
      <c r="D124" s="42" t="s">
        <v>629</v>
      </c>
      <c r="E124" s="42" t="s">
        <v>52</v>
      </c>
      <c r="F124" s="43" t="s">
        <v>99</v>
      </c>
      <c r="G124" s="41" t="s">
        <v>55</v>
      </c>
      <c r="H124" s="53" t="s">
        <v>105</v>
      </c>
      <c r="I124" s="41" t="s">
        <v>112</v>
      </c>
      <c r="J124" s="45">
        <v>1.5</v>
      </c>
      <c r="K124" s="42" t="s">
        <v>598</v>
      </c>
      <c r="L124" s="42"/>
      <c r="M124" s="46"/>
      <c r="N124" s="47"/>
      <c r="O124" s="48"/>
      <c r="P124" s="48"/>
      <c r="Q124" s="49"/>
      <c r="R124" s="41">
        <v>5</v>
      </c>
      <c r="S124" s="50"/>
      <c r="T124" s="50" t="s">
        <v>630</v>
      </c>
      <c r="U124" s="50" t="s">
        <v>631</v>
      </c>
      <c r="V124" s="50"/>
      <c r="W124" s="51"/>
    </row>
    <row r="125" spans="1:23" ht="30" customHeight="1" x14ac:dyDescent="0.3">
      <c r="A125" s="40" t="s">
        <v>632</v>
      </c>
      <c r="B125" s="41" t="s">
        <v>64</v>
      </c>
      <c r="C125" s="42" t="s">
        <v>65</v>
      </c>
      <c r="D125" s="42" t="s">
        <v>633</v>
      </c>
      <c r="E125" s="42" t="s">
        <v>52</v>
      </c>
      <c r="F125" s="43" t="s">
        <v>99</v>
      </c>
      <c r="G125" s="41" t="s">
        <v>55</v>
      </c>
      <c r="H125" s="53" t="s">
        <v>105</v>
      </c>
      <c r="I125" s="41" t="s">
        <v>110</v>
      </c>
      <c r="J125" s="45">
        <v>2</v>
      </c>
      <c r="K125" s="42" t="s">
        <v>634</v>
      </c>
      <c r="L125" s="42"/>
      <c r="M125" s="46"/>
      <c r="N125" s="47"/>
      <c r="O125" s="48"/>
      <c r="P125" s="48"/>
      <c r="Q125" s="49"/>
      <c r="R125" s="41">
        <v>5</v>
      </c>
      <c r="S125" s="50"/>
      <c r="T125" s="50" t="s">
        <v>635</v>
      </c>
      <c r="U125" s="50"/>
      <c r="V125" s="50"/>
      <c r="W125" s="51"/>
    </row>
    <row r="126" spans="1:23" ht="30" customHeight="1" x14ac:dyDescent="0.3">
      <c r="A126" s="40" t="s">
        <v>636</v>
      </c>
      <c r="B126" s="41" t="s">
        <v>64</v>
      </c>
      <c r="C126" s="42" t="s">
        <v>65</v>
      </c>
      <c r="D126" s="42" t="s">
        <v>637</v>
      </c>
      <c r="E126" s="42" t="s">
        <v>52</v>
      </c>
      <c r="F126" s="43" t="s">
        <v>99</v>
      </c>
      <c r="G126" s="41" t="s">
        <v>55</v>
      </c>
      <c r="H126" s="53" t="s">
        <v>105</v>
      </c>
      <c r="I126" s="41" t="s">
        <v>112</v>
      </c>
      <c r="J126" s="45">
        <v>1</v>
      </c>
      <c r="K126" s="42" t="s">
        <v>632</v>
      </c>
      <c r="L126" s="42"/>
      <c r="M126" s="46"/>
      <c r="N126" s="47"/>
      <c r="O126" s="48"/>
      <c r="P126" s="48"/>
      <c r="Q126" s="49"/>
      <c r="R126" s="41">
        <v>3</v>
      </c>
      <c r="S126" s="50"/>
      <c r="T126" s="50" t="s">
        <v>638</v>
      </c>
      <c r="U126" s="50" t="s">
        <v>639</v>
      </c>
      <c r="V126" s="50"/>
      <c r="W126" s="51"/>
    </row>
    <row r="127" spans="1:23" ht="30" customHeight="1" x14ac:dyDescent="0.3">
      <c r="A127" s="40" t="s">
        <v>640</v>
      </c>
      <c r="B127" s="41" t="s">
        <v>64</v>
      </c>
      <c r="C127" s="42" t="s">
        <v>65</v>
      </c>
      <c r="D127" s="42" t="s">
        <v>641</v>
      </c>
      <c r="E127" s="42" t="s">
        <v>52</v>
      </c>
      <c r="F127" s="43" t="s">
        <v>99</v>
      </c>
      <c r="G127" s="41" t="s">
        <v>55</v>
      </c>
      <c r="H127" s="53" t="s">
        <v>105</v>
      </c>
      <c r="I127" s="41" t="s">
        <v>110</v>
      </c>
      <c r="J127" s="45">
        <v>1.5</v>
      </c>
      <c r="K127" s="42" t="s">
        <v>632</v>
      </c>
      <c r="L127" s="42"/>
      <c r="M127" s="46"/>
      <c r="N127" s="47"/>
      <c r="O127" s="48"/>
      <c r="P127" s="48"/>
      <c r="Q127" s="49"/>
      <c r="R127" s="41">
        <v>0</v>
      </c>
      <c r="S127" s="50"/>
      <c r="T127" s="50"/>
      <c r="U127" s="50"/>
      <c r="V127" s="50" t="s">
        <v>642</v>
      </c>
      <c r="W127" s="51"/>
    </row>
    <row r="128" spans="1:23" ht="30" customHeight="1" x14ac:dyDescent="0.3">
      <c r="A128" s="40" t="s">
        <v>643</v>
      </c>
      <c r="B128" s="41" t="s">
        <v>64</v>
      </c>
      <c r="C128" s="42" t="s">
        <v>65</v>
      </c>
      <c r="D128" s="42" t="s">
        <v>644</v>
      </c>
      <c r="E128" s="42" t="s">
        <v>52</v>
      </c>
      <c r="F128" s="43" t="s">
        <v>99</v>
      </c>
      <c r="G128" s="41" t="s">
        <v>55</v>
      </c>
      <c r="H128" s="53" t="s">
        <v>105</v>
      </c>
      <c r="I128" s="41" t="s">
        <v>110</v>
      </c>
      <c r="J128" s="45">
        <v>1.5</v>
      </c>
      <c r="K128" s="42" t="s">
        <v>640</v>
      </c>
      <c r="L128" s="42"/>
      <c r="M128" s="46"/>
      <c r="N128" s="47"/>
      <c r="O128" s="48"/>
      <c r="P128" s="48"/>
      <c r="Q128" s="49"/>
      <c r="R128" s="41">
        <v>4</v>
      </c>
      <c r="S128" s="50" t="s">
        <v>645</v>
      </c>
      <c r="T128" s="50" t="s">
        <v>646</v>
      </c>
      <c r="U128" s="50" t="s">
        <v>647</v>
      </c>
      <c r="V128" s="50"/>
      <c r="W128" s="51"/>
    </row>
    <row r="129" spans="1:23" ht="30" customHeight="1" x14ac:dyDescent="0.3">
      <c r="A129" s="40" t="s">
        <v>648</v>
      </c>
      <c r="B129" s="41" t="s">
        <v>64</v>
      </c>
      <c r="C129" s="42" t="s">
        <v>65</v>
      </c>
      <c r="D129" s="42" t="s">
        <v>649</v>
      </c>
      <c r="E129" s="42" t="s">
        <v>52</v>
      </c>
      <c r="F129" s="43" t="s">
        <v>99</v>
      </c>
      <c r="G129" s="41" t="s">
        <v>55</v>
      </c>
      <c r="H129" s="53" t="s">
        <v>105</v>
      </c>
      <c r="I129" s="41" t="s">
        <v>110</v>
      </c>
      <c r="J129" s="45">
        <v>2</v>
      </c>
      <c r="K129" s="42" t="s">
        <v>643</v>
      </c>
      <c r="L129" s="42"/>
      <c r="M129" s="46"/>
      <c r="N129" s="47"/>
      <c r="O129" s="48"/>
      <c r="P129" s="48"/>
      <c r="Q129" s="49"/>
      <c r="R129" s="41">
        <v>4</v>
      </c>
      <c r="S129" s="50"/>
      <c r="T129" s="50" t="s">
        <v>650</v>
      </c>
      <c r="U129" s="50"/>
      <c r="V129" s="50"/>
      <c r="W129" s="51"/>
    </row>
    <row r="130" spans="1:23" ht="30" customHeight="1" x14ac:dyDescent="0.3">
      <c r="A130" s="40" t="s">
        <v>651</v>
      </c>
      <c r="B130" s="41" t="s">
        <v>64</v>
      </c>
      <c r="C130" s="42" t="s">
        <v>65</v>
      </c>
      <c r="D130" s="42" t="s">
        <v>652</v>
      </c>
      <c r="E130" s="42" t="s">
        <v>52</v>
      </c>
      <c r="F130" s="43" t="s">
        <v>99</v>
      </c>
      <c r="G130" s="41" t="s">
        <v>55</v>
      </c>
      <c r="H130" s="53" t="s">
        <v>105</v>
      </c>
      <c r="I130" s="41" t="s">
        <v>110</v>
      </c>
      <c r="J130" s="45">
        <v>1.5</v>
      </c>
      <c r="K130" s="42" t="s">
        <v>653</v>
      </c>
      <c r="L130" s="42"/>
      <c r="M130" s="46"/>
      <c r="N130" s="47"/>
      <c r="O130" s="48"/>
      <c r="P130" s="48"/>
      <c r="Q130" s="49"/>
      <c r="R130" s="41">
        <v>5</v>
      </c>
      <c r="S130" s="50" t="s">
        <v>654</v>
      </c>
      <c r="T130" s="50" t="s">
        <v>655</v>
      </c>
      <c r="U130" s="50" t="s">
        <v>656</v>
      </c>
      <c r="V130" s="50"/>
      <c r="W130" s="51"/>
    </row>
    <row r="131" spans="1:23" ht="30" customHeight="1" x14ac:dyDescent="0.3">
      <c r="A131" s="40" t="s">
        <v>657</v>
      </c>
      <c r="B131" s="41" t="s">
        <v>64</v>
      </c>
      <c r="C131" s="42" t="s">
        <v>65</v>
      </c>
      <c r="D131" s="42" t="s">
        <v>658</v>
      </c>
      <c r="E131" s="42" t="s">
        <v>52</v>
      </c>
      <c r="F131" s="43" t="s">
        <v>99</v>
      </c>
      <c r="G131" s="41" t="s">
        <v>55</v>
      </c>
      <c r="H131" s="53" t="s">
        <v>105</v>
      </c>
      <c r="I131" s="41" t="s">
        <v>110</v>
      </c>
      <c r="J131" s="45">
        <v>1</v>
      </c>
      <c r="K131" s="42" t="s">
        <v>651</v>
      </c>
      <c r="L131" s="42"/>
      <c r="M131" s="46"/>
      <c r="N131" s="47"/>
      <c r="O131" s="48"/>
      <c r="P131" s="48"/>
      <c r="Q131" s="49"/>
      <c r="R131" s="41">
        <v>0</v>
      </c>
      <c r="S131" s="50"/>
      <c r="T131" s="50"/>
      <c r="U131" s="50"/>
      <c r="V131" s="50" t="s">
        <v>659</v>
      </c>
      <c r="W131" s="51"/>
    </row>
    <row r="132" spans="1:23" ht="30" customHeight="1" x14ac:dyDescent="0.3">
      <c r="A132" s="40" t="s">
        <v>660</v>
      </c>
      <c r="B132" s="41" t="s">
        <v>64</v>
      </c>
      <c r="C132" s="42" t="s">
        <v>65</v>
      </c>
      <c r="D132" s="42" t="s">
        <v>661</v>
      </c>
      <c r="E132" s="42" t="s">
        <v>52</v>
      </c>
      <c r="F132" s="55" t="s">
        <v>100</v>
      </c>
      <c r="G132" s="41" t="s">
        <v>76</v>
      </c>
      <c r="H132" s="52" t="s">
        <v>106</v>
      </c>
      <c r="I132" s="41" t="s">
        <v>110</v>
      </c>
      <c r="J132" s="45">
        <v>1.5</v>
      </c>
      <c r="K132" s="42" t="s">
        <v>648</v>
      </c>
      <c r="L132" s="42"/>
      <c r="M132" s="46"/>
      <c r="N132" s="47"/>
      <c r="O132" s="48"/>
      <c r="P132" s="48"/>
      <c r="Q132" s="49"/>
      <c r="R132" s="41">
        <v>0</v>
      </c>
      <c r="S132" s="50"/>
      <c r="T132" s="50"/>
      <c r="U132" s="50"/>
      <c r="V132" s="50" t="s">
        <v>662</v>
      </c>
      <c r="W132" s="51"/>
    </row>
    <row r="133" spans="1:23" ht="30" customHeight="1" x14ac:dyDescent="0.3">
      <c r="A133" s="40" t="s">
        <v>663</v>
      </c>
      <c r="B133" s="41" t="s">
        <v>64</v>
      </c>
      <c r="C133" s="42" t="s">
        <v>65</v>
      </c>
      <c r="D133" s="42" t="s">
        <v>664</v>
      </c>
      <c r="E133" s="42" t="s">
        <v>52</v>
      </c>
      <c r="F133" s="43" t="s">
        <v>99</v>
      </c>
      <c r="G133" s="41" t="s">
        <v>55</v>
      </c>
      <c r="H133" s="53" t="s">
        <v>105</v>
      </c>
      <c r="I133" s="41" t="s">
        <v>112</v>
      </c>
      <c r="J133" s="45">
        <v>2</v>
      </c>
      <c r="K133" s="42" t="s">
        <v>640</v>
      </c>
      <c r="L133" s="42"/>
      <c r="M133" s="46"/>
      <c r="N133" s="47"/>
      <c r="O133" s="48"/>
      <c r="P133" s="48"/>
      <c r="Q133" s="49"/>
      <c r="R133" s="41">
        <v>5</v>
      </c>
      <c r="S133" s="50" t="s">
        <v>665</v>
      </c>
      <c r="T133" s="50" t="s">
        <v>666</v>
      </c>
      <c r="U133" s="50" t="s">
        <v>667</v>
      </c>
      <c r="V133" s="50"/>
      <c r="W133" s="51"/>
    </row>
    <row r="134" spans="1:23" ht="30" customHeight="1" x14ac:dyDescent="0.3">
      <c r="A134" s="40" t="s">
        <v>668</v>
      </c>
      <c r="B134" s="41" t="s">
        <v>64</v>
      </c>
      <c r="C134" s="42" t="s">
        <v>65</v>
      </c>
      <c r="D134" s="42" t="s">
        <v>669</v>
      </c>
      <c r="E134" s="42" t="s">
        <v>52</v>
      </c>
      <c r="F134" s="43" t="s">
        <v>99</v>
      </c>
      <c r="G134" s="41" t="s">
        <v>55</v>
      </c>
      <c r="H134" s="53" t="s">
        <v>105</v>
      </c>
      <c r="I134" s="41" t="s">
        <v>110</v>
      </c>
      <c r="J134" s="45">
        <v>1.5</v>
      </c>
      <c r="K134" s="42" t="s">
        <v>632</v>
      </c>
      <c r="L134" s="42"/>
      <c r="M134" s="46"/>
      <c r="N134" s="47"/>
      <c r="O134" s="48"/>
      <c r="P134" s="48"/>
      <c r="Q134" s="49"/>
      <c r="R134" s="41">
        <v>4</v>
      </c>
      <c r="S134" s="50" t="s">
        <v>670</v>
      </c>
      <c r="T134" s="50" t="s">
        <v>671</v>
      </c>
      <c r="U134" s="50" t="s">
        <v>672</v>
      </c>
      <c r="V134" s="50"/>
      <c r="W134" s="51"/>
    </row>
    <row r="135" spans="1:23" ht="30" customHeight="1" x14ac:dyDescent="0.3">
      <c r="A135" s="40" t="s">
        <v>673</v>
      </c>
      <c r="B135" s="41" t="s">
        <v>64</v>
      </c>
      <c r="C135" s="42" t="s">
        <v>65</v>
      </c>
      <c r="D135" s="42" t="s">
        <v>674</v>
      </c>
      <c r="E135" s="42" t="s">
        <v>52</v>
      </c>
      <c r="F135" s="43" t="s">
        <v>99</v>
      </c>
      <c r="G135" s="41" t="s">
        <v>55</v>
      </c>
      <c r="H135" s="52" t="s">
        <v>106</v>
      </c>
      <c r="I135" s="41" t="s">
        <v>110</v>
      </c>
      <c r="J135" s="45">
        <v>1</v>
      </c>
      <c r="K135" s="42" t="s">
        <v>663</v>
      </c>
      <c r="L135" s="42"/>
      <c r="M135" s="46"/>
      <c r="N135" s="47"/>
      <c r="O135" s="48"/>
      <c r="P135" s="48"/>
      <c r="Q135" s="49"/>
      <c r="R135" s="41">
        <v>0</v>
      </c>
      <c r="S135" s="50"/>
      <c r="T135" s="50"/>
      <c r="U135" s="50"/>
      <c r="V135" s="50" t="s">
        <v>675</v>
      </c>
      <c r="W135" s="51"/>
    </row>
    <row r="136" spans="1:23" ht="30" customHeight="1" x14ac:dyDescent="0.3">
      <c r="A136" s="40" t="s">
        <v>676</v>
      </c>
      <c r="B136" s="41" t="s">
        <v>67</v>
      </c>
      <c r="C136" s="42" t="s">
        <v>68</v>
      </c>
      <c r="D136" s="42" t="s">
        <v>677</v>
      </c>
      <c r="E136" s="42" t="s">
        <v>52</v>
      </c>
      <c r="F136" s="43" t="s">
        <v>99</v>
      </c>
      <c r="G136" s="41" t="s">
        <v>55</v>
      </c>
      <c r="H136" s="53" t="s">
        <v>105</v>
      </c>
      <c r="I136" s="41" t="s">
        <v>110</v>
      </c>
      <c r="J136" s="45">
        <v>1</v>
      </c>
      <c r="K136" s="42" t="s">
        <v>598</v>
      </c>
      <c r="L136" s="42"/>
      <c r="M136" s="46"/>
      <c r="N136" s="47"/>
      <c r="O136" s="48"/>
      <c r="P136" s="48"/>
      <c r="Q136" s="49"/>
      <c r="R136" s="41">
        <v>0</v>
      </c>
      <c r="S136" s="50"/>
      <c r="T136" s="50"/>
      <c r="U136" s="50"/>
      <c r="V136" s="50" t="s">
        <v>678</v>
      </c>
      <c r="W136" s="51"/>
    </row>
    <row r="137" spans="1:23" ht="30" customHeight="1" x14ac:dyDescent="0.3">
      <c r="A137" s="40" t="s">
        <v>679</v>
      </c>
      <c r="B137" s="41" t="s">
        <v>67</v>
      </c>
      <c r="C137" s="42" t="s">
        <v>68</v>
      </c>
      <c r="D137" s="42" t="s">
        <v>680</v>
      </c>
      <c r="E137" s="42" t="s">
        <v>52</v>
      </c>
      <c r="F137" s="43" t="s">
        <v>99</v>
      </c>
      <c r="G137" s="41" t="s">
        <v>55</v>
      </c>
      <c r="H137" s="53" t="s">
        <v>105</v>
      </c>
      <c r="I137" s="41" t="s">
        <v>110</v>
      </c>
      <c r="J137" s="45">
        <v>1.5</v>
      </c>
      <c r="K137" s="42" t="s">
        <v>676</v>
      </c>
      <c r="L137" s="42"/>
      <c r="M137" s="46"/>
      <c r="N137" s="47"/>
      <c r="O137" s="48"/>
      <c r="P137" s="48"/>
      <c r="Q137" s="49"/>
      <c r="R137" s="41">
        <v>3</v>
      </c>
      <c r="S137" s="50"/>
      <c r="T137" s="50" t="s">
        <v>681</v>
      </c>
      <c r="U137" s="50"/>
      <c r="V137" s="50"/>
      <c r="W137" s="51"/>
    </row>
    <row r="138" spans="1:23" ht="30" customHeight="1" x14ac:dyDescent="0.3">
      <c r="A138" s="40" t="s">
        <v>682</v>
      </c>
      <c r="B138" s="41" t="s">
        <v>67</v>
      </c>
      <c r="C138" s="42" t="s">
        <v>68</v>
      </c>
      <c r="D138" s="42" t="s">
        <v>683</v>
      </c>
      <c r="E138" s="42" t="s">
        <v>52</v>
      </c>
      <c r="F138" s="43" t="s">
        <v>99</v>
      </c>
      <c r="G138" s="41" t="s">
        <v>55</v>
      </c>
      <c r="H138" s="53" t="s">
        <v>105</v>
      </c>
      <c r="I138" s="41" t="s">
        <v>110</v>
      </c>
      <c r="J138" s="45">
        <v>2</v>
      </c>
      <c r="K138" s="42" t="s">
        <v>684</v>
      </c>
      <c r="L138" s="42"/>
      <c r="M138" s="46"/>
      <c r="N138" s="47"/>
      <c r="O138" s="48"/>
      <c r="P138" s="48"/>
      <c r="Q138" s="49"/>
      <c r="R138" s="41">
        <v>5</v>
      </c>
      <c r="S138" s="50"/>
      <c r="T138" s="50" t="s">
        <v>685</v>
      </c>
      <c r="U138" s="50" t="s">
        <v>686</v>
      </c>
      <c r="V138" s="50"/>
      <c r="W138" s="51"/>
    </row>
    <row r="139" spans="1:23" ht="30" customHeight="1" x14ac:dyDescent="0.3">
      <c r="A139" s="40" t="s">
        <v>687</v>
      </c>
      <c r="B139" s="41" t="s">
        <v>67</v>
      </c>
      <c r="C139" s="42" t="s">
        <v>68</v>
      </c>
      <c r="D139" s="42" t="s">
        <v>688</v>
      </c>
      <c r="E139" s="42" t="s">
        <v>52</v>
      </c>
      <c r="F139" s="43" t="s">
        <v>99</v>
      </c>
      <c r="G139" s="41" t="s">
        <v>55</v>
      </c>
      <c r="H139" s="53" t="s">
        <v>105</v>
      </c>
      <c r="I139" s="41" t="s">
        <v>110</v>
      </c>
      <c r="J139" s="45">
        <v>1</v>
      </c>
      <c r="K139" s="42" t="s">
        <v>676</v>
      </c>
      <c r="L139" s="42"/>
      <c r="M139" s="46"/>
      <c r="N139" s="47"/>
      <c r="O139" s="48"/>
      <c r="P139" s="48"/>
      <c r="Q139" s="49"/>
      <c r="R139" s="41">
        <v>4</v>
      </c>
      <c r="S139" s="50" t="s">
        <v>689</v>
      </c>
      <c r="T139" s="50" t="s">
        <v>690</v>
      </c>
      <c r="U139" s="50"/>
      <c r="V139" s="50"/>
      <c r="W139" s="51"/>
    </row>
    <row r="140" spans="1:23" ht="30" customHeight="1" x14ac:dyDescent="0.3">
      <c r="A140" s="40" t="s">
        <v>691</v>
      </c>
      <c r="B140" s="41" t="s">
        <v>67</v>
      </c>
      <c r="C140" s="42" t="s">
        <v>68</v>
      </c>
      <c r="D140" s="42" t="s">
        <v>692</v>
      </c>
      <c r="E140" s="42" t="s">
        <v>52</v>
      </c>
      <c r="F140" s="43" t="s">
        <v>99</v>
      </c>
      <c r="G140" s="41" t="s">
        <v>55</v>
      </c>
      <c r="H140" s="52" t="s">
        <v>106</v>
      </c>
      <c r="I140" s="41" t="s">
        <v>110</v>
      </c>
      <c r="J140" s="45">
        <v>1</v>
      </c>
      <c r="K140" s="42" t="s">
        <v>679</v>
      </c>
      <c r="L140" s="42"/>
      <c r="M140" s="46"/>
      <c r="N140" s="47"/>
      <c r="O140" s="48"/>
      <c r="P140" s="48"/>
      <c r="Q140" s="49"/>
      <c r="R140" s="41">
        <v>0</v>
      </c>
      <c r="S140" s="50"/>
      <c r="T140" s="50"/>
      <c r="U140" s="50"/>
      <c r="V140" s="50" t="s">
        <v>693</v>
      </c>
      <c r="W140" s="51"/>
    </row>
    <row r="141" spans="1:23" ht="30" customHeight="1" x14ac:dyDescent="0.3">
      <c r="A141" s="40" t="s">
        <v>694</v>
      </c>
      <c r="B141" s="41" t="s">
        <v>67</v>
      </c>
      <c r="C141" s="42" t="s">
        <v>68</v>
      </c>
      <c r="D141" s="42" t="s">
        <v>695</v>
      </c>
      <c r="E141" s="42" t="s">
        <v>52</v>
      </c>
      <c r="F141" s="55" t="s">
        <v>100</v>
      </c>
      <c r="G141" s="41" t="s">
        <v>76</v>
      </c>
      <c r="H141" s="44" t="s">
        <v>107</v>
      </c>
      <c r="I141" s="41" t="s">
        <v>110</v>
      </c>
      <c r="J141" s="45">
        <v>0.5</v>
      </c>
      <c r="K141" s="42"/>
      <c r="L141" s="42"/>
      <c r="M141" s="46"/>
      <c r="N141" s="47"/>
      <c r="O141" s="48"/>
      <c r="P141" s="48"/>
      <c r="Q141" s="49"/>
      <c r="R141" s="41">
        <v>0</v>
      </c>
      <c r="S141" s="50"/>
      <c r="T141" s="50"/>
      <c r="U141" s="50"/>
      <c r="V141" s="50" t="s">
        <v>696</v>
      </c>
      <c r="W141" s="51"/>
    </row>
    <row r="142" spans="1:23" ht="30" customHeight="1" x14ac:dyDescent="0.3">
      <c r="A142" s="40" t="s">
        <v>697</v>
      </c>
      <c r="B142" s="41" t="s">
        <v>70</v>
      </c>
      <c r="C142" s="42" t="s">
        <v>71</v>
      </c>
      <c r="D142" s="42" t="s">
        <v>698</v>
      </c>
      <c r="E142" s="42" t="s">
        <v>52</v>
      </c>
      <c r="F142" s="43" t="s">
        <v>99</v>
      </c>
      <c r="G142" s="41" t="s">
        <v>59</v>
      </c>
      <c r="H142" s="53" t="s">
        <v>105</v>
      </c>
      <c r="I142" s="41" t="s">
        <v>112</v>
      </c>
      <c r="J142" s="45">
        <v>2</v>
      </c>
      <c r="K142" s="42"/>
      <c r="L142" s="42"/>
      <c r="M142" s="46"/>
      <c r="N142" s="47"/>
      <c r="O142" s="48"/>
      <c r="P142" s="48"/>
      <c r="Q142" s="49"/>
      <c r="R142" s="41">
        <v>7</v>
      </c>
      <c r="S142" s="50"/>
      <c r="T142" s="50" t="s">
        <v>699</v>
      </c>
      <c r="U142" s="50" t="s">
        <v>700</v>
      </c>
      <c r="V142" s="50"/>
      <c r="W142" s="51"/>
    </row>
    <row r="143" spans="1:23" ht="30" customHeight="1" x14ac:dyDescent="0.3">
      <c r="A143" s="40" t="s">
        <v>701</v>
      </c>
      <c r="B143" s="41" t="s">
        <v>70</v>
      </c>
      <c r="C143" s="42" t="s">
        <v>71</v>
      </c>
      <c r="D143" s="42" t="s">
        <v>702</v>
      </c>
      <c r="E143" s="42" t="s">
        <v>52</v>
      </c>
      <c r="F143" s="43" t="s">
        <v>99</v>
      </c>
      <c r="G143" s="41" t="s">
        <v>59</v>
      </c>
      <c r="H143" s="52" t="s">
        <v>106</v>
      </c>
      <c r="I143" s="41" t="s">
        <v>110</v>
      </c>
      <c r="J143" s="45">
        <v>1.5</v>
      </c>
      <c r="K143" s="42" t="s">
        <v>697</v>
      </c>
      <c r="L143" s="42"/>
      <c r="M143" s="46"/>
      <c r="N143" s="47"/>
      <c r="O143" s="48"/>
      <c r="P143" s="48"/>
      <c r="Q143" s="49"/>
      <c r="R143" s="41">
        <v>0</v>
      </c>
      <c r="S143" s="50"/>
      <c r="T143" s="50"/>
      <c r="U143" s="50"/>
      <c r="V143" s="50" t="s">
        <v>703</v>
      </c>
      <c r="W143" s="51"/>
    </row>
    <row r="144" spans="1:23" ht="30" customHeight="1" x14ac:dyDescent="0.3">
      <c r="A144" s="40" t="s">
        <v>704</v>
      </c>
      <c r="B144" s="41" t="s">
        <v>70</v>
      </c>
      <c r="C144" s="42" t="s">
        <v>71</v>
      </c>
      <c r="D144" s="42" t="s">
        <v>705</v>
      </c>
      <c r="E144" s="42" t="s">
        <v>52</v>
      </c>
      <c r="F144" s="43" t="s">
        <v>99</v>
      </c>
      <c r="G144" s="41" t="s">
        <v>59</v>
      </c>
      <c r="H144" s="52" t="s">
        <v>106</v>
      </c>
      <c r="I144" s="41" t="s">
        <v>110</v>
      </c>
      <c r="J144" s="45">
        <v>2.5</v>
      </c>
      <c r="K144" s="42" t="s">
        <v>701</v>
      </c>
      <c r="L144" s="42"/>
      <c r="M144" s="46"/>
      <c r="N144" s="47"/>
      <c r="O144" s="48"/>
      <c r="P144" s="48"/>
      <c r="Q144" s="49"/>
      <c r="R144" s="41">
        <v>8</v>
      </c>
      <c r="S144" s="50"/>
      <c r="T144" s="50" t="s">
        <v>706</v>
      </c>
      <c r="U144" s="50" t="s">
        <v>707</v>
      </c>
      <c r="V144" s="50"/>
      <c r="W144" s="51"/>
    </row>
    <row r="145" spans="1:23" ht="30" customHeight="1" x14ac:dyDescent="0.3">
      <c r="A145" s="40" t="s">
        <v>708</v>
      </c>
      <c r="B145" s="41" t="s">
        <v>70</v>
      </c>
      <c r="C145" s="42" t="s">
        <v>71</v>
      </c>
      <c r="D145" s="42" t="s">
        <v>709</v>
      </c>
      <c r="E145" s="42" t="s">
        <v>52</v>
      </c>
      <c r="F145" s="43" t="s">
        <v>99</v>
      </c>
      <c r="G145" s="41" t="s">
        <v>59</v>
      </c>
      <c r="H145" s="52" t="s">
        <v>106</v>
      </c>
      <c r="I145" s="41" t="s">
        <v>110</v>
      </c>
      <c r="J145" s="45">
        <v>2</v>
      </c>
      <c r="K145" s="42" t="s">
        <v>701</v>
      </c>
      <c r="L145" s="42"/>
      <c r="M145" s="46"/>
      <c r="N145" s="47"/>
      <c r="O145" s="48"/>
      <c r="P145" s="48"/>
      <c r="Q145" s="49"/>
      <c r="R145" s="41">
        <v>6</v>
      </c>
      <c r="S145" s="50"/>
      <c r="T145" s="50" t="s">
        <v>710</v>
      </c>
      <c r="U145" s="50"/>
      <c r="V145" s="50"/>
      <c r="W145" s="51"/>
    </row>
    <row r="146" spans="1:23" ht="30" customHeight="1" x14ac:dyDescent="0.3">
      <c r="A146" s="40" t="s">
        <v>711</v>
      </c>
      <c r="B146" s="41" t="s">
        <v>70</v>
      </c>
      <c r="C146" s="42" t="s">
        <v>71</v>
      </c>
      <c r="D146" s="42" t="s">
        <v>712</v>
      </c>
      <c r="E146" s="42" t="s">
        <v>52</v>
      </c>
      <c r="F146" s="55" t="s">
        <v>100</v>
      </c>
      <c r="G146" s="41" t="s">
        <v>59</v>
      </c>
      <c r="H146" s="44" t="s">
        <v>107</v>
      </c>
      <c r="I146" s="41" t="s">
        <v>110</v>
      </c>
      <c r="J146" s="45">
        <v>2</v>
      </c>
      <c r="K146" s="42" t="s">
        <v>708</v>
      </c>
      <c r="L146" s="42"/>
      <c r="M146" s="46"/>
      <c r="N146" s="47"/>
      <c r="O146" s="48"/>
      <c r="P146" s="48"/>
      <c r="Q146" s="49"/>
      <c r="R146" s="41">
        <v>0</v>
      </c>
      <c r="S146" s="50"/>
      <c r="T146" s="50"/>
      <c r="U146" s="50"/>
      <c r="V146" s="50" t="s">
        <v>713</v>
      </c>
      <c r="W146" s="51"/>
    </row>
    <row r="147" spans="1:23" ht="30" customHeight="1" x14ac:dyDescent="0.3">
      <c r="A147" s="40" t="s">
        <v>714</v>
      </c>
      <c r="B147" s="41" t="s">
        <v>70</v>
      </c>
      <c r="C147" s="42" t="s">
        <v>71</v>
      </c>
      <c r="D147" s="42" t="s">
        <v>715</v>
      </c>
      <c r="E147" s="42" t="s">
        <v>52</v>
      </c>
      <c r="F147" s="55" t="s">
        <v>100</v>
      </c>
      <c r="G147" s="41" t="s">
        <v>59</v>
      </c>
      <c r="H147" s="44" t="s">
        <v>107</v>
      </c>
      <c r="I147" s="41" t="s">
        <v>110</v>
      </c>
      <c r="J147" s="45">
        <v>1.5</v>
      </c>
      <c r="K147" s="42" t="s">
        <v>514</v>
      </c>
      <c r="L147" s="42"/>
      <c r="M147" s="46"/>
      <c r="N147" s="47"/>
      <c r="O147" s="48"/>
      <c r="P147" s="48"/>
      <c r="Q147" s="49"/>
      <c r="R147" s="41">
        <v>0</v>
      </c>
      <c r="S147" s="50"/>
      <c r="T147" s="50"/>
      <c r="U147" s="50"/>
      <c r="V147" s="50" t="s">
        <v>716</v>
      </c>
      <c r="W147" s="51"/>
    </row>
    <row r="148" spans="1:23" ht="30" customHeight="1" x14ac:dyDescent="0.3">
      <c r="A148" s="40" t="s">
        <v>717</v>
      </c>
      <c r="B148" s="41" t="s">
        <v>70</v>
      </c>
      <c r="C148" s="42" t="s">
        <v>71</v>
      </c>
      <c r="D148" s="42" t="s">
        <v>718</v>
      </c>
      <c r="E148" s="42" t="s">
        <v>52</v>
      </c>
      <c r="F148" s="55" t="s">
        <v>100</v>
      </c>
      <c r="G148" s="41" t="s">
        <v>59</v>
      </c>
      <c r="H148" s="44" t="s">
        <v>107</v>
      </c>
      <c r="I148" s="41" t="s">
        <v>110</v>
      </c>
      <c r="J148" s="45">
        <v>1</v>
      </c>
      <c r="K148" s="42"/>
      <c r="L148" s="42"/>
      <c r="M148" s="46"/>
      <c r="N148" s="47"/>
      <c r="O148" s="48"/>
      <c r="P148" s="48"/>
      <c r="Q148" s="49"/>
      <c r="R148" s="41">
        <v>0</v>
      </c>
      <c r="S148" s="50"/>
      <c r="T148" s="50"/>
      <c r="U148" s="50"/>
      <c r="V148" s="50"/>
      <c r="W148" s="51"/>
    </row>
    <row r="149" spans="1:23" ht="30" customHeight="1" x14ac:dyDescent="0.3">
      <c r="A149" s="40" t="s">
        <v>719</v>
      </c>
      <c r="B149" s="41" t="s">
        <v>70</v>
      </c>
      <c r="C149" s="42" t="s">
        <v>71</v>
      </c>
      <c r="D149" s="42" t="s">
        <v>720</v>
      </c>
      <c r="E149" s="42" t="s">
        <v>52</v>
      </c>
      <c r="F149" s="55" t="s">
        <v>100</v>
      </c>
      <c r="G149" s="41" t="s">
        <v>76</v>
      </c>
      <c r="H149" s="52" t="s">
        <v>106</v>
      </c>
      <c r="I149" s="41" t="s">
        <v>110</v>
      </c>
      <c r="J149" s="45">
        <v>1</v>
      </c>
      <c r="K149" s="42"/>
      <c r="L149" s="42"/>
      <c r="M149" s="46"/>
      <c r="N149" s="47"/>
      <c r="O149" s="48"/>
      <c r="P149" s="48"/>
      <c r="Q149" s="49"/>
      <c r="R149" s="41">
        <v>5</v>
      </c>
      <c r="S149" s="50"/>
      <c r="T149" s="50" t="s">
        <v>721</v>
      </c>
      <c r="U149" s="50"/>
      <c r="V149" s="50"/>
      <c r="W149" s="51"/>
    </row>
    <row r="150" spans="1:23" ht="30" customHeight="1" x14ac:dyDescent="0.3">
      <c r="A150" s="40" t="s">
        <v>722</v>
      </c>
      <c r="B150" s="41" t="s">
        <v>70</v>
      </c>
      <c r="C150" s="42" t="s">
        <v>71</v>
      </c>
      <c r="D150" s="42" t="s">
        <v>723</v>
      </c>
      <c r="E150" s="42" t="s">
        <v>52</v>
      </c>
      <c r="F150" s="54" t="s">
        <v>101</v>
      </c>
      <c r="G150" s="41" t="s">
        <v>76</v>
      </c>
      <c r="H150" s="44" t="s">
        <v>107</v>
      </c>
      <c r="I150" s="41" t="s">
        <v>110</v>
      </c>
      <c r="J150" s="45">
        <v>1.5</v>
      </c>
      <c r="K150" s="42"/>
      <c r="L150" s="42"/>
      <c r="M150" s="46"/>
      <c r="N150" s="47"/>
      <c r="O150" s="48"/>
      <c r="P150" s="48"/>
      <c r="Q150" s="49"/>
      <c r="R150" s="41">
        <v>0</v>
      </c>
      <c r="S150" s="50"/>
      <c r="T150" s="50"/>
      <c r="U150" s="50"/>
      <c r="V150" s="50" t="s">
        <v>724</v>
      </c>
      <c r="W150" s="51"/>
    </row>
    <row r="151" spans="1:23" ht="30" customHeight="1" x14ac:dyDescent="0.3">
      <c r="A151" s="40" t="s">
        <v>725</v>
      </c>
      <c r="B151" s="41" t="s">
        <v>74</v>
      </c>
      <c r="C151" s="42" t="s">
        <v>75</v>
      </c>
      <c r="D151" s="42" t="s">
        <v>726</v>
      </c>
      <c r="E151" s="42" t="s">
        <v>52</v>
      </c>
      <c r="F151" s="55" t="s">
        <v>100</v>
      </c>
      <c r="G151" s="41" t="s">
        <v>76</v>
      </c>
      <c r="H151" s="52" t="s">
        <v>106</v>
      </c>
      <c r="I151" s="41" t="s">
        <v>110</v>
      </c>
      <c r="J151" s="45">
        <v>1.5</v>
      </c>
      <c r="K151" s="42" t="s">
        <v>697</v>
      </c>
      <c r="L151" s="42"/>
      <c r="M151" s="46"/>
      <c r="N151" s="47"/>
      <c r="O151" s="48"/>
      <c r="P151" s="48"/>
      <c r="Q151" s="49"/>
      <c r="R151" s="41">
        <v>0</v>
      </c>
      <c r="S151" s="50"/>
      <c r="T151" s="50"/>
      <c r="U151" s="50"/>
      <c r="V151" s="50" t="s">
        <v>727</v>
      </c>
      <c r="W151" s="51"/>
    </row>
    <row r="152" spans="1:23" ht="30" customHeight="1" x14ac:dyDescent="0.3">
      <c r="A152" s="40" t="s">
        <v>728</v>
      </c>
      <c r="B152" s="41" t="s">
        <v>74</v>
      </c>
      <c r="C152" s="42" t="s">
        <v>75</v>
      </c>
      <c r="D152" s="42" t="s">
        <v>729</v>
      </c>
      <c r="E152" s="42" t="s">
        <v>52</v>
      </c>
      <c r="F152" s="55" t="s">
        <v>100</v>
      </c>
      <c r="G152" s="41" t="s">
        <v>76</v>
      </c>
      <c r="H152" s="53" t="s">
        <v>105</v>
      </c>
      <c r="I152" s="41" t="s">
        <v>110</v>
      </c>
      <c r="J152" s="45">
        <v>2.5</v>
      </c>
      <c r="K152" s="42" t="s">
        <v>725</v>
      </c>
      <c r="L152" s="42"/>
      <c r="M152" s="46"/>
      <c r="N152" s="47"/>
      <c r="O152" s="48"/>
      <c r="P152" s="48"/>
      <c r="Q152" s="49"/>
      <c r="R152" s="41">
        <v>7</v>
      </c>
      <c r="S152" s="50"/>
      <c r="T152" s="50" t="s">
        <v>730</v>
      </c>
      <c r="U152" s="50" t="s">
        <v>731</v>
      </c>
      <c r="V152" s="50"/>
      <c r="W152" s="51"/>
    </row>
    <row r="153" spans="1:23" ht="30" customHeight="1" x14ac:dyDescent="0.3">
      <c r="A153" s="40" t="s">
        <v>732</v>
      </c>
      <c r="B153" s="41" t="s">
        <v>74</v>
      </c>
      <c r="C153" s="42" t="s">
        <v>75</v>
      </c>
      <c r="D153" s="42" t="s">
        <v>733</v>
      </c>
      <c r="E153" s="42" t="s">
        <v>52</v>
      </c>
      <c r="F153" s="55" t="s">
        <v>100</v>
      </c>
      <c r="G153" s="41" t="s">
        <v>76</v>
      </c>
      <c r="H153" s="44" t="s">
        <v>107</v>
      </c>
      <c r="I153" s="41" t="s">
        <v>110</v>
      </c>
      <c r="J153" s="45">
        <v>1.5</v>
      </c>
      <c r="K153" s="42"/>
      <c r="L153" s="42"/>
      <c r="M153" s="46"/>
      <c r="N153" s="47"/>
      <c r="O153" s="48"/>
      <c r="P153" s="48"/>
      <c r="Q153" s="49"/>
      <c r="R153" s="41">
        <v>0</v>
      </c>
      <c r="S153" s="50"/>
      <c r="T153" s="50"/>
      <c r="U153" s="50"/>
      <c r="V153" s="50" t="s">
        <v>734</v>
      </c>
      <c r="W153" s="51"/>
    </row>
    <row r="154" spans="1:23" ht="30" customHeight="1" x14ac:dyDescent="0.3">
      <c r="A154" s="40" t="s">
        <v>735</v>
      </c>
      <c r="B154" s="41" t="s">
        <v>74</v>
      </c>
      <c r="C154" s="42" t="s">
        <v>75</v>
      </c>
      <c r="D154" s="42" t="s">
        <v>736</v>
      </c>
      <c r="E154" s="42" t="s">
        <v>52</v>
      </c>
      <c r="F154" s="55" t="s">
        <v>100</v>
      </c>
      <c r="G154" s="41" t="s">
        <v>76</v>
      </c>
      <c r="H154" s="53" t="s">
        <v>105</v>
      </c>
      <c r="I154" s="41" t="s">
        <v>110</v>
      </c>
      <c r="J154" s="45">
        <v>2.5</v>
      </c>
      <c r="K154" s="42" t="s">
        <v>522</v>
      </c>
      <c r="L154" s="42"/>
      <c r="M154" s="46"/>
      <c r="N154" s="47"/>
      <c r="O154" s="48"/>
      <c r="P154" s="48"/>
      <c r="Q154" s="49"/>
      <c r="R154" s="41">
        <v>5</v>
      </c>
      <c r="S154" s="50"/>
      <c r="T154" s="50" t="s">
        <v>737</v>
      </c>
      <c r="U154" s="50" t="s">
        <v>738</v>
      </c>
      <c r="V154" s="50"/>
      <c r="W154" s="51"/>
    </row>
    <row r="155" spans="1:23" ht="30" customHeight="1" x14ac:dyDescent="0.3">
      <c r="A155" s="40" t="s">
        <v>739</v>
      </c>
      <c r="B155" s="41" t="s">
        <v>74</v>
      </c>
      <c r="C155" s="42" t="s">
        <v>75</v>
      </c>
      <c r="D155" s="42" t="s">
        <v>740</v>
      </c>
      <c r="E155" s="42" t="s">
        <v>52</v>
      </c>
      <c r="F155" s="55" t="s">
        <v>100</v>
      </c>
      <c r="G155" s="41" t="s">
        <v>76</v>
      </c>
      <c r="H155" s="53" t="s">
        <v>105</v>
      </c>
      <c r="I155" s="41" t="s">
        <v>110</v>
      </c>
      <c r="J155" s="45">
        <v>1.5</v>
      </c>
      <c r="K155" s="42" t="s">
        <v>728</v>
      </c>
      <c r="L155" s="42"/>
      <c r="M155" s="46"/>
      <c r="N155" s="47"/>
      <c r="O155" s="48"/>
      <c r="P155" s="48"/>
      <c r="Q155" s="49"/>
      <c r="R155" s="41">
        <v>0</v>
      </c>
      <c r="S155" s="50"/>
      <c r="T155" s="50"/>
      <c r="U155" s="50"/>
      <c r="V155" s="50" t="s">
        <v>741</v>
      </c>
      <c r="W155" s="51"/>
    </row>
    <row r="156" spans="1:23" ht="30" customHeight="1" x14ac:dyDescent="0.3">
      <c r="A156" s="40" t="s">
        <v>742</v>
      </c>
      <c r="B156" s="41" t="s">
        <v>74</v>
      </c>
      <c r="C156" s="42" t="s">
        <v>75</v>
      </c>
      <c r="D156" s="42" t="s">
        <v>743</v>
      </c>
      <c r="E156" s="42" t="s">
        <v>52</v>
      </c>
      <c r="F156" s="55" t="s">
        <v>100</v>
      </c>
      <c r="G156" s="41" t="s">
        <v>76</v>
      </c>
      <c r="H156" s="44" t="s">
        <v>107</v>
      </c>
      <c r="I156" s="41" t="s">
        <v>110</v>
      </c>
      <c r="J156" s="45">
        <v>1</v>
      </c>
      <c r="K156" s="42"/>
      <c r="L156" s="42"/>
      <c r="M156" s="46"/>
      <c r="N156" s="47"/>
      <c r="O156" s="48"/>
      <c r="P156" s="48"/>
      <c r="Q156" s="49"/>
      <c r="R156" s="41">
        <v>0</v>
      </c>
      <c r="S156" s="50"/>
      <c r="T156" s="50"/>
      <c r="U156" s="50"/>
      <c r="V156" s="50" t="s">
        <v>744</v>
      </c>
      <c r="W156" s="51"/>
    </row>
    <row r="157" spans="1:23" ht="30" customHeight="1" x14ac:dyDescent="0.3">
      <c r="A157" s="40" t="s">
        <v>745</v>
      </c>
      <c r="B157" s="41" t="s">
        <v>74</v>
      </c>
      <c r="C157" s="42" t="s">
        <v>75</v>
      </c>
      <c r="D157" s="42" t="s">
        <v>746</v>
      </c>
      <c r="E157" s="42" t="s">
        <v>52</v>
      </c>
      <c r="F157" s="55" t="s">
        <v>100</v>
      </c>
      <c r="G157" s="41" t="s">
        <v>76</v>
      </c>
      <c r="H157" s="53" t="s">
        <v>105</v>
      </c>
      <c r="I157" s="41" t="s">
        <v>112</v>
      </c>
      <c r="J157" s="45">
        <v>1</v>
      </c>
      <c r="K157" s="42" t="s">
        <v>393</v>
      </c>
      <c r="L157" s="42"/>
      <c r="M157" s="46"/>
      <c r="N157" s="47"/>
      <c r="O157" s="48"/>
      <c r="P157" s="48"/>
      <c r="Q157" s="49"/>
      <c r="R157" s="41">
        <v>4</v>
      </c>
      <c r="S157" s="50"/>
      <c r="T157" s="50" t="s">
        <v>747</v>
      </c>
      <c r="U157" s="50"/>
      <c r="V157" s="50"/>
      <c r="W157" s="51"/>
    </row>
    <row r="158" spans="1:23" ht="30" customHeight="1" x14ac:dyDescent="0.3">
      <c r="A158" s="40" t="s">
        <v>748</v>
      </c>
      <c r="B158" s="41" t="s">
        <v>74</v>
      </c>
      <c r="C158" s="42" t="s">
        <v>75</v>
      </c>
      <c r="D158" s="42" t="s">
        <v>749</v>
      </c>
      <c r="E158" s="42" t="s">
        <v>52</v>
      </c>
      <c r="F158" s="55" t="s">
        <v>100</v>
      </c>
      <c r="G158" s="41" t="s">
        <v>76</v>
      </c>
      <c r="H158" s="52" t="s">
        <v>106</v>
      </c>
      <c r="I158" s="41" t="s">
        <v>110</v>
      </c>
      <c r="J158" s="45">
        <v>1.5</v>
      </c>
      <c r="K158" s="42" t="s">
        <v>176</v>
      </c>
      <c r="L158" s="42"/>
      <c r="M158" s="46"/>
      <c r="N158" s="47"/>
      <c r="O158" s="48"/>
      <c r="P158" s="48"/>
      <c r="Q158" s="49"/>
      <c r="R158" s="41">
        <v>0</v>
      </c>
      <c r="S158" s="50"/>
      <c r="T158" s="50"/>
      <c r="U158" s="50"/>
      <c r="V158" s="50" t="s">
        <v>750</v>
      </c>
      <c r="W158" s="51"/>
    </row>
    <row r="159" spans="1:23" ht="30" customHeight="1" x14ac:dyDescent="0.3">
      <c r="A159" s="40" t="s">
        <v>751</v>
      </c>
      <c r="B159" s="41" t="s">
        <v>78</v>
      </c>
      <c r="C159" s="42" t="s">
        <v>79</v>
      </c>
      <c r="D159" s="42" t="s">
        <v>752</v>
      </c>
      <c r="E159" s="42" t="s">
        <v>52</v>
      </c>
      <c r="F159" s="43" t="s">
        <v>99</v>
      </c>
      <c r="G159" s="41" t="s">
        <v>42</v>
      </c>
      <c r="H159" s="53" t="s">
        <v>105</v>
      </c>
      <c r="I159" s="41" t="s">
        <v>112</v>
      </c>
      <c r="J159" s="45">
        <v>1.5</v>
      </c>
      <c r="K159" s="42"/>
      <c r="L159" s="42"/>
      <c r="M159" s="46"/>
      <c r="N159" s="47"/>
      <c r="O159" s="48"/>
      <c r="P159" s="48"/>
      <c r="Q159" s="49"/>
      <c r="R159" s="41">
        <v>4</v>
      </c>
      <c r="S159" s="50"/>
      <c r="T159" s="50" t="s">
        <v>753</v>
      </c>
      <c r="U159" s="50" t="s">
        <v>754</v>
      </c>
      <c r="V159" s="50"/>
      <c r="W159" s="51"/>
    </row>
    <row r="160" spans="1:23" ht="30" customHeight="1" x14ac:dyDescent="0.3">
      <c r="A160" s="40" t="s">
        <v>755</v>
      </c>
      <c r="B160" s="41" t="s">
        <v>78</v>
      </c>
      <c r="C160" s="42" t="s">
        <v>79</v>
      </c>
      <c r="D160" s="42" t="s">
        <v>756</v>
      </c>
      <c r="E160" s="42" t="s">
        <v>52</v>
      </c>
      <c r="F160" s="43" t="s">
        <v>99</v>
      </c>
      <c r="G160" s="41" t="s">
        <v>42</v>
      </c>
      <c r="H160" s="44" t="s">
        <v>107</v>
      </c>
      <c r="I160" s="41" t="s">
        <v>110</v>
      </c>
      <c r="J160" s="45">
        <v>1</v>
      </c>
      <c r="K160" s="42" t="s">
        <v>757</v>
      </c>
      <c r="L160" s="42"/>
      <c r="M160" s="46"/>
      <c r="N160" s="47"/>
      <c r="O160" s="48"/>
      <c r="P160" s="48"/>
      <c r="Q160" s="49"/>
      <c r="R160" s="41">
        <v>0</v>
      </c>
      <c r="S160" s="50"/>
      <c r="T160" s="50"/>
      <c r="U160" s="50"/>
      <c r="V160" s="50"/>
      <c r="W160" s="51"/>
    </row>
    <row r="161" spans="1:23" ht="30" customHeight="1" x14ac:dyDescent="0.3">
      <c r="A161" s="40" t="s">
        <v>758</v>
      </c>
      <c r="B161" s="41" t="s">
        <v>78</v>
      </c>
      <c r="C161" s="42" t="s">
        <v>79</v>
      </c>
      <c r="D161" s="42" t="s">
        <v>759</v>
      </c>
      <c r="E161" s="42" t="s">
        <v>52</v>
      </c>
      <c r="F161" s="43" t="s">
        <v>99</v>
      </c>
      <c r="G161" s="41" t="s">
        <v>59</v>
      </c>
      <c r="H161" s="53" t="s">
        <v>105</v>
      </c>
      <c r="I161" s="41" t="s">
        <v>110</v>
      </c>
      <c r="J161" s="45">
        <v>1.5</v>
      </c>
      <c r="K161" s="42" t="s">
        <v>751</v>
      </c>
      <c r="L161" s="42"/>
      <c r="M161" s="46"/>
      <c r="N161" s="47"/>
      <c r="O161" s="48"/>
      <c r="P161" s="48"/>
      <c r="Q161" s="49"/>
      <c r="R161" s="41">
        <v>4</v>
      </c>
      <c r="S161" s="50"/>
      <c r="T161" s="50" t="s">
        <v>760</v>
      </c>
      <c r="U161" s="50"/>
      <c r="V161" s="50"/>
      <c r="W161" s="51"/>
    </row>
    <row r="162" spans="1:23" ht="30" customHeight="1" x14ac:dyDescent="0.3">
      <c r="A162" s="40" t="s">
        <v>761</v>
      </c>
      <c r="B162" s="41" t="s">
        <v>78</v>
      </c>
      <c r="C162" s="42" t="s">
        <v>79</v>
      </c>
      <c r="D162" s="42" t="s">
        <v>762</v>
      </c>
      <c r="E162" s="42" t="s">
        <v>52</v>
      </c>
      <c r="F162" s="43" t="s">
        <v>99</v>
      </c>
      <c r="G162" s="41" t="s">
        <v>59</v>
      </c>
      <c r="H162" s="53" t="s">
        <v>105</v>
      </c>
      <c r="I162" s="41" t="s">
        <v>110</v>
      </c>
      <c r="J162" s="45">
        <v>1.5</v>
      </c>
      <c r="K162" s="42" t="s">
        <v>751</v>
      </c>
      <c r="L162" s="42"/>
      <c r="M162" s="46"/>
      <c r="N162" s="47"/>
      <c r="O162" s="48"/>
      <c r="P162" s="48"/>
      <c r="Q162" s="49"/>
      <c r="R162" s="41">
        <v>0</v>
      </c>
      <c r="S162" s="50"/>
      <c r="T162" s="50"/>
      <c r="U162" s="50"/>
      <c r="V162" s="50" t="s">
        <v>763</v>
      </c>
      <c r="W162" s="51"/>
    </row>
    <row r="163" spans="1:23" ht="30" customHeight="1" x14ac:dyDescent="0.3">
      <c r="A163" s="40" t="s">
        <v>764</v>
      </c>
      <c r="B163" s="41" t="s">
        <v>78</v>
      </c>
      <c r="C163" s="42" t="s">
        <v>79</v>
      </c>
      <c r="D163" s="42" t="s">
        <v>765</v>
      </c>
      <c r="E163" s="42" t="s">
        <v>52</v>
      </c>
      <c r="F163" s="55" t="s">
        <v>100</v>
      </c>
      <c r="G163" s="41" t="s">
        <v>59</v>
      </c>
      <c r="H163" s="44" t="s">
        <v>107</v>
      </c>
      <c r="I163" s="41" t="s">
        <v>110</v>
      </c>
      <c r="J163" s="45">
        <v>0.5</v>
      </c>
      <c r="K163" s="42" t="s">
        <v>758</v>
      </c>
      <c r="L163" s="42"/>
      <c r="M163" s="46"/>
      <c r="N163" s="47"/>
      <c r="O163" s="48"/>
      <c r="P163" s="48"/>
      <c r="Q163" s="49"/>
      <c r="R163" s="41">
        <v>0</v>
      </c>
      <c r="S163" s="50"/>
      <c r="T163" s="50"/>
      <c r="U163" s="50"/>
      <c r="V163" s="50" t="s">
        <v>766</v>
      </c>
      <c r="W163" s="51"/>
    </row>
    <row r="164" spans="1:23" ht="30" customHeight="1" x14ac:dyDescent="0.3">
      <c r="A164" s="40" t="s">
        <v>767</v>
      </c>
      <c r="B164" s="41" t="s">
        <v>78</v>
      </c>
      <c r="C164" s="42" t="s">
        <v>79</v>
      </c>
      <c r="D164" s="42" t="s">
        <v>768</v>
      </c>
      <c r="E164" s="42" t="s">
        <v>52</v>
      </c>
      <c r="F164" s="54" t="s">
        <v>101</v>
      </c>
      <c r="G164" s="41" t="s">
        <v>76</v>
      </c>
      <c r="H164" s="44" t="s">
        <v>107</v>
      </c>
      <c r="I164" s="41" t="s">
        <v>110</v>
      </c>
      <c r="J164" s="45">
        <v>0.5</v>
      </c>
      <c r="K164" s="42"/>
      <c r="L164" s="42"/>
      <c r="M164" s="46"/>
      <c r="N164" s="47"/>
      <c r="O164" s="48"/>
      <c r="P164" s="48"/>
      <c r="Q164" s="49"/>
      <c r="R164" s="41">
        <v>0</v>
      </c>
      <c r="S164" s="50"/>
      <c r="T164" s="50"/>
      <c r="U164" s="50"/>
      <c r="V164" s="50"/>
      <c r="W164" s="51"/>
    </row>
    <row r="165" spans="1:23" ht="30" customHeight="1" x14ac:dyDescent="0.3">
      <c r="A165" s="40" t="s">
        <v>769</v>
      </c>
      <c r="B165" s="41" t="s">
        <v>82</v>
      </c>
      <c r="C165" s="42" t="s">
        <v>83</v>
      </c>
      <c r="D165" s="42" t="s">
        <v>770</v>
      </c>
      <c r="E165" s="42" t="s">
        <v>52</v>
      </c>
      <c r="F165" s="55" t="s">
        <v>100</v>
      </c>
      <c r="G165" s="41" t="s">
        <v>76</v>
      </c>
      <c r="H165" s="52" t="s">
        <v>106</v>
      </c>
      <c r="I165" s="41" t="s">
        <v>114</v>
      </c>
      <c r="J165" s="45">
        <v>1.5</v>
      </c>
      <c r="K165" s="42"/>
      <c r="L165" s="42"/>
      <c r="M165" s="46"/>
      <c r="N165" s="47"/>
      <c r="O165" s="48"/>
      <c r="P165" s="48"/>
      <c r="Q165" s="49"/>
      <c r="R165" s="41">
        <v>0</v>
      </c>
      <c r="S165" s="50"/>
      <c r="T165" s="50"/>
      <c r="U165" s="50"/>
      <c r="V165" s="50" t="s">
        <v>771</v>
      </c>
      <c r="W165" s="51"/>
    </row>
    <row r="166" spans="1:23" ht="30" customHeight="1" x14ac:dyDescent="0.3">
      <c r="A166" s="40" t="s">
        <v>772</v>
      </c>
      <c r="B166" s="41" t="s">
        <v>82</v>
      </c>
      <c r="C166" s="42" t="s">
        <v>83</v>
      </c>
      <c r="D166" s="42" t="s">
        <v>773</v>
      </c>
      <c r="E166" s="42" t="s">
        <v>52</v>
      </c>
      <c r="F166" s="55" t="s">
        <v>100</v>
      </c>
      <c r="G166" s="41" t="s">
        <v>76</v>
      </c>
      <c r="H166" s="53" t="s">
        <v>105</v>
      </c>
      <c r="I166" s="41" t="s">
        <v>110</v>
      </c>
      <c r="J166" s="45">
        <v>2</v>
      </c>
      <c r="K166" s="42" t="s">
        <v>769</v>
      </c>
      <c r="L166" s="42"/>
      <c r="M166" s="46"/>
      <c r="N166" s="47"/>
      <c r="O166" s="48"/>
      <c r="P166" s="48"/>
      <c r="Q166" s="49"/>
      <c r="R166" s="41">
        <v>5</v>
      </c>
      <c r="S166" s="50" t="s">
        <v>774</v>
      </c>
      <c r="T166" s="50" t="s">
        <v>775</v>
      </c>
      <c r="U166" s="50" t="s">
        <v>776</v>
      </c>
      <c r="V166" s="50"/>
      <c r="W166" s="51"/>
    </row>
    <row r="167" spans="1:23" ht="30" customHeight="1" x14ac:dyDescent="0.3">
      <c r="A167" s="40" t="s">
        <v>777</v>
      </c>
      <c r="B167" s="41" t="s">
        <v>82</v>
      </c>
      <c r="C167" s="42" t="s">
        <v>83</v>
      </c>
      <c r="D167" s="42" t="s">
        <v>778</v>
      </c>
      <c r="E167" s="42" t="s">
        <v>52</v>
      </c>
      <c r="F167" s="55" t="s">
        <v>100</v>
      </c>
      <c r="G167" s="41" t="s">
        <v>76</v>
      </c>
      <c r="H167" s="44" t="s">
        <v>107</v>
      </c>
      <c r="I167" s="41" t="s">
        <v>114</v>
      </c>
      <c r="J167" s="45">
        <v>1.5</v>
      </c>
      <c r="K167" s="42" t="s">
        <v>769</v>
      </c>
      <c r="L167" s="42"/>
      <c r="M167" s="46"/>
      <c r="N167" s="47"/>
      <c r="O167" s="48"/>
      <c r="P167" s="48"/>
      <c r="Q167" s="49"/>
      <c r="R167" s="41">
        <v>0</v>
      </c>
      <c r="S167" s="50"/>
      <c r="T167" s="50"/>
      <c r="U167" s="50"/>
      <c r="V167" s="50"/>
      <c r="W167" s="51"/>
    </row>
    <row r="168" spans="1:23" ht="30" customHeight="1" x14ac:dyDescent="0.3">
      <c r="A168" s="40" t="s">
        <v>779</v>
      </c>
      <c r="B168" s="41" t="s">
        <v>82</v>
      </c>
      <c r="C168" s="42" t="s">
        <v>83</v>
      </c>
      <c r="D168" s="42" t="s">
        <v>780</v>
      </c>
      <c r="E168" s="42" t="s">
        <v>52</v>
      </c>
      <c r="F168" s="55" t="s">
        <v>100</v>
      </c>
      <c r="G168" s="41" t="s">
        <v>76</v>
      </c>
      <c r="H168" s="52" t="s">
        <v>106</v>
      </c>
      <c r="I168" s="41" t="s">
        <v>114</v>
      </c>
      <c r="J168" s="45">
        <v>1</v>
      </c>
      <c r="K168" s="42" t="s">
        <v>769</v>
      </c>
      <c r="L168" s="42"/>
      <c r="M168" s="46"/>
      <c r="N168" s="47"/>
      <c r="O168" s="48"/>
      <c r="P168" s="48"/>
      <c r="Q168" s="49"/>
      <c r="R168" s="41">
        <v>0</v>
      </c>
      <c r="S168" s="50"/>
      <c r="T168" s="50"/>
      <c r="U168" s="50"/>
      <c r="V168" s="50" t="s">
        <v>781</v>
      </c>
      <c r="W168" s="51"/>
    </row>
    <row r="169" spans="1:23" ht="30" customHeight="1" x14ac:dyDescent="0.3">
      <c r="A169" s="40" t="s">
        <v>782</v>
      </c>
      <c r="B169" s="41" t="s">
        <v>82</v>
      </c>
      <c r="C169" s="42" t="s">
        <v>83</v>
      </c>
      <c r="D169" s="42" t="s">
        <v>783</v>
      </c>
      <c r="E169" s="42" t="s">
        <v>52</v>
      </c>
      <c r="F169" s="43" t="s">
        <v>99</v>
      </c>
      <c r="G169" s="41" t="s">
        <v>55</v>
      </c>
      <c r="H169" s="53" t="s">
        <v>105</v>
      </c>
      <c r="I169" s="41" t="s">
        <v>114</v>
      </c>
      <c r="J169" s="45">
        <v>1</v>
      </c>
      <c r="K169" s="42"/>
      <c r="L169" s="42"/>
      <c r="M169" s="46"/>
      <c r="N169" s="47"/>
      <c r="O169" s="48"/>
      <c r="P169" s="48"/>
      <c r="Q169" s="49"/>
      <c r="R169" s="41">
        <v>0</v>
      </c>
      <c r="S169" s="50"/>
      <c r="T169" s="50"/>
      <c r="U169" s="50"/>
      <c r="V169" s="50" t="s">
        <v>784</v>
      </c>
      <c r="W169" s="51"/>
    </row>
    <row r="170" spans="1:23" ht="30" customHeight="1" x14ac:dyDescent="0.3">
      <c r="A170" s="40" t="s">
        <v>785</v>
      </c>
      <c r="B170" s="41" t="s">
        <v>82</v>
      </c>
      <c r="C170" s="42" t="s">
        <v>83</v>
      </c>
      <c r="D170" s="42" t="s">
        <v>786</v>
      </c>
      <c r="E170" s="42" t="s">
        <v>52</v>
      </c>
      <c r="F170" s="55" t="s">
        <v>100</v>
      </c>
      <c r="G170" s="41" t="s">
        <v>76</v>
      </c>
      <c r="H170" s="44" t="s">
        <v>107</v>
      </c>
      <c r="I170" s="41" t="s">
        <v>114</v>
      </c>
      <c r="J170" s="45">
        <v>0.5</v>
      </c>
      <c r="K170" s="42"/>
      <c r="L170" s="42"/>
      <c r="M170" s="46"/>
      <c r="N170" s="47"/>
      <c r="O170" s="48"/>
      <c r="P170" s="48"/>
      <c r="Q170" s="49"/>
      <c r="R170" s="41">
        <v>0</v>
      </c>
      <c r="S170" s="50"/>
      <c r="T170" s="50"/>
      <c r="U170" s="50"/>
      <c r="V170" s="50" t="s">
        <v>787</v>
      </c>
      <c r="W170" s="51"/>
    </row>
    <row r="171" spans="1:23" ht="30" customHeight="1" x14ac:dyDescent="0.3">
      <c r="A171" s="40" t="s">
        <v>788</v>
      </c>
      <c r="B171" s="41" t="s">
        <v>84</v>
      </c>
      <c r="C171" s="42" t="s">
        <v>85</v>
      </c>
      <c r="D171" s="42" t="s">
        <v>789</v>
      </c>
      <c r="E171" s="42" t="s">
        <v>52</v>
      </c>
      <c r="F171" s="43" t="s">
        <v>99</v>
      </c>
      <c r="G171" s="41" t="s">
        <v>55</v>
      </c>
      <c r="H171" s="53" t="s">
        <v>105</v>
      </c>
      <c r="I171" s="41" t="s">
        <v>112</v>
      </c>
      <c r="J171" s="45">
        <v>0.5</v>
      </c>
      <c r="K171" s="42"/>
      <c r="L171" s="42" t="s">
        <v>790</v>
      </c>
      <c r="M171" s="46"/>
      <c r="N171" s="47"/>
      <c r="O171" s="48"/>
      <c r="P171" s="48"/>
      <c r="Q171" s="49"/>
      <c r="R171" s="41">
        <v>0</v>
      </c>
      <c r="S171" s="50"/>
      <c r="T171" s="50"/>
      <c r="U171" s="50"/>
      <c r="V171" s="50" t="s">
        <v>791</v>
      </c>
      <c r="W171" s="51"/>
    </row>
    <row r="172" spans="1:23" ht="30" customHeight="1" x14ac:dyDescent="0.3">
      <c r="A172" s="40" t="s">
        <v>792</v>
      </c>
      <c r="B172" s="41" t="s">
        <v>84</v>
      </c>
      <c r="C172" s="42" t="s">
        <v>85</v>
      </c>
      <c r="D172" s="42" t="s">
        <v>793</v>
      </c>
      <c r="E172" s="42" t="s">
        <v>52</v>
      </c>
      <c r="F172" s="43" t="s">
        <v>99</v>
      </c>
      <c r="G172" s="41" t="s">
        <v>55</v>
      </c>
      <c r="H172" s="53" t="s">
        <v>105</v>
      </c>
      <c r="I172" s="41" t="s">
        <v>112</v>
      </c>
      <c r="J172" s="45">
        <v>0.5</v>
      </c>
      <c r="K172" s="42"/>
      <c r="L172" s="42"/>
      <c r="M172" s="46"/>
      <c r="N172" s="47"/>
      <c r="O172" s="48"/>
      <c r="P172" s="48"/>
      <c r="Q172" s="49"/>
      <c r="R172" s="41">
        <v>0</v>
      </c>
      <c r="S172" s="50"/>
      <c r="T172" s="50"/>
      <c r="U172" s="50"/>
      <c r="V172" s="50" t="s">
        <v>794</v>
      </c>
      <c r="W172" s="51"/>
    </row>
    <row r="173" spans="1:23" ht="30" customHeight="1" x14ac:dyDescent="0.3">
      <c r="A173" s="40" t="s">
        <v>795</v>
      </c>
      <c r="B173" s="41" t="s">
        <v>84</v>
      </c>
      <c r="C173" s="42" t="s">
        <v>85</v>
      </c>
      <c r="D173" s="42" t="s">
        <v>796</v>
      </c>
      <c r="E173" s="42" t="s">
        <v>52</v>
      </c>
      <c r="F173" s="43" t="s">
        <v>99</v>
      </c>
      <c r="G173" s="41" t="s">
        <v>76</v>
      </c>
      <c r="H173" s="53" t="s">
        <v>105</v>
      </c>
      <c r="I173" s="41" t="s">
        <v>110</v>
      </c>
      <c r="J173" s="45">
        <v>2</v>
      </c>
      <c r="K173" s="42" t="s">
        <v>640</v>
      </c>
      <c r="L173" s="42"/>
      <c r="M173" s="46"/>
      <c r="N173" s="47"/>
      <c r="O173" s="48"/>
      <c r="P173" s="48"/>
      <c r="Q173" s="49"/>
      <c r="R173" s="41">
        <v>3</v>
      </c>
      <c r="S173" s="50" t="s">
        <v>797</v>
      </c>
      <c r="T173" s="50" t="s">
        <v>798</v>
      </c>
      <c r="U173" s="50" t="s">
        <v>799</v>
      </c>
      <c r="V173" s="50"/>
      <c r="W173" s="51"/>
    </row>
    <row r="174" spans="1:23" ht="30" customHeight="1" x14ac:dyDescent="0.3">
      <c r="A174" s="40" t="s">
        <v>800</v>
      </c>
      <c r="B174" s="41" t="s">
        <v>84</v>
      </c>
      <c r="C174" s="42" t="s">
        <v>85</v>
      </c>
      <c r="D174" s="42" t="s">
        <v>801</v>
      </c>
      <c r="E174" s="42" t="s">
        <v>52</v>
      </c>
      <c r="F174" s="43" t="s">
        <v>99</v>
      </c>
      <c r="G174" s="41" t="s">
        <v>76</v>
      </c>
      <c r="H174" s="53" t="s">
        <v>105</v>
      </c>
      <c r="I174" s="41" t="s">
        <v>110</v>
      </c>
      <c r="J174" s="45">
        <v>1</v>
      </c>
      <c r="K174" s="42" t="s">
        <v>795</v>
      </c>
      <c r="L174" s="42"/>
      <c r="M174" s="46"/>
      <c r="N174" s="47"/>
      <c r="O174" s="48"/>
      <c r="P174" s="48"/>
      <c r="Q174" s="49"/>
      <c r="R174" s="41">
        <v>0</v>
      </c>
      <c r="S174" s="50" t="s">
        <v>802</v>
      </c>
      <c r="T174" s="50"/>
      <c r="U174" s="50" t="s">
        <v>803</v>
      </c>
      <c r="V174" s="50"/>
      <c r="W174" s="51"/>
    </row>
    <row r="175" spans="1:23" ht="30" customHeight="1" x14ac:dyDescent="0.3">
      <c r="A175" s="40" t="s">
        <v>804</v>
      </c>
      <c r="B175" s="41" t="s">
        <v>84</v>
      </c>
      <c r="C175" s="42" t="s">
        <v>85</v>
      </c>
      <c r="D175" s="42" t="s">
        <v>805</v>
      </c>
      <c r="E175" s="42" t="s">
        <v>52</v>
      </c>
      <c r="F175" s="55" t="s">
        <v>100</v>
      </c>
      <c r="G175" s="41" t="s">
        <v>76</v>
      </c>
      <c r="H175" s="44" t="s">
        <v>107</v>
      </c>
      <c r="I175" s="41" t="s">
        <v>110</v>
      </c>
      <c r="J175" s="45">
        <v>1</v>
      </c>
      <c r="K175" s="42"/>
      <c r="L175" s="42"/>
      <c r="M175" s="46"/>
      <c r="N175" s="47"/>
      <c r="O175" s="48"/>
      <c r="P175" s="48"/>
      <c r="Q175" s="49"/>
      <c r="R175" s="41">
        <v>0</v>
      </c>
      <c r="S175" s="50"/>
      <c r="T175" s="50"/>
      <c r="U175" s="50"/>
      <c r="V175" s="50" t="s">
        <v>806</v>
      </c>
      <c r="W175" s="51"/>
    </row>
    <row r="176" spans="1:23" ht="30" customHeight="1" x14ac:dyDescent="0.3">
      <c r="A176" s="40" t="s">
        <v>807</v>
      </c>
      <c r="B176" s="41" t="s">
        <v>84</v>
      </c>
      <c r="C176" s="42" t="s">
        <v>85</v>
      </c>
      <c r="D176" s="42" t="s">
        <v>808</v>
      </c>
      <c r="E176" s="42" t="s">
        <v>52</v>
      </c>
      <c r="F176" s="55" t="s">
        <v>100</v>
      </c>
      <c r="G176" s="41" t="s">
        <v>76</v>
      </c>
      <c r="H176" s="52" t="s">
        <v>106</v>
      </c>
      <c r="I176" s="41" t="s">
        <v>110</v>
      </c>
      <c r="J176" s="45">
        <v>2</v>
      </c>
      <c r="K176" s="42" t="s">
        <v>809</v>
      </c>
      <c r="L176" s="42"/>
      <c r="M176" s="46"/>
      <c r="N176" s="47"/>
      <c r="O176" s="48"/>
      <c r="P176" s="48"/>
      <c r="Q176" s="49"/>
      <c r="R176" s="41">
        <v>0</v>
      </c>
      <c r="S176" s="50"/>
      <c r="T176" s="50"/>
      <c r="U176" s="50"/>
      <c r="V176" s="50" t="s">
        <v>810</v>
      </c>
      <c r="W176" s="51"/>
    </row>
    <row r="177" spans="1:23" ht="30" customHeight="1" x14ac:dyDescent="0.3">
      <c r="A177" s="40" t="s">
        <v>811</v>
      </c>
      <c r="B177" s="41" t="s">
        <v>84</v>
      </c>
      <c r="C177" s="42" t="s">
        <v>85</v>
      </c>
      <c r="D177" s="42" t="s">
        <v>812</v>
      </c>
      <c r="E177" s="42" t="s">
        <v>52</v>
      </c>
      <c r="F177" s="55" t="s">
        <v>100</v>
      </c>
      <c r="G177" s="41" t="s">
        <v>76</v>
      </c>
      <c r="H177" s="44" t="s">
        <v>107</v>
      </c>
      <c r="I177" s="41" t="s">
        <v>110</v>
      </c>
      <c r="J177" s="45">
        <v>1</v>
      </c>
      <c r="K177" s="42" t="s">
        <v>725</v>
      </c>
      <c r="L177" s="42"/>
      <c r="M177" s="46"/>
      <c r="N177" s="47"/>
      <c r="O177" s="48"/>
      <c r="P177" s="48"/>
      <c r="Q177" s="49"/>
      <c r="R177" s="41">
        <v>0</v>
      </c>
      <c r="S177" s="50"/>
      <c r="T177" s="50"/>
      <c r="U177" s="50"/>
      <c r="V177" s="50" t="s">
        <v>813</v>
      </c>
      <c r="W177" s="51"/>
    </row>
    <row r="178" spans="1:23" ht="30" customHeight="1" x14ac:dyDescent="0.3">
      <c r="A178" s="40" t="s">
        <v>814</v>
      </c>
      <c r="B178" s="41" t="s">
        <v>84</v>
      </c>
      <c r="C178" s="42" t="s">
        <v>85</v>
      </c>
      <c r="D178" s="42" t="s">
        <v>815</v>
      </c>
      <c r="E178" s="42" t="s">
        <v>52</v>
      </c>
      <c r="F178" s="55" t="s">
        <v>100</v>
      </c>
      <c r="G178" s="41" t="s">
        <v>76</v>
      </c>
      <c r="H178" s="53" t="s">
        <v>105</v>
      </c>
      <c r="I178" s="41" t="s">
        <v>112</v>
      </c>
      <c r="J178" s="45">
        <v>1</v>
      </c>
      <c r="K178" s="42" t="s">
        <v>176</v>
      </c>
      <c r="L178" s="42"/>
      <c r="M178" s="46"/>
      <c r="N178" s="47"/>
      <c r="O178" s="48"/>
      <c r="P178" s="48"/>
      <c r="Q178" s="49"/>
      <c r="R178" s="41">
        <v>0</v>
      </c>
      <c r="S178" s="50"/>
      <c r="T178" s="50"/>
      <c r="U178" s="50"/>
      <c r="V178" s="50" t="s">
        <v>816</v>
      </c>
      <c r="W178" s="51"/>
    </row>
    <row r="179" spans="1:23" ht="30" customHeight="1" x14ac:dyDescent="0.3">
      <c r="A179" s="40" t="s">
        <v>817</v>
      </c>
      <c r="B179" s="41" t="s">
        <v>87</v>
      </c>
      <c r="C179" s="42" t="s">
        <v>88</v>
      </c>
      <c r="D179" s="42" t="s">
        <v>818</v>
      </c>
      <c r="E179" s="42" t="s">
        <v>52</v>
      </c>
      <c r="F179" s="43" t="s">
        <v>99</v>
      </c>
      <c r="G179" s="41" t="s">
        <v>55</v>
      </c>
      <c r="H179" s="53" t="s">
        <v>105</v>
      </c>
      <c r="I179" s="41" t="s">
        <v>113</v>
      </c>
      <c r="J179" s="45">
        <v>2</v>
      </c>
      <c r="K179" s="42" t="s">
        <v>619</v>
      </c>
      <c r="L179" s="42"/>
      <c r="M179" s="46"/>
      <c r="N179" s="47"/>
      <c r="O179" s="48"/>
      <c r="P179" s="48"/>
      <c r="Q179" s="49"/>
      <c r="R179" s="41">
        <v>5</v>
      </c>
      <c r="S179" s="50"/>
      <c r="T179" s="50" t="s">
        <v>819</v>
      </c>
      <c r="U179" s="50"/>
      <c r="V179" s="50"/>
      <c r="W179" s="51"/>
    </row>
    <row r="180" spans="1:23" ht="30" customHeight="1" x14ac:dyDescent="0.3">
      <c r="A180" s="40" t="s">
        <v>820</v>
      </c>
      <c r="B180" s="41" t="s">
        <v>87</v>
      </c>
      <c r="C180" s="42" t="s">
        <v>88</v>
      </c>
      <c r="D180" s="42" t="s">
        <v>821</v>
      </c>
      <c r="E180" s="42" t="s">
        <v>52</v>
      </c>
      <c r="F180" s="55" t="s">
        <v>100</v>
      </c>
      <c r="G180" s="41" t="s">
        <v>89</v>
      </c>
      <c r="H180" s="52" t="s">
        <v>106</v>
      </c>
      <c r="I180" s="41" t="s">
        <v>113</v>
      </c>
      <c r="J180" s="45">
        <v>2</v>
      </c>
      <c r="K180" s="42"/>
      <c r="L180" s="42"/>
      <c r="M180" s="46"/>
      <c r="N180" s="47"/>
      <c r="O180" s="48"/>
      <c r="P180" s="48"/>
      <c r="Q180" s="49"/>
      <c r="R180" s="41">
        <v>0</v>
      </c>
      <c r="S180" s="50"/>
      <c r="T180" s="50"/>
      <c r="U180" s="50"/>
      <c r="V180" s="50" t="s">
        <v>822</v>
      </c>
      <c r="W180" s="51"/>
    </row>
    <row r="181" spans="1:23" ht="30" customHeight="1" x14ac:dyDescent="0.3">
      <c r="A181" s="40" t="s">
        <v>823</v>
      </c>
      <c r="B181" s="41" t="s">
        <v>87</v>
      </c>
      <c r="C181" s="42" t="s">
        <v>88</v>
      </c>
      <c r="D181" s="42" t="s">
        <v>824</v>
      </c>
      <c r="E181" s="42" t="s">
        <v>52</v>
      </c>
      <c r="F181" s="55" t="s">
        <v>100</v>
      </c>
      <c r="G181" s="41" t="s">
        <v>89</v>
      </c>
      <c r="H181" s="52" t="s">
        <v>106</v>
      </c>
      <c r="I181" s="41" t="s">
        <v>113</v>
      </c>
      <c r="J181" s="45">
        <v>2.5</v>
      </c>
      <c r="K181" s="42" t="s">
        <v>255</v>
      </c>
      <c r="L181" s="42"/>
      <c r="M181" s="46"/>
      <c r="N181" s="47"/>
      <c r="O181" s="48"/>
      <c r="P181" s="48"/>
      <c r="Q181" s="49"/>
      <c r="R181" s="41">
        <v>0</v>
      </c>
      <c r="S181" s="50"/>
      <c r="T181" s="50"/>
      <c r="U181" s="50"/>
      <c r="V181" s="50" t="s">
        <v>825</v>
      </c>
      <c r="W181" s="51"/>
    </row>
    <row r="182" spans="1:23" ht="30" customHeight="1" x14ac:dyDescent="0.3">
      <c r="A182" s="40" t="s">
        <v>826</v>
      </c>
      <c r="B182" s="41" t="s">
        <v>87</v>
      </c>
      <c r="C182" s="42" t="s">
        <v>88</v>
      </c>
      <c r="D182" s="42" t="s">
        <v>827</v>
      </c>
      <c r="E182" s="42" t="s">
        <v>52</v>
      </c>
      <c r="F182" s="43" t="s">
        <v>99</v>
      </c>
      <c r="G182" s="41" t="s">
        <v>89</v>
      </c>
      <c r="H182" s="53" t="s">
        <v>105</v>
      </c>
      <c r="I182" s="41" t="s">
        <v>113</v>
      </c>
      <c r="J182" s="45">
        <v>2.5</v>
      </c>
      <c r="K182" s="42"/>
      <c r="L182" s="42"/>
      <c r="M182" s="46"/>
      <c r="N182" s="47"/>
      <c r="O182" s="48"/>
      <c r="P182" s="48"/>
      <c r="Q182" s="49"/>
      <c r="R182" s="41">
        <v>0</v>
      </c>
      <c r="S182" s="50"/>
      <c r="T182" s="50"/>
      <c r="U182" s="50" t="s">
        <v>828</v>
      </c>
      <c r="V182" s="50" t="s">
        <v>829</v>
      </c>
      <c r="W182" s="51"/>
    </row>
    <row r="183" spans="1:23" ht="30" customHeight="1" x14ac:dyDescent="0.3">
      <c r="A183" s="40" t="s">
        <v>830</v>
      </c>
      <c r="B183" s="41" t="s">
        <v>87</v>
      </c>
      <c r="C183" s="42" t="s">
        <v>88</v>
      </c>
      <c r="D183" s="42" t="s">
        <v>831</v>
      </c>
      <c r="E183" s="42" t="s">
        <v>52</v>
      </c>
      <c r="F183" s="55" t="s">
        <v>100</v>
      </c>
      <c r="G183" s="41" t="s">
        <v>89</v>
      </c>
      <c r="H183" s="44" t="s">
        <v>107</v>
      </c>
      <c r="I183" s="41" t="s">
        <v>113</v>
      </c>
      <c r="J183" s="45">
        <v>1</v>
      </c>
      <c r="K183" s="42"/>
      <c r="L183" s="42"/>
      <c r="M183" s="46"/>
      <c r="N183" s="47"/>
      <c r="O183" s="48"/>
      <c r="P183" s="48"/>
      <c r="Q183" s="49"/>
      <c r="R183" s="41">
        <v>0</v>
      </c>
      <c r="S183" s="50"/>
      <c r="T183" s="50"/>
      <c r="U183" s="50"/>
      <c r="V183" s="50" t="s">
        <v>832</v>
      </c>
      <c r="W183" s="51"/>
    </row>
    <row r="184" spans="1:23" ht="30" customHeight="1" x14ac:dyDescent="0.3">
      <c r="A184" s="40" t="s">
        <v>833</v>
      </c>
      <c r="B184" s="41" t="s">
        <v>87</v>
      </c>
      <c r="C184" s="42" t="s">
        <v>88</v>
      </c>
      <c r="D184" s="42" t="s">
        <v>834</v>
      </c>
      <c r="E184" s="42" t="s">
        <v>52</v>
      </c>
      <c r="F184" s="43" t="s">
        <v>99</v>
      </c>
      <c r="G184" s="41" t="s">
        <v>89</v>
      </c>
      <c r="H184" s="53" t="s">
        <v>105</v>
      </c>
      <c r="I184" s="41" t="s">
        <v>113</v>
      </c>
      <c r="J184" s="45">
        <v>1.5</v>
      </c>
      <c r="K184" s="42" t="s">
        <v>393</v>
      </c>
      <c r="L184" s="42"/>
      <c r="M184" s="46"/>
      <c r="N184" s="47"/>
      <c r="O184" s="48"/>
      <c r="P184" s="48"/>
      <c r="Q184" s="49"/>
      <c r="R184" s="41">
        <v>0</v>
      </c>
      <c r="S184" s="50"/>
      <c r="T184" s="50"/>
      <c r="U184" s="50"/>
      <c r="V184" s="50" t="s">
        <v>835</v>
      </c>
      <c r="W184" s="51"/>
    </row>
    <row r="185" spans="1:23" ht="30" customHeight="1" x14ac:dyDescent="0.3">
      <c r="A185" s="40" t="s">
        <v>836</v>
      </c>
      <c r="B185" s="41" t="s">
        <v>87</v>
      </c>
      <c r="C185" s="42" t="s">
        <v>88</v>
      </c>
      <c r="D185" s="42" t="s">
        <v>837</v>
      </c>
      <c r="E185" s="42" t="s">
        <v>52</v>
      </c>
      <c r="F185" s="43" t="s">
        <v>99</v>
      </c>
      <c r="G185" s="41" t="s">
        <v>89</v>
      </c>
      <c r="H185" s="52" t="s">
        <v>106</v>
      </c>
      <c r="I185" s="41" t="s">
        <v>113</v>
      </c>
      <c r="J185" s="45">
        <v>0.5</v>
      </c>
      <c r="K185" s="42"/>
      <c r="L185" s="42"/>
      <c r="M185" s="46"/>
      <c r="N185" s="47"/>
      <c r="O185" s="48"/>
      <c r="P185" s="48"/>
      <c r="Q185" s="49"/>
      <c r="R185" s="41">
        <v>0</v>
      </c>
      <c r="S185" s="50"/>
      <c r="T185" s="50"/>
      <c r="U185" s="50"/>
      <c r="V185" s="50" t="s">
        <v>838</v>
      </c>
      <c r="W185" s="51"/>
    </row>
    <row r="186" spans="1:23" ht="30" customHeight="1" x14ac:dyDescent="0.3">
      <c r="A186" s="40" t="s">
        <v>839</v>
      </c>
      <c r="B186" s="41" t="s">
        <v>87</v>
      </c>
      <c r="C186" s="42" t="s">
        <v>88</v>
      </c>
      <c r="D186" s="42" t="s">
        <v>840</v>
      </c>
      <c r="E186" s="42" t="s">
        <v>52</v>
      </c>
      <c r="F186" s="54" t="s">
        <v>101</v>
      </c>
      <c r="G186" s="41" t="s">
        <v>89</v>
      </c>
      <c r="H186" s="44" t="s">
        <v>107</v>
      </c>
      <c r="I186" s="41" t="s">
        <v>113</v>
      </c>
      <c r="J186" s="45">
        <v>1</v>
      </c>
      <c r="K186" s="42"/>
      <c r="L186" s="42"/>
      <c r="M186" s="46"/>
      <c r="N186" s="47"/>
      <c r="O186" s="48"/>
      <c r="P186" s="48"/>
      <c r="Q186" s="49"/>
      <c r="R186" s="41">
        <v>0</v>
      </c>
      <c r="S186" s="50"/>
      <c r="T186" s="50"/>
      <c r="U186" s="50"/>
      <c r="V186" s="50" t="s">
        <v>841</v>
      </c>
      <c r="W186" s="51"/>
    </row>
    <row r="187" spans="1:23" ht="30" customHeight="1" x14ac:dyDescent="0.3">
      <c r="A187" s="40" t="s">
        <v>842</v>
      </c>
      <c r="B187" s="41" t="s">
        <v>91</v>
      </c>
      <c r="C187" s="42" t="s">
        <v>92</v>
      </c>
      <c r="D187" s="42" t="s">
        <v>843</v>
      </c>
      <c r="E187" s="42" t="s">
        <v>52</v>
      </c>
      <c r="F187" s="43" t="s">
        <v>99</v>
      </c>
      <c r="G187" s="41" t="s">
        <v>89</v>
      </c>
      <c r="H187" s="53" t="s">
        <v>105</v>
      </c>
      <c r="I187" s="41" t="s">
        <v>114</v>
      </c>
      <c r="J187" s="45">
        <v>1.5</v>
      </c>
      <c r="K187" s="42"/>
      <c r="L187" s="42"/>
      <c r="M187" s="46"/>
      <c r="N187" s="47"/>
      <c r="O187" s="48"/>
      <c r="P187" s="48"/>
      <c r="Q187" s="49"/>
      <c r="R187" s="41">
        <v>0</v>
      </c>
      <c r="S187" s="50"/>
      <c r="T187" s="50"/>
      <c r="U187" s="50"/>
      <c r="V187" s="50" t="s">
        <v>844</v>
      </c>
      <c r="W187" s="51"/>
    </row>
    <row r="188" spans="1:23" ht="30" customHeight="1" x14ac:dyDescent="0.3">
      <c r="A188" s="40" t="s">
        <v>845</v>
      </c>
      <c r="B188" s="41" t="s">
        <v>91</v>
      </c>
      <c r="C188" s="42" t="s">
        <v>92</v>
      </c>
      <c r="D188" s="42" t="s">
        <v>846</v>
      </c>
      <c r="E188" s="42" t="s">
        <v>52</v>
      </c>
      <c r="F188" s="43" t="s">
        <v>99</v>
      </c>
      <c r="G188" s="41" t="s">
        <v>89</v>
      </c>
      <c r="H188" s="53" t="s">
        <v>105</v>
      </c>
      <c r="I188" s="41" t="s">
        <v>112</v>
      </c>
      <c r="J188" s="45">
        <v>0.5</v>
      </c>
      <c r="K188" s="42" t="s">
        <v>842</v>
      </c>
      <c r="L188" s="42"/>
      <c r="M188" s="46"/>
      <c r="N188" s="47"/>
      <c r="O188" s="48"/>
      <c r="P188" s="48"/>
      <c r="Q188" s="49"/>
      <c r="R188" s="41">
        <v>0</v>
      </c>
      <c r="S188" s="50"/>
      <c r="T188" s="50"/>
      <c r="U188" s="50"/>
      <c r="V188" s="50" t="s">
        <v>847</v>
      </c>
      <c r="W188" s="51"/>
    </row>
    <row r="189" spans="1:23" ht="30" customHeight="1" x14ac:dyDescent="0.3">
      <c r="A189" s="40" t="s">
        <v>848</v>
      </c>
      <c r="B189" s="41" t="s">
        <v>91</v>
      </c>
      <c r="C189" s="42" t="s">
        <v>92</v>
      </c>
      <c r="D189" s="42" t="s">
        <v>849</v>
      </c>
      <c r="E189" s="42" t="s">
        <v>52</v>
      </c>
      <c r="F189" s="43" t="s">
        <v>99</v>
      </c>
      <c r="G189" s="41" t="s">
        <v>89</v>
      </c>
      <c r="H189" s="53" t="s">
        <v>105</v>
      </c>
      <c r="I189" s="41" t="s">
        <v>114</v>
      </c>
      <c r="J189" s="45">
        <v>1.5</v>
      </c>
      <c r="K189" s="42" t="s">
        <v>842</v>
      </c>
      <c r="L189" s="42"/>
      <c r="M189" s="46"/>
      <c r="N189" s="47"/>
      <c r="O189" s="48"/>
      <c r="P189" s="48"/>
      <c r="Q189" s="49"/>
      <c r="R189" s="41">
        <v>5</v>
      </c>
      <c r="S189" s="50"/>
      <c r="T189" s="50" t="s">
        <v>850</v>
      </c>
      <c r="U189" s="50" t="s">
        <v>851</v>
      </c>
      <c r="V189" s="50"/>
      <c r="W189" s="51"/>
    </row>
    <row r="190" spans="1:23" ht="30" customHeight="1" x14ac:dyDescent="0.3">
      <c r="A190" s="40" t="s">
        <v>852</v>
      </c>
      <c r="B190" s="41" t="s">
        <v>91</v>
      </c>
      <c r="C190" s="42" t="s">
        <v>92</v>
      </c>
      <c r="D190" s="42" t="s">
        <v>853</v>
      </c>
      <c r="E190" s="42" t="s">
        <v>52</v>
      </c>
      <c r="F190" s="43" t="s">
        <v>99</v>
      </c>
      <c r="G190" s="41" t="s">
        <v>89</v>
      </c>
      <c r="H190" s="53" t="s">
        <v>105</v>
      </c>
      <c r="I190" s="41" t="s">
        <v>114</v>
      </c>
      <c r="J190" s="45">
        <v>1</v>
      </c>
      <c r="K190" s="42"/>
      <c r="L190" s="42"/>
      <c r="M190" s="46"/>
      <c r="N190" s="47"/>
      <c r="O190" s="48"/>
      <c r="P190" s="48"/>
      <c r="Q190" s="49"/>
      <c r="R190" s="41">
        <v>0</v>
      </c>
      <c r="S190" s="50"/>
      <c r="T190" s="50"/>
      <c r="U190" s="50"/>
      <c r="V190" s="50" t="s">
        <v>854</v>
      </c>
      <c r="W190" s="51"/>
    </row>
    <row r="191" spans="1:23" ht="30" customHeight="1" x14ac:dyDescent="0.3">
      <c r="A191" s="40" t="s">
        <v>855</v>
      </c>
      <c r="B191" s="41" t="s">
        <v>91</v>
      </c>
      <c r="C191" s="42" t="s">
        <v>92</v>
      </c>
      <c r="D191" s="42" t="s">
        <v>856</v>
      </c>
      <c r="E191" s="42" t="s">
        <v>52</v>
      </c>
      <c r="F191" s="55" t="s">
        <v>100</v>
      </c>
      <c r="G191" s="41" t="s">
        <v>89</v>
      </c>
      <c r="H191" s="44" t="s">
        <v>107</v>
      </c>
      <c r="I191" s="41" t="s">
        <v>114</v>
      </c>
      <c r="J191" s="45">
        <v>1</v>
      </c>
      <c r="K191" s="42"/>
      <c r="L191" s="42"/>
      <c r="M191" s="46"/>
      <c r="N191" s="47"/>
      <c r="O191" s="48"/>
      <c r="P191" s="48"/>
      <c r="Q191" s="49"/>
      <c r="R191" s="41">
        <v>0</v>
      </c>
      <c r="S191" s="50"/>
      <c r="T191" s="50"/>
      <c r="U191" s="50"/>
      <c r="V191" s="50" t="s">
        <v>857</v>
      </c>
      <c r="W191" s="51"/>
    </row>
    <row r="192" spans="1:23" ht="30" customHeight="1" x14ac:dyDescent="0.3">
      <c r="A192" s="40" t="s">
        <v>858</v>
      </c>
      <c r="B192" s="41" t="s">
        <v>91</v>
      </c>
      <c r="C192" s="42" t="s">
        <v>92</v>
      </c>
      <c r="D192" s="42" t="s">
        <v>859</v>
      </c>
      <c r="E192" s="42" t="s">
        <v>52</v>
      </c>
      <c r="F192" s="55" t="s">
        <v>100</v>
      </c>
      <c r="G192" s="41" t="s">
        <v>89</v>
      </c>
      <c r="H192" s="52" t="s">
        <v>106</v>
      </c>
      <c r="I192" s="41" t="s">
        <v>115</v>
      </c>
      <c r="J192" s="45">
        <v>1.5</v>
      </c>
      <c r="K192" s="42"/>
      <c r="L192" s="42"/>
      <c r="M192" s="46"/>
      <c r="N192" s="47"/>
      <c r="O192" s="48"/>
      <c r="P192" s="48"/>
      <c r="Q192" s="49"/>
      <c r="R192" s="41">
        <v>0</v>
      </c>
      <c r="S192" s="50"/>
      <c r="T192" s="50"/>
      <c r="U192" s="50"/>
      <c r="V192" s="50" t="s">
        <v>860</v>
      </c>
      <c r="W192" s="51"/>
    </row>
    <row r="193" spans="1:23" ht="30" customHeight="1" x14ac:dyDescent="0.3">
      <c r="A193" s="40" t="s">
        <v>861</v>
      </c>
      <c r="B193" s="41" t="s">
        <v>91</v>
      </c>
      <c r="C193" s="42" t="s">
        <v>92</v>
      </c>
      <c r="D193" s="42" t="s">
        <v>862</v>
      </c>
      <c r="E193" s="42" t="s">
        <v>52</v>
      </c>
      <c r="F193" s="54" t="s">
        <v>101</v>
      </c>
      <c r="G193" s="41" t="s">
        <v>863</v>
      </c>
      <c r="H193" s="53" t="s">
        <v>105</v>
      </c>
      <c r="I193" s="41" t="s">
        <v>112</v>
      </c>
      <c r="J193" s="45">
        <v>1</v>
      </c>
      <c r="K193" s="42"/>
      <c r="L193" s="42"/>
      <c r="M193" s="46"/>
      <c r="N193" s="47"/>
      <c r="O193" s="48"/>
      <c r="P193" s="48"/>
      <c r="Q193" s="49"/>
      <c r="R193" s="41">
        <v>0</v>
      </c>
      <c r="S193" s="50"/>
      <c r="T193" s="50"/>
      <c r="U193" s="50"/>
      <c r="V193" s="50" t="s">
        <v>864</v>
      </c>
      <c r="W193" s="51"/>
    </row>
  </sheetData>
  <autoFilter ref="A4:W193" xr:uid="{00000000-0009-0000-0000-000001000000}"/>
  <conditionalFormatting sqref="A5:D193">
    <cfRule type="expression" dxfId="42" priority="16">
      <formula>OR($E5="Removed",$E5="Closed")</formula>
    </cfRule>
  </conditionalFormatting>
  <conditionalFormatting sqref="E5:E193">
    <cfRule type="expression" dxfId="41" priority="2">
      <formula>EXACT($E5,"New")</formula>
    </cfRule>
    <cfRule type="expression" dxfId="40" priority="3">
      <formula>EXACT($E5,"Business Review")</formula>
    </cfRule>
    <cfRule type="expression" dxfId="39" priority="4">
      <formula>EXACT($E5,"Business Approved")</formula>
    </cfRule>
    <cfRule type="expression" dxfId="38" priority="5">
      <formula>EXACT($E5,"Active")</formula>
    </cfRule>
    <cfRule type="expression" dxfId="37" priority="6">
      <formula>EXACT($E5,"Development In-Progress")</formula>
    </cfRule>
    <cfRule type="expression" dxfId="36" priority="7">
      <formula>EXACT($E5,"Development Completed")</formula>
    </cfRule>
    <cfRule type="expression" dxfId="35" priority="8">
      <formula>EXACT($E5,"QA In-Progress")</formula>
    </cfRule>
    <cfRule type="expression" dxfId="34" priority="9">
      <formula>EXACT($E5,"QA-Success")</formula>
    </cfRule>
    <cfRule type="expression" dxfId="33" priority="10">
      <formula>EXACT($E5,"QA-Fail")</formula>
    </cfRule>
    <cfRule type="expression" dxfId="32" priority="11">
      <formula>EXACT($E5,"Closed")</formula>
    </cfRule>
    <cfRule type="expression" dxfId="31" priority="12">
      <formula>EXACT($E5,"Removed")</formula>
    </cfRule>
    <cfRule type="expression" dxfId="30" priority="13">
      <formula>EXACT($E5,"Moved to Backlog")</formula>
    </cfRule>
    <cfRule type="expression" dxfId="29" priority="14">
      <formula>EXACT($E5,"Blocked")</formula>
    </cfRule>
    <cfRule type="expression" dxfId="28" priority="15">
      <formula>EXACT($E5,"On Hold")</formula>
    </cfRule>
  </conditionalFormatting>
  <dataValidations count="2">
    <dataValidation type="list" errorTitle="Invalid status" error="Pick a status from the list." promptTitle="Status" prompt="Select the current status" sqref="E5:E193" xr:uid="{00000000-0002-0000-0100-000000000000}">
      <formula1>"New,Business Review,Business Approved,Active,Development In-Progress,Development Completed,QA In-Progress,QA-Success,QA-Fail,Closed,Removed,Moved to Backlog,Blocked,On Hold"</formula1>
      <formula2>0</formula2>
    </dataValidation>
    <dataValidation type="decimal" allowBlank="1" errorTitle="Invalid percentage" error="Enter a value between 0% and 100%." sqref="Q5:Q193" xr:uid="{00000000-0002-0000-0100-000001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tabSelected="1" zoomScaleNormal="100" workbookViewId="0">
      <pane ySplit="4" topLeftCell="A5" activePane="bottomLeft" state="frozen"/>
      <selection pane="bottomLeft" activeCell="F10" sqref="F10"/>
    </sheetView>
  </sheetViews>
  <sheetFormatPr defaultColWidth="8.6640625" defaultRowHeight="14.4" x14ac:dyDescent="0.3"/>
  <cols>
    <col min="1" max="1" width="8" customWidth="1"/>
    <col min="2" max="2" width="42" customWidth="1"/>
    <col min="3" max="3" width="26" customWidth="1"/>
    <col min="4" max="4" width="44" customWidth="1"/>
    <col min="5" max="5" width="23" customWidth="1"/>
    <col min="6" max="6" width="14" customWidth="1"/>
    <col min="7" max="7" width="13" customWidth="1"/>
    <col min="8" max="8" width="34" customWidth="1"/>
  </cols>
  <sheetData>
    <row r="1" spans="1:8" ht="17.399999999999999" x14ac:dyDescent="0.3">
      <c r="A1" s="38" t="s">
        <v>865</v>
      </c>
    </row>
    <row r="2" spans="1:8" x14ac:dyDescent="0.3">
      <c r="A2" s="4" t="s">
        <v>866</v>
      </c>
    </row>
    <row r="4" spans="1:8" ht="30" customHeight="1" x14ac:dyDescent="0.3">
      <c r="A4" s="39" t="s">
        <v>867</v>
      </c>
      <c r="B4" s="39" t="s">
        <v>868</v>
      </c>
      <c r="C4" s="39" t="s">
        <v>869</v>
      </c>
      <c r="D4" s="39" t="s">
        <v>870</v>
      </c>
      <c r="E4" s="39" t="s">
        <v>48</v>
      </c>
      <c r="F4" s="39" t="s">
        <v>124</v>
      </c>
      <c r="G4" s="39" t="s">
        <v>127</v>
      </c>
      <c r="H4" s="39" t="s">
        <v>871</v>
      </c>
    </row>
    <row r="5" spans="1:8" ht="30" customHeight="1" x14ac:dyDescent="0.3">
      <c r="A5" s="40" t="s">
        <v>872</v>
      </c>
      <c r="B5" s="50" t="s">
        <v>873</v>
      </c>
      <c r="C5" s="50" t="s">
        <v>874</v>
      </c>
      <c r="D5" s="50" t="s">
        <v>875</v>
      </c>
      <c r="E5" s="42" t="s">
        <v>52</v>
      </c>
      <c r="F5" s="46"/>
      <c r="G5" s="48"/>
      <c r="H5" s="51" t="s">
        <v>991</v>
      </c>
    </row>
    <row r="6" spans="1:8" ht="30" customHeight="1" x14ac:dyDescent="0.3">
      <c r="A6" s="40" t="s">
        <v>876</v>
      </c>
      <c r="B6" s="50" t="s">
        <v>877</v>
      </c>
      <c r="C6" s="50" t="s">
        <v>878</v>
      </c>
      <c r="D6" s="50" t="s">
        <v>879</v>
      </c>
      <c r="E6" s="42" t="s">
        <v>52</v>
      </c>
      <c r="F6" s="46"/>
      <c r="G6" s="48"/>
      <c r="H6" s="51" t="s">
        <v>990</v>
      </c>
    </row>
    <row r="7" spans="1:8" ht="30" customHeight="1" x14ac:dyDescent="0.3">
      <c r="A7" s="40" t="s">
        <v>880</v>
      </c>
      <c r="B7" s="50" t="s">
        <v>881</v>
      </c>
      <c r="C7" s="50" t="s">
        <v>882</v>
      </c>
      <c r="D7" s="50" t="s">
        <v>883</v>
      </c>
      <c r="E7" s="42" t="s">
        <v>52</v>
      </c>
      <c r="F7" s="46"/>
      <c r="G7" s="48"/>
      <c r="H7" s="51" t="s">
        <v>991</v>
      </c>
    </row>
    <row r="8" spans="1:8" ht="30" customHeight="1" x14ac:dyDescent="0.3">
      <c r="A8" s="40" t="s">
        <v>884</v>
      </c>
      <c r="B8" s="50" t="s">
        <v>885</v>
      </c>
      <c r="C8" s="50" t="s">
        <v>886</v>
      </c>
      <c r="D8" s="50" t="s">
        <v>887</v>
      </c>
      <c r="E8" s="42" t="s">
        <v>52</v>
      </c>
      <c r="F8" s="46"/>
      <c r="G8" s="48"/>
      <c r="H8" s="51"/>
    </row>
    <row r="9" spans="1:8" ht="30" customHeight="1" x14ac:dyDescent="0.3">
      <c r="A9" s="40" t="s">
        <v>888</v>
      </c>
      <c r="B9" s="50" t="s">
        <v>889</v>
      </c>
      <c r="C9" s="50" t="s">
        <v>185</v>
      </c>
      <c r="D9" s="50" t="s">
        <v>890</v>
      </c>
      <c r="E9" s="42" t="s">
        <v>52</v>
      </c>
      <c r="F9" s="46"/>
      <c r="G9" s="48"/>
      <c r="H9" s="51"/>
    </row>
    <row r="10" spans="1:8" ht="30" customHeight="1" x14ac:dyDescent="0.3">
      <c r="A10" s="40" t="s">
        <v>891</v>
      </c>
      <c r="B10" s="50" t="s">
        <v>892</v>
      </c>
      <c r="C10" s="50" t="s">
        <v>893</v>
      </c>
      <c r="D10" s="50" t="s">
        <v>894</v>
      </c>
      <c r="E10" s="42" t="s">
        <v>52</v>
      </c>
      <c r="F10" s="46"/>
      <c r="G10" s="48"/>
      <c r="H10" s="51" t="s">
        <v>992</v>
      </c>
    </row>
  </sheetData>
  <autoFilter ref="A4:H10" xr:uid="{00000000-0009-0000-0000-000002000000}"/>
  <conditionalFormatting sqref="E5:E10">
    <cfRule type="expression" dxfId="27" priority="2">
      <formula>EXACT($E5,"New")</formula>
    </cfRule>
    <cfRule type="expression" dxfId="26" priority="3">
      <formula>EXACT($E5,"Business Review")</formula>
    </cfRule>
    <cfRule type="expression" dxfId="25" priority="4">
      <formula>EXACT($E5,"Business Approved")</formula>
    </cfRule>
    <cfRule type="expression" dxfId="24" priority="5">
      <formula>EXACT($E5,"Active")</formula>
    </cfRule>
    <cfRule type="expression" dxfId="23" priority="6">
      <formula>EXACT($E5,"Development In-Progress")</formula>
    </cfRule>
    <cfRule type="expression" dxfId="22" priority="7">
      <formula>EXACT($E5,"Development Completed")</formula>
    </cfRule>
    <cfRule type="expression" dxfId="21" priority="8">
      <formula>EXACT($E5,"QA In-Progress")</formula>
    </cfRule>
    <cfRule type="expression" dxfId="20" priority="9">
      <formula>EXACT($E5,"QA-Success")</formula>
    </cfRule>
    <cfRule type="expression" dxfId="19" priority="10">
      <formula>EXACT($E5,"QA-Fail")</formula>
    </cfRule>
    <cfRule type="expression" dxfId="18" priority="11">
      <formula>EXACT($E5,"Closed")</formula>
    </cfRule>
    <cfRule type="expression" dxfId="17" priority="12">
      <formula>EXACT($E5,"Removed")</formula>
    </cfRule>
    <cfRule type="expression" dxfId="16" priority="13">
      <formula>EXACT($E5,"Moved to Backlog")</formula>
    </cfRule>
    <cfRule type="expression" dxfId="15" priority="14">
      <formula>EXACT($E5,"Blocked")</formula>
    </cfRule>
    <cfRule type="expression" dxfId="14" priority="15">
      <formula>EXACT($E5,"On Hold")</formula>
    </cfRule>
  </conditionalFormatting>
  <dataValidations count="1">
    <dataValidation type="list" sqref="E5:E10" xr:uid="{00000000-0002-0000-0200-000000000000}">
      <formula1>"New,Business Review,Business Approved,Active,Development In-Progress,Development Completed,QA In-Progress,QA-Success,QA-Fail,Closed,Removed,Moved to Backlog,Blocked,On Hold"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"/>
  <sheetViews>
    <sheetView zoomScaleNormal="100" workbookViewId="0">
      <pane ySplit="4" topLeftCell="A5" activePane="bottomLeft" state="frozen"/>
      <selection pane="bottomLeft" activeCell="C6" sqref="C6"/>
    </sheetView>
  </sheetViews>
  <sheetFormatPr defaultColWidth="8.6640625" defaultRowHeight="14.4" x14ac:dyDescent="0.3"/>
  <cols>
    <col min="1" max="1" width="9" customWidth="1"/>
    <col min="2" max="2" width="34" customWidth="1"/>
    <col min="3" max="3" width="50" customWidth="1"/>
    <col min="4" max="4" width="23" customWidth="1"/>
    <col min="5" max="6" width="12" customWidth="1"/>
    <col min="7" max="7" width="34" customWidth="1"/>
  </cols>
  <sheetData>
    <row r="1" spans="1:7" ht="17.399999999999999" x14ac:dyDescent="0.3">
      <c r="A1" s="38" t="s">
        <v>895</v>
      </c>
    </row>
    <row r="2" spans="1:7" x14ac:dyDescent="0.3">
      <c r="A2" s="4" t="s">
        <v>896</v>
      </c>
    </row>
    <row r="4" spans="1:7" ht="30" customHeight="1" x14ac:dyDescent="0.3">
      <c r="A4" s="39" t="s">
        <v>125</v>
      </c>
      <c r="B4" s="39" t="s">
        <v>897</v>
      </c>
      <c r="C4" s="39" t="s">
        <v>898</v>
      </c>
      <c r="D4" s="39" t="s">
        <v>48</v>
      </c>
      <c r="E4" s="39" t="s">
        <v>126</v>
      </c>
      <c r="F4" s="39" t="s">
        <v>899</v>
      </c>
      <c r="G4" s="39" t="s">
        <v>132</v>
      </c>
    </row>
    <row r="5" spans="1:7" x14ac:dyDescent="0.3">
      <c r="A5" s="56" t="s">
        <v>20</v>
      </c>
      <c r="B5" s="50" t="s">
        <v>900</v>
      </c>
      <c r="C5" s="50" t="s">
        <v>901</v>
      </c>
      <c r="D5" s="42" t="s">
        <v>63</v>
      </c>
      <c r="E5" s="48">
        <v>46240</v>
      </c>
      <c r="F5" s="48">
        <v>46244</v>
      </c>
      <c r="G5" s="51"/>
    </row>
    <row r="6" spans="1:7" x14ac:dyDescent="0.3">
      <c r="A6" s="56" t="s">
        <v>35</v>
      </c>
      <c r="B6" s="50" t="s">
        <v>902</v>
      </c>
      <c r="C6" s="50" t="s">
        <v>903</v>
      </c>
      <c r="D6" s="42" t="s">
        <v>52</v>
      </c>
      <c r="E6" s="48"/>
      <c r="F6" s="48"/>
      <c r="G6" s="51"/>
    </row>
    <row r="7" spans="1:7" x14ac:dyDescent="0.3">
      <c r="A7" s="56" t="s">
        <v>42</v>
      </c>
      <c r="B7" s="50" t="s">
        <v>904</v>
      </c>
      <c r="C7" s="50" t="s">
        <v>905</v>
      </c>
      <c r="D7" s="42" t="s">
        <v>52</v>
      </c>
      <c r="E7" s="48"/>
      <c r="F7" s="48"/>
      <c r="G7" s="51"/>
    </row>
    <row r="8" spans="1:7" x14ac:dyDescent="0.3">
      <c r="A8" s="56" t="s">
        <v>59</v>
      </c>
      <c r="B8" s="50" t="s">
        <v>906</v>
      </c>
      <c r="C8" s="50" t="s">
        <v>907</v>
      </c>
      <c r="D8" s="42" t="s">
        <v>52</v>
      </c>
      <c r="E8" s="48"/>
      <c r="F8" s="48"/>
      <c r="G8" s="51"/>
    </row>
    <row r="9" spans="1:7" x14ac:dyDescent="0.3">
      <c r="A9" s="56" t="s">
        <v>55</v>
      </c>
      <c r="B9" s="50" t="s">
        <v>908</v>
      </c>
      <c r="C9" s="50" t="s">
        <v>909</v>
      </c>
      <c r="D9" s="42" t="s">
        <v>52</v>
      </c>
      <c r="E9" s="48"/>
      <c r="F9" s="48"/>
      <c r="G9" s="51"/>
    </row>
    <row r="10" spans="1:7" x14ac:dyDescent="0.3">
      <c r="A10" s="56" t="s">
        <v>76</v>
      </c>
      <c r="B10" s="50" t="s">
        <v>910</v>
      </c>
      <c r="C10" s="50" t="s">
        <v>911</v>
      </c>
      <c r="D10" s="42" t="s">
        <v>52</v>
      </c>
      <c r="E10" s="48"/>
      <c r="F10" s="48"/>
      <c r="G10" s="51"/>
    </row>
    <row r="11" spans="1:7" x14ac:dyDescent="0.3">
      <c r="A11" s="56" t="s">
        <v>89</v>
      </c>
      <c r="B11" s="50" t="s">
        <v>912</v>
      </c>
      <c r="C11" s="50" t="s">
        <v>913</v>
      </c>
      <c r="D11" s="42" t="s">
        <v>52</v>
      </c>
      <c r="E11" s="48"/>
      <c r="F11" s="48"/>
      <c r="G11" s="51"/>
    </row>
    <row r="12" spans="1:7" x14ac:dyDescent="0.3">
      <c r="A12" s="57" t="s">
        <v>863</v>
      </c>
      <c r="B12" s="58" t="s">
        <v>50</v>
      </c>
      <c r="C12" s="58" t="s">
        <v>914</v>
      </c>
      <c r="D12" s="42" t="s">
        <v>52</v>
      </c>
      <c r="E12" s="48"/>
      <c r="F12" s="48"/>
      <c r="G12" s="51"/>
    </row>
    <row r="13" spans="1:7" x14ac:dyDescent="0.3">
      <c r="A13" s="56" t="s">
        <v>566</v>
      </c>
      <c r="B13" s="50" t="s">
        <v>915</v>
      </c>
      <c r="C13" s="50" t="s">
        <v>916</v>
      </c>
      <c r="D13" s="42" t="s">
        <v>52</v>
      </c>
      <c r="E13" s="48"/>
      <c r="F13" s="48"/>
      <c r="G13" s="51"/>
    </row>
    <row r="14" spans="1:7" x14ac:dyDescent="0.3">
      <c r="A14" s="56" t="s">
        <v>917</v>
      </c>
      <c r="B14" s="50" t="s">
        <v>61</v>
      </c>
      <c r="C14" s="50" t="s">
        <v>918</v>
      </c>
      <c r="D14" s="42" t="s">
        <v>52</v>
      </c>
      <c r="E14" s="48"/>
      <c r="F14" s="48"/>
      <c r="G14" s="51"/>
    </row>
    <row r="15" spans="1:7" x14ac:dyDescent="0.3">
      <c r="A15" s="56" t="s">
        <v>919</v>
      </c>
      <c r="B15" s="50" t="s">
        <v>920</v>
      </c>
      <c r="C15" s="50" t="s">
        <v>921</v>
      </c>
      <c r="D15" s="42" t="s">
        <v>52</v>
      </c>
      <c r="E15" s="48"/>
      <c r="F15" s="48"/>
      <c r="G15" s="51"/>
    </row>
    <row r="16" spans="1:7" x14ac:dyDescent="0.3">
      <c r="A16" s="56" t="s">
        <v>922</v>
      </c>
      <c r="B16" s="50" t="s">
        <v>923</v>
      </c>
      <c r="C16" s="50" t="s">
        <v>924</v>
      </c>
      <c r="D16" s="42" t="s">
        <v>52</v>
      </c>
      <c r="E16" s="48"/>
      <c r="F16" s="48"/>
      <c r="G16" s="51"/>
    </row>
    <row r="17" spans="1:7" x14ac:dyDescent="0.3">
      <c r="A17" s="56" t="s">
        <v>925</v>
      </c>
      <c r="B17" s="50" t="s">
        <v>926</v>
      </c>
      <c r="C17" s="50" t="s">
        <v>927</v>
      </c>
      <c r="D17" s="42" t="s">
        <v>52</v>
      </c>
      <c r="E17" s="48"/>
      <c r="F17" s="48"/>
      <c r="G17" s="51"/>
    </row>
    <row r="18" spans="1:7" x14ac:dyDescent="0.3">
      <c r="A18" s="56" t="s">
        <v>928</v>
      </c>
      <c r="B18" s="50" t="s">
        <v>929</v>
      </c>
      <c r="C18" s="50" t="s">
        <v>930</v>
      </c>
      <c r="D18" s="42" t="s">
        <v>52</v>
      </c>
      <c r="E18" s="48"/>
      <c r="F18" s="48"/>
      <c r="G18" s="51"/>
    </row>
    <row r="19" spans="1:7" x14ac:dyDescent="0.3">
      <c r="A19" s="56" t="s">
        <v>931</v>
      </c>
      <c r="B19" s="50" t="s">
        <v>932</v>
      </c>
      <c r="C19" s="50" t="s">
        <v>933</v>
      </c>
      <c r="D19" s="42" t="s">
        <v>52</v>
      </c>
      <c r="E19" s="48"/>
      <c r="F19" s="48"/>
      <c r="G19" s="51"/>
    </row>
    <row r="20" spans="1:7" x14ac:dyDescent="0.3">
      <c r="A20" s="56" t="s">
        <v>934</v>
      </c>
      <c r="B20" s="50" t="s">
        <v>935</v>
      </c>
      <c r="C20" s="50" t="s">
        <v>936</v>
      </c>
      <c r="D20" s="42" t="s">
        <v>52</v>
      </c>
      <c r="E20" s="48"/>
      <c r="F20" s="48"/>
      <c r="G20" s="51"/>
    </row>
    <row r="21" spans="1:7" x14ac:dyDescent="0.3">
      <c r="A21" s="56" t="s">
        <v>937</v>
      </c>
      <c r="B21" s="50" t="s">
        <v>938</v>
      </c>
      <c r="C21" s="50" t="s">
        <v>939</v>
      </c>
      <c r="D21" s="42" t="s">
        <v>52</v>
      </c>
      <c r="E21" s="48"/>
      <c r="F21" s="48"/>
      <c r="G21" s="51"/>
    </row>
    <row r="22" spans="1:7" x14ac:dyDescent="0.3">
      <c r="A22" s="56" t="s">
        <v>940</v>
      </c>
      <c r="B22" s="50" t="s">
        <v>941</v>
      </c>
      <c r="C22" s="50" t="s">
        <v>942</v>
      </c>
      <c r="D22" s="42" t="s">
        <v>52</v>
      </c>
      <c r="E22" s="48"/>
      <c r="F22" s="48"/>
      <c r="G22" s="51"/>
    </row>
    <row r="23" spans="1:7" x14ac:dyDescent="0.3">
      <c r="A23" s="56" t="s">
        <v>943</v>
      </c>
      <c r="B23" s="50" t="s">
        <v>944</v>
      </c>
      <c r="C23" s="50" t="s">
        <v>945</v>
      </c>
      <c r="D23" s="42" t="s">
        <v>52</v>
      </c>
      <c r="E23" s="48"/>
      <c r="F23" s="48"/>
      <c r="G23" s="51"/>
    </row>
  </sheetData>
  <autoFilter ref="A4:G23" xr:uid="{00000000-0009-0000-0000-000003000000}"/>
  <conditionalFormatting sqref="D5:D23">
    <cfRule type="expression" dxfId="13" priority="2">
      <formula>EXACT($D5,"New")</formula>
    </cfRule>
    <cfRule type="expression" dxfId="12" priority="3">
      <formula>EXACT($D5,"Business Review")</formula>
    </cfRule>
    <cfRule type="expression" dxfId="11" priority="4">
      <formula>EXACT($D5,"Business Approved")</formula>
    </cfRule>
    <cfRule type="expression" dxfId="10" priority="5">
      <formula>EXACT($D5,"Active")</formula>
    </cfRule>
    <cfRule type="expression" dxfId="9" priority="6">
      <formula>EXACT($D5,"Development In-Progress")</formula>
    </cfRule>
    <cfRule type="expression" dxfId="8" priority="7">
      <formula>EXACT($D5,"Development Completed")</formula>
    </cfRule>
    <cfRule type="expression" dxfId="7" priority="8">
      <formula>EXACT($D5,"QA In-Progress")</formula>
    </cfRule>
    <cfRule type="expression" dxfId="6" priority="9">
      <formula>EXACT($D5,"QA-Success")</formula>
    </cfRule>
    <cfRule type="expression" dxfId="5" priority="10">
      <formula>EXACT($D5,"QA-Fail")</formula>
    </cfRule>
    <cfRule type="expression" dxfId="4" priority="11">
      <formula>EXACT($D5,"Closed")</formula>
    </cfRule>
    <cfRule type="expression" dxfId="3" priority="12">
      <formula>EXACT($D5,"Removed")</formula>
    </cfRule>
    <cfRule type="expression" dxfId="2" priority="13">
      <formula>EXACT($D5,"Moved to Backlog")</formula>
    </cfRule>
    <cfRule type="expression" dxfId="1" priority="14">
      <formula>EXACT($D5,"Blocked")</formula>
    </cfRule>
    <cfRule type="expression" dxfId="0" priority="15">
      <formula>EXACT($D5,"On Hold")</formula>
    </cfRule>
  </conditionalFormatting>
  <dataValidations count="1">
    <dataValidation type="list" sqref="D5:D23" xr:uid="{00000000-0002-0000-0300-000000000000}">
      <formula1>"New,Business Review,Business Approved,Active,Development In-Progress,Development Completed,QA In-Progress,QA-Success,QA-Fail,Closed,Removed,Moved to Backlog,Blocked,On Hold"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0"/>
  <sheetViews>
    <sheetView topLeftCell="A45" zoomScaleNormal="100" workbookViewId="0"/>
  </sheetViews>
  <sheetFormatPr defaultColWidth="8.6640625" defaultRowHeight="14.4" x14ac:dyDescent="0.3"/>
  <cols>
    <col min="1" max="1" width="26" customWidth="1"/>
    <col min="2" max="2" width="92" customWidth="1"/>
  </cols>
  <sheetData>
    <row r="1" spans="1:2" ht="17.399999999999999" x14ac:dyDescent="0.3">
      <c r="A1" s="38" t="s">
        <v>946</v>
      </c>
    </row>
    <row r="2" spans="1:2" x14ac:dyDescent="0.3">
      <c r="A2" s="4" t="s">
        <v>947</v>
      </c>
    </row>
    <row r="4" spans="1:2" x14ac:dyDescent="0.3">
      <c r="A4" s="59" t="s">
        <v>948</v>
      </c>
    </row>
    <row r="5" spans="1:2" ht="30" customHeight="1" x14ac:dyDescent="0.3">
      <c r="A5" s="39" t="s">
        <v>48</v>
      </c>
      <c r="B5" s="39" t="s">
        <v>949</v>
      </c>
    </row>
    <row r="6" spans="1:2" x14ac:dyDescent="0.3">
      <c r="A6" s="15" t="s">
        <v>52</v>
      </c>
      <c r="B6" s="7" t="s">
        <v>950</v>
      </c>
    </row>
    <row r="7" spans="1:2" x14ac:dyDescent="0.3">
      <c r="A7" s="17" t="s">
        <v>56</v>
      </c>
      <c r="B7" s="7" t="s">
        <v>951</v>
      </c>
    </row>
    <row r="8" spans="1:2" x14ac:dyDescent="0.3">
      <c r="A8" s="18" t="s">
        <v>60</v>
      </c>
      <c r="B8" s="7" t="s">
        <v>952</v>
      </c>
    </row>
    <row r="9" spans="1:2" x14ac:dyDescent="0.3">
      <c r="A9" s="19" t="s">
        <v>63</v>
      </c>
      <c r="B9" s="7" t="s">
        <v>953</v>
      </c>
    </row>
    <row r="10" spans="1:2" x14ac:dyDescent="0.3">
      <c r="A10" s="20" t="s">
        <v>66</v>
      </c>
      <c r="B10" s="7" t="s">
        <v>954</v>
      </c>
    </row>
    <row r="11" spans="1:2" x14ac:dyDescent="0.3">
      <c r="A11" s="21" t="s">
        <v>69</v>
      </c>
      <c r="B11" s="7" t="s">
        <v>955</v>
      </c>
    </row>
    <row r="12" spans="1:2" x14ac:dyDescent="0.3">
      <c r="A12" s="22" t="s">
        <v>73</v>
      </c>
      <c r="B12" s="7" t="s">
        <v>956</v>
      </c>
    </row>
    <row r="13" spans="1:2" x14ac:dyDescent="0.3">
      <c r="A13" s="23" t="s">
        <v>77</v>
      </c>
      <c r="B13" s="7" t="s">
        <v>957</v>
      </c>
    </row>
    <row r="14" spans="1:2" x14ac:dyDescent="0.3">
      <c r="A14" s="24" t="s">
        <v>81</v>
      </c>
      <c r="B14" s="7" t="s">
        <v>958</v>
      </c>
    </row>
    <row r="15" spans="1:2" x14ac:dyDescent="0.3">
      <c r="A15" s="25" t="s">
        <v>11</v>
      </c>
      <c r="B15" s="7" t="s">
        <v>959</v>
      </c>
    </row>
    <row r="16" spans="1:2" x14ac:dyDescent="0.3">
      <c r="A16" s="26" t="s">
        <v>86</v>
      </c>
      <c r="B16" s="7" t="s">
        <v>960</v>
      </c>
    </row>
    <row r="17" spans="1:2" x14ac:dyDescent="0.3">
      <c r="A17" s="27" t="s">
        <v>90</v>
      </c>
      <c r="B17" s="7" t="s">
        <v>961</v>
      </c>
    </row>
    <row r="18" spans="1:2" x14ac:dyDescent="0.3">
      <c r="A18" s="28" t="s">
        <v>94</v>
      </c>
      <c r="B18" s="7" t="s">
        <v>962</v>
      </c>
    </row>
    <row r="19" spans="1:2" x14ac:dyDescent="0.3">
      <c r="A19" s="32" t="s">
        <v>96</v>
      </c>
      <c r="B19" s="7" t="s">
        <v>963</v>
      </c>
    </row>
    <row r="22" spans="1:2" x14ac:dyDescent="0.3">
      <c r="A22" s="59" t="s">
        <v>964</v>
      </c>
    </row>
    <row r="23" spans="1:2" ht="30" customHeight="1" x14ac:dyDescent="0.3">
      <c r="A23" s="39" t="s">
        <v>5</v>
      </c>
      <c r="B23" s="39" t="s">
        <v>949</v>
      </c>
    </row>
    <row r="24" spans="1:2" x14ac:dyDescent="0.3">
      <c r="A24" s="24" t="s">
        <v>99</v>
      </c>
      <c r="B24" s="7" t="s">
        <v>965</v>
      </c>
    </row>
    <row r="25" spans="1:2" x14ac:dyDescent="0.3">
      <c r="A25" s="17" t="s">
        <v>100</v>
      </c>
      <c r="B25" s="7" t="s">
        <v>966</v>
      </c>
    </row>
    <row r="26" spans="1:2" x14ac:dyDescent="0.3">
      <c r="A26" s="23" t="s">
        <v>101</v>
      </c>
      <c r="B26" s="7" t="s">
        <v>967</v>
      </c>
    </row>
    <row r="27" spans="1:2" x14ac:dyDescent="0.3">
      <c r="A27" s="34" t="s">
        <v>102</v>
      </c>
      <c r="B27" s="7" t="s">
        <v>968</v>
      </c>
    </row>
    <row r="30" spans="1:2" x14ac:dyDescent="0.3">
      <c r="A30" s="59" t="s">
        <v>969</v>
      </c>
    </row>
    <row r="31" spans="1:2" ht="30" customHeight="1" x14ac:dyDescent="0.3">
      <c r="A31" s="39" t="s">
        <v>5</v>
      </c>
      <c r="B31" s="39" t="s">
        <v>949</v>
      </c>
    </row>
    <row r="32" spans="1:2" ht="30" customHeight="1" x14ac:dyDescent="0.3">
      <c r="A32" s="35" t="s">
        <v>105</v>
      </c>
      <c r="B32" s="50" t="s">
        <v>970</v>
      </c>
    </row>
    <row r="33" spans="1:2" ht="30" customHeight="1" x14ac:dyDescent="0.3">
      <c r="A33" s="36" t="s">
        <v>106</v>
      </c>
      <c r="B33" s="50" t="s">
        <v>971</v>
      </c>
    </row>
    <row r="34" spans="1:2" ht="30" customHeight="1" x14ac:dyDescent="0.3">
      <c r="A34" s="37" t="s">
        <v>107</v>
      </c>
      <c r="B34" s="50" t="s">
        <v>972</v>
      </c>
    </row>
    <row r="37" spans="1:2" x14ac:dyDescent="0.3">
      <c r="A37" s="59" t="s">
        <v>973</v>
      </c>
    </row>
    <row r="38" spans="1:2" ht="30" customHeight="1" x14ac:dyDescent="0.3">
      <c r="A38" s="39" t="s">
        <v>5</v>
      </c>
      <c r="B38" s="39" t="s">
        <v>949</v>
      </c>
    </row>
    <row r="39" spans="1:2" x14ac:dyDescent="0.3">
      <c r="A39" s="9" t="s">
        <v>110</v>
      </c>
      <c r="B39" s="7" t="s">
        <v>974</v>
      </c>
    </row>
    <row r="40" spans="1:2" x14ac:dyDescent="0.3">
      <c r="A40" s="9" t="s">
        <v>111</v>
      </c>
      <c r="B40" s="7" t="s">
        <v>975</v>
      </c>
    </row>
    <row r="41" spans="1:2" x14ac:dyDescent="0.3">
      <c r="A41" s="9" t="s">
        <v>112</v>
      </c>
      <c r="B41" s="7" t="s">
        <v>976</v>
      </c>
    </row>
    <row r="42" spans="1:2" x14ac:dyDescent="0.3">
      <c r="A42" s="9" t="s">
        <v>113</v>
      </c>
      <c r="B42" s="7" t="s">
        <v>977</v>
      </c>
    </row>
    <row r="43" spans="1:2" x14ac:dyDescent="0.3">
      <c r="A43" s="9" t="s">
        <v>114</v>
      </c>
      <c r="B43" s="7" t="s">
        <v>978</v>
      </c>
    </row>
    <row r="44" spans="1:2" x14ac:dyDescent="0.3">
      <c r="A44" s="9" t="s">
        <v>115</v>
      </c>
      <c r="B44" s="7" t="s">
        <v>979</v>
      </c>
    </row>
    <row r="47" spans="1:2" x14ac:dyDescent="0.3">
      <c r="A47" s="59" t="s">
        <v>980</v>
      </c>
    </row>
    <row r="48" spans="1:2" x14ac:dyDescent="0.3">
      <c r="A48" s="2" t="s">
        <v>981</v>
      </c>
      <c r="B48" s="2"/>
    </row>
    <row r="49" spans="1:2" x14ac:dyDescent="0.3">
      <c r="A49" s="2" t="s">
        <v>982</v>
      </c>
      <c r="B49" s="2"/>
    </row>
    <row r="50" spans="1:2" x14ac:dyDescent="0.3">
      <c r="A50" s="2" t="s">
        <v>983</v>
      </c>
      <c r="B50" s="2"/>
    </row>
    <row r="51" spans="1:2" x14ac:dyDescent="0.3">
      <c r="A51" s="2" t="s">
        <v>984</v>
      </c>
      <c r="B51" s="2"/>
    </row>
    <row r="52" spans="1:2" x14ac:dyDescent="0.3">
      <c r="A52" s="2" t="s">
        <v>985</v>
      </c>
      <c r="B52" s="2"/>
    </row>
    <row r="53" spans="1:2" x14ac:dyDescent="0.3">
      <c r="A53" s="2" t="s">
        <v>986</v>
      </c>
      <c r="B53" s="2"/>
    </row>
    <row r="54" spans="1:2" x14ac:dyDescent="0.3">
      <c r="A54" s="2" t="s">
        <v>987</v>
      </c>
      <c r="B54" s="2"/>
    </row>
    <row r="57" spans="1:2" x14ac:dyDescent="0.3">
      <c r="A57" s="59" t="s">
        <v>988</v>
      </c>
    </row>
    <row r="58" spans="1:2" ht="15" customHeight="1" x14ac:dyDescent="0.3">
      <c r="A58" s="1" t="s">
        <v>989</v>
      </c>
      <c r="B58" s="1"/>
    </row>
    <row r="59" spans="1:2" x14ac:dyDescent="0.3">
      <c r="A59" s="1"/>
      <c r="B59" s="1"/>
    </row>
    <row r="60" spans="1:2" x14ac:dyDescent="0.3">
      <c r="A60" s="1"/>
      <c r="B60" s="1"/>
    </row>
  </sheetData>
  <mergeCells count="8">
    <mergeCell ref="A53:B53"/>
    <mergeCell ref="A54:B54"/>
    <mergeCell ref="A58:B60"/>
    <mergeCell ref="A48:B48"/>
    <mergeCell ref="A49:B49"/>
    <mergeCell ref="A50:B50"/>
    <mergeCell ref="A51:B51"/>
    <mergeCell ref="A52:B5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Backlog</vt:lpstr>
      <vt:lpstr>Blockers</vt:lpstr>
      <vt:lpstr>Sprint Plan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Gopikrishnan Sreekumar</cp:lastModifiedBy>
  <cp:revision>0</cp:revision>
  <dcterms:created xsi:type="dcterms:W3CDTF">2026-08-05T16:21:12Z</dcterms:created>
  <dcterms:modified xsi:type="dcterms:W3CDTF">2026-08-05T16:40:11Z</dcterms:modified>
  <dc:language>en-US</dc:language>
</cp:coreProperties>
</file>