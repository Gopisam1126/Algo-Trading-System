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Sprint Plan" sheetId="4" state="visible" r:id="rId4"/>
    <sheet xmlns:r="http://schemas.openxmlformats.org/officeDocument/2006/relationships" name="Reference" sheetId="5" state="visible" r:id="rId5"/>
  </sheets>
  <definedNames>
    <definedName name="_xlnm._FilterDatabase" localSheetId="1" hidden="1">'Backlog'!$A$4:$W$195</definedName>
    <definedName name="_xlnm._FilterDatabase" localSheetId="2" hidden="1">'Blockers'!$A$4:$H$11</definedName>
    <definedName name="_xlnm._FilterDatabase" localSheetId="3"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29">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s>
  <fills count="21">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s>
  <borders count="2">
    <border>
      <left/>
      <right/>
      <top/>
      <bottom/>
      <diagonal/>
    </border>
    <border>
      <left style="thin">
        <color rgb="FFD0D5DB"/>
      </left>
      <right style="thin">
        <color rgb="FFD0D5DB"/>
      </right>
      <top style="thin">
        <color rgb="FFD0D5DB"/>
      </top>
      <bottom style="thin">
        <color rgb="FFD0D5DB"/>
      </bottom>
      <diagonal/>
    </border>
  </borders>
  <cellStyleXfs count="1">
    <xf numFmtId="0" fontId="0" fillId="0" borderId="0"/>
  </cellStyleXfs>
  <cellXfs count="60">
    <xf numFmtId="0" fontId="0" fillId="0" borderId="0" pivotButton="0" quotePrefix="0" xfId="0"/>
    <xf numFmtId="0" fontId="28" fillId="0" borderId="0" applyAlignment="1" pivotButton="0" quotePrefix="0" xfId="0">
      <alignment vertical="top" wrapText="1"/>
    </xf>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
  <sheetViews>
    <sheetView zoomScaleNormal="100" workbookViewId="0">
      <pane ySplit="3" topLeftCell="A30" activePane="bottomLeft" state="frozen"/>
      <selection pane="bottomLeft" activeCell="A1" sqref="A1"/>
    </sheetView>
  </sheetViews>
  <sheetFormatPr baseColWidth="8" defaultColWidth="8.6640625" defaultRowHeight="14.4"/>
  <cols>
    <col width="24" customWidth="1" min="1" max="1"/>
    <col width="12" customWidth="1" min="2" max="4"/>
    <col width="3" customWidth="1" min="5" max="5"/>
    <col width="8" customWidth="1" min="6" max="6"/>
    <col width="27" customWidth="1" min="7" max="7"/>
    <col width="8" customWidth="1" min="8" max="8"/>
    <col width="9" customWidth="1" min="9" max="9"/>
    <col width="10" customWidth="1" min="10" max="10"/>
    <col width="9" customWidth="1" min="11" max="12"/>
  </cols>
  <sheetData>
    <row r="1" ht="22.8" customHeight="1">
      <c r="A1" s="3" t="inlineStr">
        <is>
          <t>BACKLOG DASHBOARD</t>
        </is>
      </c>
    </row>
    <row r="2">
      <c r="A2" s="4" t="inlineStr">
        <is>
          <t>Every figure below is a live formula over the Backlog sheet — change a Status there and this updates.</t>
        </is>
      </c>
    </row>
    <row r="4">
      <c r="A4" s="5" t="inlineStr">
        <is>
          <t>OVERALL</t>
        </is>
      </c>
      <c r="F4" s="5" t="inlineStr">
        <is>
          <t>BY EPIC</t>
        </is>
      </c>
    </row>
    <row r="5" ht="25.5" customHeight="1">
      <c r="A5" s="6" t="inlineStr">
        <is>
          <t>Metric</t>
        </is>
      </c>
      <c r="B5" s="6" t="inlineStr">
        <is>
          <t>Value</t>
        </is>
      </c>
      <c r="F5" s="6" t="inlineStr">
        <is>
          <t>Epic</t>
        </is>
      </c>
      <c r="G5" s="6" t="inlineStr">
        <is>
          <t>Name</t>
        </is>
      </c>
      <c r="H5" s="6" t="inlineStr">
        <is>
          <t>Phase</t>
        </is>
      </c>
      <c r="I5" s="6" t="inlineStr">
        <is>
          <t>Stories</t>
        </is>
      </c>
      <c r="J5" s="6" t="inlineStr">
        <is>
          <t>Est. days</t>
        </is>
      </c>
      <c r="K5" s="6" t="inlineStr">
        <is>
          <t>Closed</t>
        </is>
      </c>
      <c r="L5" s="6" t="inlineStr">
        <is>
          <t>% Done</t>
        </is>
      </c>
    </row>
    <row r="6">
      <c r="A6" s="7" t="inlineStr">
        <is>
          <t>Total stories</t>
        </is>
      </c>
      <c r="B6" s="8">
        <f>COUNTA(Backlog!$A$5:$A$195)</f>
        <v/>
      </c>
      <c r="F6" s="9" t="inlineStr">
        <is>
          <t>E00</t>
        </is>
      </c>
      <c r="G6" s="7" t="inlineStr">
        <is>
          <t>FOUNDATION</t>
        </is>
      </c>
      <c r="H6" s="10" t="inlineStr">
        <is>
          <t>0</t>
        </is>
      </c>
      <c r="I6" s="10">
        <f>COUNTIF(Backlog!$B$5:$B$195,$F6)</f>
        <v/>
      </c>
      <c r="J6" s="11">
        <f>SUMIF(Backlog!$B$5:$B$195,$F6,Backlog!$J$5:$J$195)</f>
        <v/>
      </c>
      <c r="K6" s="10">
        <f>COUNTIFS(Backlog!$B$5:$B$195,$F6,Backlog!$E$5:$E$195,"Closed")</f>
        <v/>
      </c>
      <c r="L6" s="12">
        <f>IFERROR($K6/$I6,0)</f>
        <v/>
      </c>
    </row>
    <row r="7">
      <c r="A7" s="7" t="inlineStr">
        <is>
          <t>Total estimated days</t>
        </is>
      </c>
      <c r="B7" s="13">
        <f>SUM(Backlog!$J$5:$J$195)</f>
        <v/>
      </c>
      <c r="F7" s="9" t="inlineStr">
        <is>
          <t>E01</t>
        </is>
      </c>
      <c r="G7" s="7" t="inlineStr">
        <is>
          <t>PERSISTENCE &amp; DATA LAYER</t>
        </is>
      </c>
      <c r="H7" s="10" t="inlineStr">
        <is>
          <t>1</t>
        </is>
      </c>
      <c r="I7" s="10">
        <f>COUNTIF(Backlog!$B$5:$B$195,$F7)</f>
        <v/>
      </c>
      <c r="J7" s="11">
        <f>SUMIF(Backlog!$B$5:$B$195,$F7,Backlog!$J$5:$J$195)</f>
        <v/>
      </c>
      <c r="K7" s="10">
        <f>COUNTIFS(Backlog!$B$5:$B$195,$F7,Backlog!$E$5:$E$195,"Closed")</f>
        <v/>
      </c>
      <c r="L7" s="12">
        <f>IFERROR($K7/$I7,0)</f>
        <v/>
      </c>
    </row>
    <row r="8">
      <c r="A8" s="7" t="inlineStr">
        <is>
          <t>Closed</t>
        </is>
      </c>
      <c r="B8" s="8">
        <f>COUNTIF(Backlog!$E$5:$E$195,"Closed")</f>
        <v/>
      </c>
      <c r="F8" s="9" t="inlineStr">
        <is>
          <t>E02</t>
        </is>
      </c>
      <c r="G8" s="7" t="inlineStr">
        <is>
          <t>BROKER INTEGRATION</t>
        </is>
      </c>
      <c r="H8" s="10" t="inlineStr">
        <is>
          <t>1</t>
        </is>
      </c>
      <c r="I8" s="10">
        <f>COUNTIF(Backlog!$B$5:$B$195,$F8)</f>
        <v/>
      </c>
      <c r="J8" s="11">
        <f>SUMIF(Backlog!$B$5:$B$195,$F8,Backlog!$J$5:$J$195)</f>
        <v/>
      </c>
      <c r="K8" s="10">
        <f>COUNTIFS(Backlog!$B$5:$B$195,$F8,Backlog!$E$5:$E$195,"Closed")</f>
        <v/>
      </c>
      <c r="L8" s="12">
        <f>IFERROR($K8/$I8,0)</f>
        <v/>
      </c>
    </row>
    <row r="9">
      <c r="A9" s="7" t="inlineStr">
        <is>
          <t>In flight (Active→QA)</t>
        </is>
      </c>
      <c r="B9" s="8">
        <f>SUMPRODUCT(COUNTIF(Backlog!$E$5:$E$195,{"Active","Development In-Progress","Development Completed","QA In-Progress","QA-Success"}))</f>
        <v/>
      </c>
      <c r="F9" s="9" t="inlineStr">
        <is>
          <t>E03</t>
        </is>
      </c>
      <c r="G9" s="7" t="inlineStr">
        <is>
          <t>HISTORICAL DATA</t>
        </is>
      </c>
      <c r="H9" s="10" t="inlineStr">
        <is>
          <t>1</t>
        </is>
      </c>
      <c r="I9" s="10">
        <f>COUNTIF(Backlog!$B$5:$B$195,$F9)</f>
        <v/>
      </c>
      <c r="J9" s="11">
        <f>SUMIF(Backlog!$B$5:$B$195,$F9,Backlog!$J$5:$J$195)</f>
        <v/>
      </c>
      <c r="K9" s="10">
        <f>COUNTIFS(Backlog!$B$5:$B$195,$F9,Backlog!$E$5:$E$195,"Closed")</f>
        <v/>
      </c>
      <c r="L9" s="12">
        <f>IFERROR($K9/$I9,0)</f>
        <v/>
      </c>
    </row>
    <row r="10">
      <c r="A10" s="7" t="inlineStr">
        <is>
          <t>Not started (New)</t>
        </is>
      </c>
      <c r="B10" s="8">
        <f>COUNTIF(Backlog!$E$5:$E$195,"New")</f>
        <v/>
      </c>
      <c r="F10" s="9" t="inlineStr">
        <is>
          <t>E04</t>
        </is>
      </c>
      <c r="G10" s="7" t="inlineStr">
        <is>
          <t>INDIA HAZARD LISTS</t>
        </is>
      </c>
      <c r="H10" s="10" t="inlineStr">
        <is>
          <t>1</t>
        </is>
      </c>
      <c r="I10" s="10">
        <f>COUNTIF(Backlog!$B$5:$B$195,$F10)</f>
        <v/>
      </c>
      <c r="J10" s="11">
        <f>SUMIF(Backlog!$B$5:$B$195,$F10,Backlog!$J$5:$J$195)</f>
        <v/>
      </c>
      <c r="K10" s="10">
        <f>COUNTIFS(Backlog!$B$5:$B$195,$F10,Backlog!$E$5:$E$195,"Closed")</f>
        <v/>
      </c>
      <c r="L10" s="12">
        <f>IFERROR($K10/$I10,0)</f>
        <v/>
      </c>
    </row>
    <row r="11">
      <c r="A11" s="7" t="inlineStr">
        <is>
          <t>Blocked / On Hold</t>
        </is>
      </c>
      <c r="B11" s="8">
        <f>COUNTIF(Backlog!$E$5:$E$195,"Blocked")+COUNTIF(Backlog!$E$5:$E$195,"On Hold")</f>
        <v/>
      </c>
      <c r="F11" s="9" t="inlineStr">
        <is>
          <t>E05</t>
        </is>
      </c>
      <c r="G11" s="7" t="inlineStr">
        <is>
          <t>MARKET DATA INGESTION</t>
        </is>
      </c>
      <c r="H11" s="10" t="inlineStr">
        <is>
          <t>1</t>
        </is>
      </c>
      <c r="I11" s="10">
        <f>COUNTIF(Backlog!$B$5:$B$195,$F11)</f>
        <v/>
      </c>
      <c r="J11" s="11">
        <f>SUMIF(Backlog!$B$5:$B$195,$F11,Backlog!$J$5:$J$195)</f>
        <v/>
      </c>
      <c r="K11" s="10">
        <f>COUNTIFS(Backlog!$B$5:$B$195,$F11,Backlog!$E$5:$E$195,"Closed")</f>
        <v/>
      </c>
      <c r="L11" s="12">
        <f>IFERROR($K11/$I11,0)</f>
        <v/>
      </c>
    </row>
    <row r="12">
      <c r="A12" s="7" t="inlineStr">
        <is>
          <t>% Complete</t>
        </is>
      </c>
      <c r="B12" s="14">
        <f>IFERROR(COUNTIF(Backlog!$E$5:$E$195,"Closed")/COUNTA(Backlog!$A$5:$A$195),0)</f>
        <v/>
      </c>
      <c r="F12" s="9" t="inlineStr">
        <is>
          <t>E06</t>
        </is>
      </c>
      <c r="G12" s="7" t="inlineStr">
        <is>
          <t>TECHNICAL ANALYSIS ENGINE</t>
        </is>
      </c>
      <c r="H12" s="10" t="inlineStr">
        <is>
          <t>2</t>
        </is>
      </c>
      <c r="I12" s="10">
        <f>COUNTIF(Backlog!$B$5:$B$195,$F12)</f>
        <v/>
      </c>
      <c r="J12" s="11">
        <f>SUMIF(Backlog!$B$5:$B$195,$F12,Backlog!$J$5:$J$195)</f>
        <v/>
      </c>
      <c r="K12" s="10">
        <f>COUNTIFS(Backlog!$B$5:$B$195,$F12,Backlog!$E$5:$E$195,"Closed")</f>
        <v/>
      </c>
      <c r="L12" s="12">
        <f>IFERROR($K12/$I12,0)</f>
        <v/>
      </c>
    </row>
    <row r="13">
      <c r="A13" s="7" t="inlineStr">
        <is>
          <t>Days closed</t>
        </is>
      </c>
      <c r="B13" s="13">
        <f>SUMIF(Backlog!$E$5:$E$195,"Closed",Backlog!$J$5:$J$195)</f>
        <v/>
      </c>
      <c r="F13" s="9" t="inlineStr">
        <is>
          <t>E07</t>
        </is>
      </c>
      <c r="G13" s="7" t="inlineStr">
        <is>
          <t>UNIVERSE &amp; SCORING</t>
        </is>
      </c>
      <c r="H13" s="10" t="inlineStr">
        <is>
          <t>2</t>
        </is>
      </c>
      <c r="I13" s="10">
        <f>COUNTIF(Backlog!$B$5:$B$195,$F13)</f>
        <v/>
      </c>
      <c r="J13" s="11">
        <f>SUMIF(Backlog!$B$5:$B$195,$F13,Backlog!$J$5:$J$195)</f>
        <v/>
      </c>
      <c r="K13" s="10">
        <f>COUNTIFS(Backlog!$B$5:$B$195,$F13,Backlog!$E$5:$E$195,"Closed")</f>
        <v/>
      </c>
      <c r="L13" s="12">
        <f>IFERROR($K13/$I13,0)</f>
        <v/>
      </c>
    </row>
    <row r="14">
      <c r="A14" s="7" t="inlineStr">
        <is>
          <t>Days remaining</t>
        </is>
      </c>
      <c r="B14" s="13">
        <f>SUM(Backlog!$J$5:$J$195)-SUMIF(Backlog!$E$5:$E$195,"Closed",Backlog!$J$5:$J$195)</f>
        <v/>
      </c>
      <c r="F14" s="9" t="inlineStr">
        <is>
          <t>E08</t>
        </is>
      </c>
      <c r="G14" s="7" t="inlineStr">
        <is>
          <t>NEWS INTELLIGENCE</t>
        </is>
      </c>
      <c r="H14" s="10" t="inlineStr">
        <is>
          <t>3</t>
        </is>
      </c>
      <c r="I14" s="10">
        <f>COUNTIF(Backlog!$B$5:$B$195,$F14)</f>
        <v/>
      </c>
      <c r="J14" s="11">
        <f>SUMIF(Backlog!$B$5:$B$195,$F14,Backlog!$J$5:$J$195)</f>
        <v/>
      </c>
      <c r="K14" s="10">
        <f>COUNTIFS(Backlog!$B$5:$B$195,$F14,Backlog!$E$5:$E$195,"Closed")</f>
        <v/>
      </c>
      <c r="L14" s="12">
        <f>IFERROR($K14/$I14,0)</f>
        <v/>
      </c>
    </row>
    <row r="15">
      <c r="F15" s="9" t="inlineStr">
        <is>
          <t>E09</t>
        </is>
      </c>
      <c r="G15" s="7" t="inlineStr">
        <is>
          <t>MACRO CONTEXT</t>
        </is>
      </c>
      <c r="H15" s="10" t="inlineStr">
        <is>
          <t>3</t>
        </is>
      </c>
      <c r="I15" s="10">
        <f>COUNTIF(Backlog!$B$5:$B$195,$F15)</f>
        <v/>
      </c>
      <c r="J15" s="11">
        <f>SUMIF(Backlog!$B$5:$B$195,$F15,Backlog!$J$5:$J$195)</f>
        <v/>
      </c>
      <c r="K15" s="10">
        <f>COUNTIFS(Backlog!$B$5:$B$195,$F15,Backlog!$E$5:$E$195,"Closed")</f>
        <v/>
      </c>
      <c r="L15" s="12">
        <f>IFERROR($K15/$I15,0)</f>
        <v/>
      </c>
    </row>
    <row r="16">
      <c r="A16" s="5" t="inlineStr">
        <is>
          <t>BY STATUS</t>
        </is>
      </c>
      <c r="F16" s="9" t="inlineStr">
        <is>
          <t>E10</t>
        </is>
      </c>
      <c r="G16" s="7" t="inlineStr">
        <is>
          <t>AI LAYER</t>
        </is>
      </c>
      <c r="H16" s="10" t="inlineStr">
        <is>
          <t>3</t>
        </is>
      </c>
      <c r="I16" s="10">
        <f>COUNTIF(Backlog!$B$5:$B$195,$F16)</f>
        <v/>
      </c>
      <c r="J16" s="11">
        <f>SUMIF(Backlog!$B$5:$B$195,$F16,Backlog!$J$5:$J$195)</f>
        <v/>
      </c>
      <c r="K16" s="10">
        <f>COUNTIFS(Backlog!$B$5:$B$195,$F16,Backlog!$E$5:$E$195,"Closed")</f>
        <v/>
      </c>
      <c r="L16" s="12">
        <f>IFERROR($K16/$I16,0)</f>
        <v/>
      </c>
    </row>
    <row r="17" ht="25.5" customHeight="1">
      <c r="A17" s="6" t="inlineStr">
        <is>
          <t>Status</t>
        </is>
      </c>
      <c r="B17" s="6" t="inlineStr">
        <is>
          <t>Stories</t>
        </is>
      </c>
      <c r="C17" s="6" t="inlineStr">
        <is>
          <t>% of total</t>
        </is>
      </c>
      <c r="D17" s="6" t="inlineStr">
        <is>
          <t>Est. days</t>
        </is>
      </c>
      <c r="F17" s="9" t="inlineStr">
        <is>
          <t>E11</t>
        </is>
      </c>
      <c r="G17" s="7" t="inlineStr">
        <is>
          <t>PRE-MARKET ENGINE</t>
        </is>
      </c>
      <c r="H17" s="10" t="inlineStr">
        <is>
          <t>3</t>
        </is>
      </c>
      <c r="I17" s="10">
        <f>COUNTIF(Backlog!$B$5:$B$195,$F17)</f>
        <v/>
      </c>
      <c r="J17" s="11">
        <f>SUMIF(Backlog!$B$5:$B$195,$F17,Backlog!$J$5:$J$195)</f>
        <v/>
      </c>
      <c r="K17" s="10">
        <f>COUNTIFS(Backlog!$B$5:$B$195,$F17,Backlog!$E$5:$E$195,"Closed")</f>
        <v/>
      </c>
      <c r="L17" s="12">
        <f>IFERROR($K17/$I17,0)</f>
        <v/>
      </c>
    </row>
    <row r="18">
      <c r="A18" s="15" t="inlineStr">
        <is>
          <t>New</t>
        </is>
      </c>
      <c r="B18" s="10">
        <f>COUNTIF(Backlog!$E$5:$E$195,$A18)</f>
        <v/>
      </c>
      <c r="C18" s="16">
        <f>IFERROR($B18/COUNTA(Backlog!$A$5:$A$195),0)</f>
        <v/>
      </c>
      <c r="D18" s="11">
        <f>SUMIF(Backlog!$E$5:$E$195,$A18,Backlog!$J$5:$J$195)</f>
        <v/>
      </c>
      <c r="F18" s="9" t="inlineStr">
        <is>
          <t>E12</t>
        </is>
      </c>
      <c r="G18" s="7" t="inlineStr">
        <is>
          <t>STRATEGY ENGINE</t>
        </is>
      </c>
      <c r="H18" s="10" t="inlineStr">
        <is>
          <t>5</t>
        </is>
      </c>
      <c r="I18" s="10">
        <f>COUNTIF(Backlog!$B$5:$B$195,$F18)</f>
        <v/>
      </c>
      <c r="J18" s="11">
        <f>SUMIF(Backlog!$B$5:$B$195,$F18,Backlog!$J$5:$J$195)</f>
        <v/>
      </c>
      <c r="K18" s="10">
        <f>COUNTIFS(Backlog!$B$5:$B$195,$F18,Backlog!$E$5:$E$195,"Closed")</f>
        <v/>
      </c>
      <c r="L18" s="12">
        <f>IFERROR($K18/$I18,0)</f>
        <v/>
      </c>
    </row>
    <row r="19">
      <c r="A19" s="17" t="inlineStr">
        <is>
          <t>Business Review</t>
        </is>
      </c>
      <c r="B19" s="10">
        <f>COUNTIF(Backlog!$E$5:$E$195,$A19)</f>
        <v/>
      </c>
      <c r="C19" s="16">
        <f>IFERROR($B19/COUNTA(Backlog!$A$5:$A$195),0)</f>
        <v/>
      </c>
      <c r="D19" s="11">
        <f>SUMIF(Backlog!$E$5:$E$195,$A19,Backlog!$J$5:$J$195)</f>
        <v/>
      </c>
      <c r="F19" s="9" t="inlineStr">
        <is>
          <t>E13</t>
        </is>
      </c>
      <c r="G19" s="7" t="inlineStr">
        <is>
          <t>SIGNAL ENGINE</t>
        </is>
      </c>
      <c r="H19" s="10" t="inlineStr">
        <is>
          <t>4</t>
        </is>
      </c>
      <c r="I19" s="10">
        <f>COUNTIF(Backlog!$B$5:$B$195,$F19)</f>
        <v/>
      </c>
      <c r="J19" s="11">
        <f>SUMIF(Backlog!$B$5:$B$195,$F19,Backlog!$J$5:$J$195)</f>
        <v/>
      </c>
      <c r="K19" s="10">
        <f>COUNTIFS(Backlog!$B$5:$B$195,$F19,Backlog!$E$5:$E$195,"Closed")</f>
        <v/>
      </c>
      <c r="L19" s="12">
        <f>IFERROR($K19/$I19,0)</f>
        <v/>
      </c>
    </row>
    <row r="20">
      <c r="A20" s="18" t="inlineStr">
        <is>
          <t>Business Approved</t>
        </is>
      </c>
      <c r="B20" s="10">
        <f>COUNTIF(Backlog!$E$5:$E$195,$A20)</f>
        <v/>
      </c>
      <c r="C20" s="16">
        <f>IFERROR($B20/COUNTA(Backlog!$A$5:$A$195),0)</f>
        <v/>
      </c>
      <c r="D20" s="11">
        <f>SUMIF(Backlog!$E$5:$E$195,$A20,Backlog!$J$5:$J$195)</f>
        <v/>
      </c>
      <c r="F20" s="9" t="inlineStr">
        <is>
          <t>E14</t>
        </is>
      </c>
      <c r="G20" s="7" t="inlineStr">
        <is>
          <t>RISK ENGINE</t>
        </is>
      </c>
      <c r="H20" s="10" t="inlineStr">
        <is>
          <t>5</t>
        </is>
      </c>
      <c r="I20" s="10">
        <f>COUNTIF(Backlog!$B$5:$B$195,$F20)</f>
        <v/>
      </c>
      <c r="J20" s="11">
        <f>SUMIF(Backlog!$B$5:$B$195,$F20,Backlog!$J$5:$J$195)</f>
        <v/>
      </c>
      <c r="K20" s="10">
        <f>COUNTIFS(Backlog!$B$5:$B$195,$F20,Backlog!$E$5:$E$195,"Closed")</f>
        <v/>
      </c>
      <c r="L20" s="12">
        <f>IFERROR($K20/$I20,0)</f>
        <v/>
      </c>
    </row>
    <row r="21">
      <c r="A21" s="19" t="inlineStr">
        <is>
          <t>Active</t>
        </is>
      </c>
      <c r="B21" s="10">
        <f>COUNTIF(Backlog!$E$5:$E$195,$A21)</f>
        <v/>
      </c>
      <c r="C21" s="16">
        <f>IFERROR($B21/COUNTA(Backlog!$A$5:$A$195),0)</f>
        <v/>
      </c>
      <c r="D21" s="11">
        <f>SUMIF(Backlog!$E$5:$E$195,$A21,Backlog!$J$5:$J$195)</f>
        <v/>
      </c>
      <c r="F21" s="9" t="inlineStr">
        <is>
          <t>E15</t>
        </is>
      </c>
      <c r="G21" s="7" t="inlineStr">
        <is>
          <t>EXECUTION &amp; POSITIONS</t>
        </is>
      </c>
      <c r="H21" s="10" t="inlineStr">
        <is>
          <t>5</t>
        </is>
      </c>
      <c r="I21" s="10">
        <f>COUNTIF(Backlog!$B$5:$B$195,$F21)</f>
        <v/>
      </c>
      <c r="J21" s="11">
        <f>SUMIF(Backlog!$B$5:$B$195,$F21,Backlog!$J$5:$J$195)</f>
        <v/>
      </c>
      <c r="K21" s="10">
        <f>COUNTIFS(Backlog!$B$5:$B$195,$F21,Backlog!$E$5:$E$195,"Closed")</f>
        <v/>
      </c>
      <c r="L21" s="12">
        <f>IFERROR($K21/$I21,0)</f>
        <v/>
      </c>
    </row>
    <row r="22">
      <c r="A22" s="20" t="inlineStr">
        <is>
          <t>Development In-Progress</t>
        </is>
      </c>
      <c r="B22" s="10">
        <f>COUNTIF(Backlog!$E$5:$E$195,$A22)</f>
        <v/>
      </c>
      <c r="C22" s="16">
        <f>IFERROR($B22/COUNTA(Backlog!$A$5:$A$195),0)</f>
        <v/>
      </c>
      <c r="D22" s="11">
        <f>SUMIF(Backlog!$E$5:$E$195,$A22,Backlog!$J$5:$J$195)</f>
        <v/>
      </c>
      <c r="F22" s="9" t="inlineStr">
        <is>
          <t>E16</t>
        </is>
      </c>
      <c r="G22" s="7" t="inlineStr">
        <is>
          <t>AUTONOMY &amp; APPROVAL</t>
        </is>
      </c>
      <c r="H22" s="10" t="inlineStr">
        <is>
          <t>5</t>
        </is>
      </c>
      <c r="I22" s="10">
        <f>COUNTIF(Backlog!$B$5:$B$195,$F22)</f>
        <v/>
      </c>
      <c r="J22" s="11">
        <f>SUMIF(Backlog!$B$5:$B$195,$F22,Backlog!$J$5:$J$195)</f>
        <v/>
      </c>
      <c r="K22" s="10">
        <f>COUNTIFS(Backlog!$B$5:$B$195,$F22,Backlog!$E$5:$E$195,"Closed")</f>
        <v/>
      </c>
      <c r="L22" s="12">
        <f>IFERROR($K22/$I22,0)</f>
        <v/>
      </c>
    </row>
    <row r="23">
      <c r="A23" s="21" t="inlineStr">
        <is>
          <t>Development Completed</t>
        </is>
      </c>
      <c r="B23" s="10">
        <f>COUNTIF(Backlog!$E$5:$E$195,$A23)</f>
        <v/>
      </c>
      <c r="C23" s="16">
        <f>IFERROR($B23/COUNTA(Backlog!$A$5:$A$195),0)</f>
        <v/>
      </c>
      <c r="D23" s="11">
        <f>SUMIF(Backlog!$E$5:$E$195,$A23,Backlog!$J$5:$J$195)</f>
        <v/>
      </c>
      <c r="F23" s="9" t="inlineStr">
        <is>
          <t>E17</t>
        </is>
      </c>
      <c r="G23" s="7" t="inlineStr">
        <is>
          <t>DASHBOARD UI</t>
        </is>
      </c>
      <c r="H23" s="10" t="inlineStr">
        <is>
          <t>4/6</t>
        </is>
      </c>
      <c r="I23" s="10">
        <f>COUNTIF(Backlog!$B$5:$B$195,$F23)</f>
        <v/>
      </c>
      <c r="J23" s="11">
        <f>SUMIF(Backlog!$B$5:$B$195,$F23,Backlog!$J$5:$J$195)</f>
        <v/>
      </c>
      <c r="K23" s="10">
        <f>COUNTIFS(Backlog!$B$5:$B$195,$F23,Backlog!$E$5:$E$195,"Closed")</f>
        <v/>
      </c>
      <c r="L23" s="12">
        <f>IFERROR($K23/$I23,0)</f>
        <v/>
      </c>
    </row>
    <row r="24">
      <c r="A24" s="22" t="inlineStr">
        <is>
          <t>QA In-Progress</t>
        </is>
      </c>
      <c r="B24" s="10">
        <f>COUNTIF(Backlog!$E$5:$E$195,$A24)</f>
        <v/>
      </c>
      <c r="C24" s="16">
        <f>IFERROR($B24/COUNTA(Backlog!$A$5:$A$195),0)</f>
        <v/>
      </c>
      <c r="D24" s="11">
        <f>SUMIF(Backlog!$E$5:$E$195,$A24,Backlog!$J$5:$J$195)</f>
        <v/>
      </c>
      <c r="F24" s="9" t="inlineStr">
        <is>
          <t>E18</t>
        </is>
      </c>
      <c r="G24" s="7" t="inlineStr">
        <is>
          <t>ADMIN UI</t>
        </is>
      </c>
      <c r="H24" s="10" t="inlineStr">
        <is>
          <t>6</t>
        </is>
      </c>
      <c r="I24" s="10">
        <f>COUNTIF(Backlog!$B$5:$B$195,$F24)</f>
        <v/>
      </c>
      <c r="J24" s="11">
        <f>SUMIF(Backlog!$B$5:$B$195,$F24,Backlog!$J$5:$J$195)</f>
        <v/>
      </c>
      <c r="K24" s="10">
        <f>COUNTIFS(Backlog!$B$5:$B$195,$F24,Backlog!$E$5:$E$195,"Closed")</f>
        <v/>
      </c>
      <c r="L24" s="12">
        <f>IFERROR($K24/$I24,0)</f>
        <v/>
      </c>
    </row>
    <row r="25">
      <c r="A25" s="23" t="inlineStr">
        <is>
          <t>QA-Success</t>
        </is>
      </c>
      <c r="B25" s="10">
        <f>COUNTIF(Backlog!$E$5:$E$195,$A25)</f>
        <v/>
      </c>
      <c r="C25" s="16">
        <f>IFERROR($B25/COUNTA(Backlog!$A$5:$A$195),0)</f>
        <v/>
      </c>
      <c r="D25" s="11">
        <f>SUMIF(Backlog!$E$5:$E$195,$A25,Backlog!$J$5:$J$195)</f>
        <v/>
      </c>
      <c r="F25" s="9" t="inlineStr">
        <is>
          <t>E19</t>
        </is>
      </c>
      <c r="G25" s="7" t="inlineStr">
        <is>
          <t>NOTIFICATIONS</t>
        </is>
      </c>
      <c r="H25" s="10" t="inlineStr">
        <is>
          <t>3/4</t>
        </is>
      </c>
      <c r="I25" s="10">
        <f>COUNTIF(Backlog!$B$5:$B$195,$F25)</f>
        <v/>
      </c>
      <c r="J25" s="11">
        <f>SUMIF(Backlog!$B$5:$B$195,$F25,Backlog!$J$5:$J$195)</f>
        <v/>
      </c>
      <c r="K25" s="10">
        <f>COUNTIFS(Backlog!$B$5:$B$195,$F25,Backlog!$E$5:$E$195,"Closed")</f>
        <v/>
      </c>
      <c r="L25" s="12">
        <f>IFERROR($K25/$I25,0)</f>
        <v/>
      </c>
    </row>
    <row r="26">
      <c r="A26" s="24" t="inlineStr">
        <is>
          <t>QA-Fail</t>
        </is>
      </c>
      <c r="B26" s="10">
        <f>COUNTIF(Backlog!$E$5:$E$195,$A26)</f>
        <v/>
      </c>
      <c r="C26" s="16">
        <f>IFERROR($B26/COUNTA(Backlog!$A$5:$A$195),0)</f>
        <v/>
      </c>
      <c r="D26" s="11">
        <f>SUMIF(Backlog!$E$5:$E$195,$A26,Backlog!$J$5:$J$195)</f>
        <v/>
      </c>
      <c r="F26" s="9" t="inlineStr">
        <is>
          <t>E20</t>
        </is>
      </c>
      <c r="G26" s="7" t="inlineStr">
        <is>
          <t>OBSERVABILITY</t>
        </is>
      </c>
      <c r="H26" s="10" t="inlineStr">
        <is>
          <t>6</t>
        </is>
      </c>
      <c r="I26" s="10">
        <f>COUNTIF(Backlog!$B$5:$B$195,$F26)</f>
        <v/>
      </c>
      <c r="J26" s="11">
        <f>SUMIF(Backlog!$B$5:$B$195,$F26,Backlog!$J$5:$J$195)</f>
        <v/>
      </c>
      <c r="K26" s="10">
        <f>COUNTIFS(Backlog!$B$5:$B$195,$F26,Backlog!$E$5:$E$195,"Closed")</f>
        <v/>
      </c>
      <c r="L26" s="12">
        <f>IFERROR($K26/$I26,0)</f>
        <v/>
      </c>
    </row>
    <row r="27">
      <c r="A27" s="25" t="inlineStr">
        <is>
          <t>Closed</t>
        </is>
      </c>
      <c r="B27" s="10">
        <f>COUNTIF(Backlog!$E$5:$E$195,$A27)</f>
        <v/>
      </c>
      <c r="C27" s="16">
        <f>IFERROR($B27/COUNTA(Backlog!$A$5:$A$195),0)</f>
        <v/>
      </c>
      <c r="D27" s="11">
        <f>SUMIF(Backlog!$E$5:$E$195,$A27,Backlog!$J$5:$J$195)</f>
        <v/>
      </c>
      <c r="F27" s="9" t="inlineStr">
        <is>
          <t>E21</t>
        </is>
      </c>
      <c r="G27" s="7" t="inlineStr">
        <is>
          <t>COMPLIANCE &amp; TAX</t>
        </is>
      </c>
      <c r="H27" s="10" t="inlineStr">
        <is>
          <t>6</t>
        </is>
      </c>
      <c r="I27" s="10">
        <f>COUNTIF(Backlog!$B$5:$B$195,$F27)</f>
        <v/>
      </c>
      <c r="J27" s="11">
        <f>SUMIF(Backlog!$B$5:$B$195,$F27,Backlog!$J$5:$J$195)</f>
        <v/>
      </c>
      <c r="K27" s="10">
        <f>COUNTIFS(Backlog!$B$5:$B$195,$F27,Backlog!$E$5:$E$195,"Closed")</f>
        <v/>
      </c>
      <c r="L27" s="12">
        <f>IFERROR($K27/$I27,0)</f>
        <v/>
      </c>
    </row>
    <row r="28">
      <c r="A28" s="26" t="inlineStr">
        <is>
          <t>Removed</t>
        </is>
      </c>
      <c r="B28" s="10">
        <f>COUNTIF(Backlog!$E$5:$E$195,$A28)</f>
        <v/>
      </c>
      <c r="C28" s="16">
        <f>IFERROR($B28/COUNTA(Backlog!$A$5:$A$195),0)</f>
        <v/>
      </c>
      <c r="D28" s="11">
        <f>SUMIF(Backlog!$E$5:$E$195,$A28,Backlog!$J$5:$J$195)</f>
        <v/>
      </c>
      <c r="F28" s="9" t="inlineStr">
        <is>
          <t>E22</t>
        </is>
      </c>
      <c r="G28" s="7" t="inlineStr">
        <is>
          <t>TESTING &amp; VALIDATION</t>
        </is>
      </c>
      <c r="H28" s="10" t="inlineStr">
        <is>
          <t>7</t>
        </is>
      </c>
      <c r="I28" s="10">
        <f>COUNTIF(Backlog!$B$5:$B$195,$F28)</f>
        <v/>
      </c>
      <c r="J28" s="11">
        <f>SUMIF(Backlog!$B$5:$B$195,$F28,Backlog!$J$5:$J$195)</f>
        <v/>
      </c>
      <c r="K28" s="10">
        <f>COUNTIFS(Backlog!$B$5:$B$195,$F28,Backlog!$E$5:$E$195,"Closed")</f>
        <v/>
      </c>
      <c r="L28" s="12">
        <f>IFERROR($K28/$I28,0)</f>
        <v/>
      </c>
    </row>
    <row r="29">
      <c r="A29" s="27" t="inlineStr">
        <is>
          <t>Moved to Backlog</t>
        </is>
      </c>
      <c r="B29" s="10">
        <f>COUNTIF(Backlog!$E$5:$E$195,$A29)</f>
        <v/>
      </c>
      <c r="C29" s="16">
        <f>IFERROR($B29/COUNTA(Backlog!$A$5:$A$195),0)</f>
        <v/>
      </c>
      <c r="D29" s="11">
        <f>SUMIF(Backlog!$E$5:$E$195,$A29,Backlog!$J$5:$J$195)</f>
        <v/>
      </c>
      <c r="F29" s="9" t="inlineStr">
        <is>
          <t>E23</t>
        </is>
      </c>
      <c r="G29" s="7" t="inlineStr">
        <is>
          <t>DEPLOYMENT &amp; OPS</t>
        </is>
      </c>
      <c r="H29" s="10" t="inlineStr">
        <is>
          <t>7/8</t>
        </is>
      </c>
      <c r="I29" s="10">
        <f>COUNTIF(Backlog!$B$5:$B$195,$F29)</f>
        <v/>
      </c>
      <c r="J29" s="11">
        <f>SUMIF(Backlog!$B$5:$B$195,$F29,Backlog!$J$5:$J$195)</f>
        <v/>
      </c>
      <c r="K29" s="10">
        <f>COUNTIFS(Backlog!$B$5:$B$195,$F29,Backlog!$E$5:$E$195,"Closed")</f>
        <v/>
      </c>
      <c r="L29" s="12">
        <f>IFERROR($K29/$I29,0)</f>
        <v/>
      </c>
    </row>
    <row r="30">
      <c r="A30" s="28" t="inlineStr">
        <is>
          <t>Blocked</t>
        </is>
      </c>
      <c r="B30" s="10">
        <f>COUNTIF(Backlog!$E$5:$E$195,$A30)</f>
        <v/>
      </c>
      <c r="C30" s="16">
        <f>IFERROR($B30/COUNTA(Backlog!$A$5:$A$195),0)</f>
        <v/>
      </c>
      <c r="D30" s="11">
        <f>SUMIF(Backlog!$E$5:$E$195,$A30,Backlog!$J$5:$J$195)</f>
        <v/>
      </c>
      <c r="F30" s="9" t="inlineStr">
        <is>
          <t>TOTAL</t>
        </is>
      </c>
      <c r="G30" s="29" t="n"/>
      <c r="H30" s="29" t="n"/>
      <c r="I30" s="30">
        <f>SUM(I6:I29)</f>
        <v/>
      </c>
      <c r="J30" s="13">
        <f>SUM(J6:J29)</f>
        <v/>
      </c>
      <c r="K30" s="30">
        <f>SUM(K6:K29)</f>
        <v/>
      </c>
      <c r="L30" s="31">
        <f>IFERROR(K30/I30,0)</f>
        <v/>
      </c>
    </row>
    <row r="31">
      <c r="A31" s="32" t="inlineStr">
        <is>
          <t>On Hold</t>
        </is>
      </c>
      <c r="B31" s="10">
        <f>COUNTIF(Backlog!$E$5:$E$195,$A31)</f>
        <v/>
      </c>
      <c r="C31" s="16">
        <f>IFERROR($B31/COUNTA(Backlog!$A$5:$A$195),0)</f>
        <v/>
      </c>
      <c r="D31" s="11">
        <f>SUMIF(Backlog!$E$5:$E$195,$A31,Backlog!$J$5:$J$195)</f>
        <v/>
      </c>
    </row>
    <row r="32">
      <c r="A32" s="9" t="inlineStr">
        <is>
          <t>TOTAL</t>
        </is>
      </c>
      <c r="B32" s="30">
        <f>SUM(B18:B31)</f>
        <v/>
      </c>
      <c r="C32" s="14">
        <f>SUM(C18:C31)</f>
        <v/>
      </c>
      <c r="D32" s="13">
        <f>SUM(D18:D31)</f>
        <v/>
      </c>
    </row>
    <row r="34">
      <c r="A34" s="5" t="inlineStr">
        <is>
          <t>BY PRIORITY</t>
        </is>
      </c>
    </row>
    <row r="35" ht="25.5" customHeight="1">
      <c r="A35" s="6" t="inlineStr">
        <is>
          <t>Priority</t>
        </is>
      </c>
      <c r="B35" s="6" t="inlineStr">
        <is>
          <t>Stories</t>
        </is>
      </c>
      <c r="C35" s="6" t="inlineStr">
        <is>
          <t>Est. days</t>
        </is>
      </c>
      <c r="D35" s="6" t="inlineStr">
        <is>
          <t>Closed</t>
        </is>
      </c>
    </row>
    <row r="36">
      <c r="A36" s="24" t="inlineStr">
        <is>
          <t>P0</t>
        </is>
      </c>
      <c r="B36" s="33">
        <f>COUNTIF(Backlog!$F$5:$F$195,$A36)</f>
        <v/>
      </c>
      <c r="C36" s="11">
        <f>SUMIF(Backlog!$F$5:$F$195,$A36,Backlog!$J$5:$J$195)</f>
        <v/>
      </c>
      <c r="D36" s="33">
        <f>COUNTIFS(Backlog!$F$5:$F$195,$A36,Backlog!$E$5:$E$195,"Closed")</f>
        <v/>
      </c>
    </row>
    <row r="37">
      <c r="A37" s="17" t="inlineStr">
        <is>
          <t>P1</t>
        </is>
      </c>
      <c r="B37" s="33">
        <f>COUNTIF(Backlog!$F$5:$F$195,$A37)</f>
        <v/>
      </c>
      <c r="C37" s="11">
        <f>SUMIF(Backlog!$F$5:$F$195,$A37,Backlog!$J$5:$J$195)</f>
        <v/>
      </c>
      <c r="D37" s="33">
        <f>COUNTIFS(Backlog!$F$5:$F$195,$A37,Backlog!$E$5:$E$195,"Closed")</f>
        <v/>
      </c>
    </row>
    <row r="38">
      <c r="A38" s="23" t="inlineStr">
        <is>
          <t>P2</t>
        </is>
      </c>
      <c r="B38" s="33">
        <f>COUNTIF(Backlog!$F$5:$F$195,$A38)</f>
        <v/>
      </c>
      <c r="C38" s="11">
        <f>SUMIF(Backlog!$F$5:$F$195,$A38,Backlog!$J$5:$J$195)</f>
        <v/>
      </c>
      <c r="D38" s="33">
        <f>COUNTIFS(Backlog!$F$5:$F$195,$A38,Backlog!$E$5:$E$195,"Closed")</f>
        <v/>
      </c>
    </row>
    <row r="39">
      <c r="A39" s="34" t="inlineStr">
        <is>
          <t>P3</t>
        </is>
      </c>
      <c r="B39" s="33">
        <f>COUNTIF(Backlog!$F$5:$F$195,$A39)</f>
        <v/>
      </c>
      <c r="C39" s="11">
        <f>SUMIF(Backlog!$F$5:$F$195,$A39,Backlog!$J$5:$J$195)</f>
        <v/>
      </c>
      <c r="D39" s="33">
        <f>COUNTIFS(Backlog!$F$5:$F$195,$A39,Backlog!$E$5:$E$195,"Closed")</f>
        <v/>
      </c>
    </row>
    <row r="41">
      <c r="A41" s="5" t="inlineStr">
        <is>
          <t>BY RISK</t>
        </is>
      </c>
    </row>
    <row r="42" ht="25.5" customHeight="1">
      <c r="A42" s="6" t="inlineStr">
        <is>
          <t>Risk</t>
        </is>
      </c>
      <c r="B42" s="6" t="inlineStr">
        <is>
          <t>Stories</t>
        </is>
      </c>
      <c r="C42" s="6" t="inlineStr">
        <is>
          <t>Est. days</t>
        </is>
      </c>
      <c r="D42" s="6" t="inlineStr">
        <is>
          <t>Closed</t>
        </is>
      </c>
    </row>
    <row r="43">
      <c r="A43" s="35" t="inlineStr">
        <is>
          <t>Safety-critical</t>
        </is>
      </c>
      <c r="B43" s="33">
        <f>COUNTIF(Backlog!$H$5:$H$195,$A43)</f>
        <v/>
      </c>
      <c r="C43" s="11">
        <f>SUMIF(Backlog!$H$5:$H$195,$A43,Backlog!$J$5:$J$195)</f>
        <v/>
      </c>
      <c r="D43" s="33">
        <f>COUNTIFS(Backlog!$H$5:$H$195,$A43,Backlog!$E$5:$E$195,"Closed")</f>
        <v/>
      </c>
    </row>
    <row r="44">
      <c r="A44" s="36" t="inlineStr">
        <is>
          <t>Correctness-critical</t>
        </is>
      </c>
      <c r="B44" s="33">
        <f>COUNTIF(Backlog!$H$5:$H$195,$A44)</f>
        <v/>
      </c>
      <c r="C44" s="11">
        <f>SUMIF(Backlog!$H$5:$H$195,$A44,Backlog!$J$5:$J$195)</f>
        <v/>
      </c>
      <c r="D44" s="33">
        <f>COUNTIFS(Backlog!$H$5:$H$195,$A44,Backlog!$E$5:$E$195,"Closed")</f>
        <v/>
      </c>
    </row>
    <row r="45">
      <c r="A45" s="37" t="inlineStr">
        <is>
          <t>Low</t>
        </is>
      </c>
      <c r="B45" s="33">
        <f>COUNTIF(Backlog!$H$5:$H$195,$A45)</f>
        <v/>
      </c>
      <c r="C45" s="11">
        <f>SUMIF(Backlog!$H$5:$H$195,$A45,Backlog!$J$5:$J$195)</f>
        <v/>
      </c>
      <c r="D45" s="33">
        <f>COUNTIFS(Backlog!$H$5:$H$195,$A45,Backlog!$E$5:$E$195,"Closed")</f>
        <v/>
      </c>
    </row>
    <row r="47">
      <c r="A47" s="5" t="inlineStr">
        <is>
          <t>BY TYPE</t>
        </is>
      </c>
    </row>
    <row r="48" ht="25.5" customHeight="1">
      <c r="A48" s="6" t="inlineStr">
        <is>
          <t>Type</t>
        </is>
      </c>
      <c r="B48" s="6" t="inlineStr">
        <is>
          <t>Stories</t>
        </is>
      </c>
      <c r="C48" s="6" t="inlineStr">
        <is>
          <t>Est. days</t>
        </is>
      </c>
      <c r="D48" s="6" t="inlineStr">
        <is>
          <t>Closed</t>
        </is>
      </c>
    </row>
    <row r="49">
      <c r="A49" s="9" t="inlineStr">
        <is>
          <t>FEAT</t>
        </is>
      </c>
      <c r="B49" s="33">
        <f>COUNTIF(Backlog!$I$5:$I$195,$A49)</f>
        <v/>
      </c>
      <c r="C49" s="11">
        <f>SUMIF(Backlog!$I$5:$I$195,$A49,Backlog!$J$5:$J$195)</f>
        <v/>
      </c>
      <c r="D49" s="33">
        <f>COUNTIFS(Backlog!$I$5:$I$195,$A49,Backlog!$E$5:$E$195,"Closed")</f>
        <v/>
      </c>
    </row>
    <row r="50">
      <c r="A50" s="9" t="inlineStr">
        <is>
          <t>INFRA</t>
        </is>
      </c>
      <c r="B50" s="33">
        <f>COUNTIF(Backlog!$I$5:$I$195,$A50)</f>
        <v/>
      </c>
      <c r="C50" s="11">
        <f>SUMIF(Backlog!$I$5:$I$195,$A50,Backlog!$J$5:$J$195)</f>
        <v/>
      </c>
      <c r="D50" s="33">
        <f>COUNTIFS(Backlog!$I$5:$I$195,$A50,Backlog!$E$5:$E$195,"Closed")</f>
        <v/>
      </c>
    </row>
    <row r="51">
      <c r="A51" s="9" t="inlineStr">
        <is>
          <t>SEC</t>
        </is>
      </c>
      <c r="B51" s="33">
        <f>COUNTIF(Backlog!$I$5:$I$195,$A51)</f>
        <v/>
      </c>
      <c r="C51" s="11">
        <f>SUMIF(Backlog!$I$5:$I$195,$A51,Backlog!$J$5:$J$195)</f>
        <v/>
      </c>
      <c r="D51" s="33">
        <f>COUNTIFS(Backlog!$I$5:$I$195,$A51,Backlog!$E$5:$E$195,"Closed")</f>
        <v/>
      </c>
    </row>
    <row r="52">
      <c r="A52" s="9" t="inlineStr">
        <is>
          <t>TEST</t>
        </is>
      </c>
      <c r="B52" s="33">
        <f>COUNTIF(Backlog!$I$5:$I$195,$A52)</f>
        <v/>
      </c>
      <c r="C52" s="11">
        <f>SUMIF(Backlog!$I$5:$I$195,$A52,Backlog!$J$5:$J$195)</f>
        <v/>
      </c>
      <c r="D52" s="33">
        <f>COUNTIFS(Backlog!$I$5:$I$195,$A52,Backlog!$E$5:$E$195,"Closed")</f>
        <v/>
      </c>
    </row>
    <row r="53">
      <c r="A53" s="9" t="inlineStr">
        <is>
          <t>OPS</t>
        </is>
      </c>
      <c r="B53" s="33">
        <f>COUNTIF(Backlog!$I$5:$I$195,$A53)</f>
        <v/>
      </c>
      <c r="C53" s="11">
        <f>SUMIF(Backlog!$I$5:$I$195,$A53,Backlog!$J$5:$J$195)</f>
        <v/>
      </c>
      <c r="D53" s="33">
        <f>COUNTIFS(Backlog!$I$5:$I$195,$A53,Backlog!$E$5:$E$195,"Closed")</f>
        <v/>
      </c>
    </row>
    <row r="54">
      <c r="A54" s="9" t="inlineStr">
        <is>
          <t>DOC</t>
        </is>
      </c>
      <c r="B54" s="33">
        <f>COUNTIF(Backlog!$I$5:$I$195,$A54)</f>
        <v/>
      </c>
      <c r="C54" s="11">
        <f>SUMIF(Backlog!$I$5:$I$195,$A54,Backlog!$J$5:$J$195)</f>
        <v/>
      </c>
      <c r="D54" s="33">
        <f>COUNTIFS(Backlog!$I$5:$I$195,$A54,Backlog!$E$5:$E$195,"Closed")</f>
        <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W19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min="1" max="1"/>
    <col width="7" customWidth="1" min="2" max="2"/>
    <col width="26" customWidth="1" min="3" max="3"/>
    <col width="42" customWidth="1" min="4" max="4"/>
    <col width="23" customWidth="1" min="5" max="5"/>
    <col width="9" customWidth="1" min="6" max="6"/>
    <col width="7" customWidth="1" min="7" max="7"/>
    <col width="20" customWidth="1" min="8" max="8"/>
    <col width="8" customWidth="1" min="9" max="9"/>
    <col width="9" customWidth="1" min="10" max="10"/>
    <col width="20" customWidth="1" min="11" max="11"/>
    <col width="13" customWidth="1" min="12" max="12"/>
    <col width="12" customWidth="1" min="13" max="13"/>
    <col width="8" customWidth="1" min="14" max="14"/>
    <col width="12" customWidth="1" min="15" max="16"/>
    <col width="11" customWidth="1" min="17" max="17"/>
    <col width="10" customWidth="1" min="18" max="18"/>
    <col width="55" customWidth="1" min="19" max="19"/>
    <col width="60" customWidth="1" min="20" max="20"/>
    <col width="50" customWidth="1" min="21" max="21"/>
    <col width="40" customWidth="1" min="22" max="22"/>
    <col width="30" customWidth="1" min="23" max="23"/>
  </cols>
  <sheetData>
    <row r="1" ht="17.4" customHeight="1">
      <c r="A1" s="38" t="inlineStr">
        <is>
          <t>DEVELOPMENT BACKLOG — User Stories &amp; Tasks</t>
        </is>
      </c>
    </row>
    <row r="2">
      <c r="A2" s="4" t="inlineStr">
        <is>
          <t>Source: BACKLOG.md · 189 stories across 24 epics · Set Status from the dropdown in column E. Yellow-tinted columns (M–Q, W) are yours to fill in. Tasks/Acceptance are wrapped — widen a row or click a cell to read the full text.</t>
        </is>
      </c>
    </row>
    <row r="4" ht="30" customHeight="1">
      <c r="A4" s="39" t="inlineStr">
        <is>
          <t>Story ID</t>
        </is>
      </c>
      <c r="B4" s="39" t="inlineStr">
        <is>
          <t>Epic</t>
        </is>
      </c>
      <c r="C4" s="39" t="inlineStr">
        <is>
          <t>Epic Name</t>
        </is>
      </c>
      <c r="D4" s="39" t="inlineStr">
        <is>
          <t>Story Title</t>
        </is>
      </c>
      <c r="E4" s="39" t="inlineStr">
        <is>
          <t>Status</t>
        </is>
      </c>
      <c r="F4" s="39" t="inlineStr">
        <is>
          <t>Priority</t>
        </is>
      </c>
      <c r="G4" s="39" t="inlineStr">
        <is>
          <t>Phase</t>
        </is>
      </c>
      <c r="H4" s="39" t="inlineStr">
        <is>
          <t>Risk</t>
        </is>
      </c>
      <c r="I4" s="39" t="inlineStr">
        <is>
          <t>Type</t>
        </is>
      </c>
      <c r="J4" s="39" t="inlineStr">
        <is>
          <t>Est. Days</t>
        </is>
      </c>
      <c r="K4" s="39" t="inlineStr">
        <is>
          <t>Dependencies</t>
        </is>
      </c>
      <c r="L4" s="39" t="inlineStr">
        <is>
          <t>Blocked By</t>
        </is>
      </c>
      <c r="M4" s="39" t="inlineStr">
        <is>
          <t>Owner</t>
        </is>
      </c>
      <c r="N4" s="39" t="inlineStr">
        <is>
          <t>Sprint</t>
        </is>
      </c>
      <c r="O4" s="39" t="inlineStr">
        <is>
          <t>Start Date</t>
        </is>
      </c>
      <c r="P4" s="39" t="inlineStr">
        <is>
          <t>Target Date</t>
        </is>
      </c>
      <c r="Q4" s="39" t="inlineStr">
        <is>
          <t>% Complete</t>
        </is>
      </c>
      <c r="R4" s="39" t="inlineStr">
        <is>
          <t>Task Count</t>
        </is>
      </c>
      <c r="S4" s="39" t="inlineStr">
        <is>
          <t>User Story</t>
        </is>
      </c>
      <c r="T4" s="39" t="inlineStr">
        <is>
          <t>Tasks</t>
        </is>
      </c>
      <c r="U4" s="39" t="inlineStr">
        <is>
          <t>Acceptance Criteria</t>
        </is>
      </c>
      <c r="V4" s="39" t="inlineStr">
        <is>
          <t>Notes</t>
        </is>
      </c>
      <c r="W4" s="39" t="inlineStr">
        <is>
          <t>Comments</t>
        </is>
      </c>
    </row>
    <row r="5" ht="30" customHeight="1">
      <c r="A5" s="40" t="inlineStr">
        <is>
          <t>E00-S01</t>
        </is>
      </c>
      <c r="B5" s="41" t="inlineStr">
        <is>
          <t>E00</t>
        </is>
      </c>
      <c r="C5" s="42" t="inlineStr">
        <is>
          <t>FOUNDATION</t>
        </is>
      </c>
      <c r="D5" s="42" t="inlineStr">
        <is>
          <t>Project scaffold, packaging, tooling</t>
        </is>
      </c>
      <c r="E5" s="42" t="inlineStr">
        <is>
          <t>Closed</t>
        </is>
      </c>
      <c r="F5" s="43" t="inlineStr">
        <is>
          <t>P0</t>
        </is>
      </c>
      <c r="G5" s="41" t="inlineStr">
        <is>
          <t>0</t>
        </is>
      </c>
      <c r="H5" s="44" t="inlineStr">
        <is>
          <t>Low</t>
        </is>
      </c>
      <c r="I5" s="41" t="inlineStr">
        <is>
          <t>INFRA</t>
        </is>
      </c>
      <c r="J5" s="45" t="n"/>
      <c r="K5" s="42" t="n"/>
      <c r="L5" s="42" t="n"/>
      <c r="M5" s="46" t="n"/>
      <c r="N5" s="47" t="n"/>
      <c r="O5" s="48" t="n"/>
      <c r="P5" s="48" t="n"/>
      <c r="Q5" s="49" t="n"/>
      <c r="R5" s="41" t="n">
        <v>0</v>
      </c>
      <c r="S5" s="50" t="n"/>
      <c r="T5" s="50" t="n"/>
      <c r="U5" s="50" t="n"/>
      <c r="V5" s="50" t="n"/>
      <c r="W5" s="51" t="n"/>
    </row>
    <row r="6" ht="30" customHeight="1">
      <c r="A6" s="40" t="inlineStr">
        <is>
          <t>E00-S02</t>
        </is>
      </c>
      <c r="B6" s="41" t="inlineStr">
        <is>
          <t>E00</t>
        </is>
      </c>
      <c r="C6" s="42" t="inlineStr">
        <is>
          <t>FOUNDATION</t>
        </is>
      </c>
      <c r="D6" s="42" t="inlineStr">
        <is>
          <t>Domain models with Decimal money and tz-aware UTC</t>
        </is>
      </c>
      <c r="E6" s="42" t="inlineStr">
        <is>
          <t>Closed</t>
        </is>
      </c>
      <c r="F6" s="43" t="inlineStr">
        <is>
          <t>P0</t>
        </is>
      </c>
      <c r="G6" s="41" t="inlineStr">
        <is>
          <t>0</t>
        </is>
      </c>
      <c r="H6" s="52" t="inlineStr">
        <is>
          <t>Correctness-critical</t>
        </is>
      </c>
      <c r="I6" s="41" t="inlineStr">
        <is>
          <t>INFRA</t>
        </is>
      </c>
      <c r="J6" s="45" t="n"/>
      <c r="K6" s="42" t="n"/>
      <c r="L6" s="42" t="n"/>
      <c r="M6" s="46" t="n"/>
      <c r="N6" s="47" t="n"/>
      <c r="O6" s="48" t="n"/>
      <c r="P6" s="48" t="n"/>
      <c r="Q6" s="49" t="n"/>
      <c r="R6" s="41" t="n">
        <v>0</v>
      </c>
      <c r="S6" s="50" t="n"/>
      <c r="T6" s="50" t="n"/>
      <c r="U6" s="50" t="n"/>
      <c r="V6" s="50" t="n"/>
      <c r="W6" s="51" t="n"/>
    </row>
    <row r="7" ht="30" customHeight="1">
      <c r="A7" s="40" t="inlineStr">
        <is>
          <t>E00-S03</t>
        </is>
      </c>
      <c r="B7" s="41" t="inlineStr">
        <is>
          <t>E00</t>
        </is>
      </c>
      <c r="C7" s="42" t="inlineStr">
        <is>
          <t>FOUNDATION</t>
        </is>
      </c>
      <c r="D7" s="42" t="inlineStr">
        <is>
          <t>Config validation with hard bounds in code</t>
        </is>
      </c>
      <c r="E7" s="42" t="inlineStr">
        <is>
          <t>Closed</t>
        </is>
      </c>
      <c r="F7" s="43" t="inlineStr">
        <is>
          <t>P0</t>
        </is>
      </c>
      <c r="G7" s="41" t="inlineStr">
        <is>
          <t>0</t>
        </is>
      </c>
      <c r="H7" s="53" t="inlineStr">
        <is>
          <t>Safety-critical</t>
        </is>
      </c>
      <c r="I7" s="41" t="inlineStr">
        <is>
          <t>INFRA</t>
        </is>
      </c>
      <c r="J7" s="45" t="n"/>
      <c r="K7" s="42" t="n"/>
      <c r="L7" s="42" t="n"/>
      <c r="M7" s="46" t="n"/>
      <c r="N7" s="47" t="n"/>
      <c r="O7" s="48" t="n"/>
      <c r="P7" s="48" t="n"/>
      <c r="Q7" s="49" t="n"/>
      <c r="R7" s="41" t="n">
        <v>0</v>
      </c>
      <c r="S7" s="50" t="n"/>
      <c r="T7" s="50" t="n"/>
      <c r="U7" s="50" t="n"/>
      <c r="V7" s="50" t="n"/>
      <c r="W7" s="51" t="n"/>
    </row>
    <row r="8" ht="30" customHeight="1">
      <c r="A8" s="40" t="inlineStr">
        <is>
          <t>E00-S04</t>
        </is>
      </c>
      <c r="B8" s="41" t="inlineStr">
        <is>
          <t>E00</t>
        </is>
      </c>
      <c r="C8" s="42" t="inlineStr">
        <is>
          <t>FOUNDATION</t>
        </is>
      </c>
      <c r="D8" s="42" t="inlineStr">
        <is>
          <t>Secrets handling that cannot render</t>
        </is>
      </c>
      <c r="E8" s="42" t="inlineStr">
        <is>
          <t>Closed</t>
        </is>
      </c>
      <c r="F8" s="43" t="inlineStr">
        <is>
          <t>P0</t>
        </is>
      </c>
      <c r="G8" s="41" t="inlineStr">
        <is>
          <t>0</t>
        </is>
      </c>
      <c r="H8" s="53" t="inlineStr">
        <is>
          <t>Safety-critical</t>
        </is>
      </c>
      <c r="I8" s="41" t="inlineStr">
        <is>
          <t>INFRA</t>
        </is>
      </c>
      <c r="J8" s="45" t="n"/>
      <c r="K8" s="42" t="n"/>
      <c r="L8" s="42" t="n"/>
      <c r="M8" s="46" t="n"/>
      <c r="N8" s="47" t="n"/>
      <c r="O8" s="48" t="n"/>
      <c r="P8" s="48" t="n"/>
      <c r="Q8" s="49" t="n"/>
      <c r="R8" s="41" t="n">
        <v>0</v>
      </c>
      <c r="S8" s="50" t="n"/>
      <c r="T8" s="50" t="n"/>
      <c r="U8" s="50" t="n"/>
      <c r="V8" s="50" t="n"/>
      <c r="W8" s="51" t="n"/>
    </row>
    <row r="9" ht="30" customHeight="1">
      <c r="A9" s="40" t="inlineStr">
        <is>
          <t>E00-S05</t>
        </is>
      </c>
      <c r="B9" s="41" t="inlineStr">
        <is>
          <t>E00</t>
        </is>
      </c>
      <c r="C9" s="42" t="inlineStr">
        <is>
          <t>FOUNDATION</t>
        </is>
      </c>
      <c r="D9" s="42" t="inlineStr">
        <is>
          <t>Structured logging with mandatory redaction</t>
        </is>
      </c>
      <c r="E9" s="42" t="inlineStr">
        <is>
          <t>Closed</t>
        </is>
      </c>
      <c r="F9" s="43" t="inlineStr">
        <is>
          <t>P0</t>
        </is>
      </c>
      <c r="G9" s="41" t="inlineStr">
        <is>
          <t>0</t>
        </is>
      </c>
      <c r="H9" s="53" t="inlineStr">
        <is>
          <t>Safety-critical</t>
        </is>
      </c>
      <c r="I9" s="41" t="inlineStr">
        <is>
          <t>INFRA</t>
        </is>
      </c>
      <c r="J9" s="45" t="n"/>
      <c r="K9" s="42" t="n"/>
      <c r="L9" s="42" t="n"/>
      <c r="M9" s="46" t="n"/>
      <c r="N9" s="47" t="n"/>
      <c r="O9" s="48" t="n"/>
      <c r="P9" s="48" t="n"/>
      <c r="Q9" s="49" t="n"/>
      <c r="R9" s="41" t="n">
        <v>0</v>
      </c>
      <c r="S9" s="50" t="n"/>
      <c r="T9" s="50" t="n"/>
      <c r="U9" s="50" t="n"/>
      <c r="V9" s="50" t="n"/>
      <c r="W9" s="51" t="n"/>
    </row>
    <row r="10" ht="30" customHeight="1">
      <c r="A10" s="40" t="inlineStr">
        <is>
          <t>E00-S06</t>
        </is>
      </c>
      <c r="B10" s="41" t="inlineStr">
        <is>
          <t>E00</t>
        </is>
      </c>
      <c r="C10" s="42" t="inlineStr">
        <is>
          <t>FOUNDATION</t>
        </is>
      </c>
      <c r="D10" s="42" t="inlineStr">
        <is>
          <t>NSE calendar with per-stock square-off</t>
        </is>
      </c>
      <c r="E10" s="42" t="inlineStr">
        <is>
          <t>Closed</t>
        </is>
      </c>
      <c r="F10" s="43" t="inlineStr">
        <is>
          <t>P0</t>
        </is>
      </c>
      <c r="G10" s="41" t="inlineStr">
        <is>
          <t>0</t>
        </is>
      </c>
      <c r="H10" s="53" t="inlineStr">
        <is>
          <t>Safety-critical</t>
        </is>
      </c>
      <c r="I10" s="41" t="inlineStr">
        <is>
          <t>INFRA</t>
        </is>
      </c>
      <c r="J10" s="45" t="n"/>
      <c r="K10" s="42" t="n"/>
      <c r="L10" s="42" t="n"/>
      <c r="M10" s="46" t="n"/>
      <c r="N10" s="47" t="n"/>
      <c r="O10" s="48" t="n"/>
      <c r="P10" s="48" t="n"/>
      <c r="Q10" s="49" t="n"/>
      <c r="R10" s="41" t="n">
        <v>0</v>
      </c>
      <c r="S10" s="50" t="n"/>
      <c r="T10" s="50" t="n"/>
      <c r="U10" s="50" t="n"/>
      <c r="V10" s="50" t="n"/>
      <c r="W10" s="51" t="n"/>
    </row>
    <row r="11" ht="30" customHeight="1">
      <c r="A11" s="40" t="inlineStr">
        <is>
          <t>E00-S07</t>
        </is>
      </c>
      <c r="B11" s="41" t="inlineStr">
        <is>
          <t>E00</t>
        </is>
      </c>
      <c r="C11" s="42" t="inlineStr">
        <is>
          <t>FOUNDATION</t>
        </is>
      </c>
      <c r="D11" s="42" t="inlineStr">
        <is>
          <t>Broker protocol, read-only vs trading split</t>
        </is>
      </c>
      <c r="E11" s="42" t="inlineStr">
        <is>
          <t>Closed</t>
        </is>
      </c>
      <c r="F11" s="43" t="inlineStr">
        <is>
          <t>P0</t>
        </is>
      </c>
      <c r="G11" s="41" t="inlineStr">
        <is>
          <t>0</t>
        </is>
      </c>
      <c r="H11" s="53" t="inlineStr">
        <is>
          <t>Safety-critical</t>
        </is>
      </c>
      <c r="I11" s="41" t="inlineStr">
        <is>
          <t>INFRA</t>
        </is>
      </c>
      <c r="J11" s="45" t="n"/>
      <c r="K11" s="42" t="n"/>
      <c r="L11" s="42" t="n"/>
      <c r="M11" s="46" t="n"/>
      <c r="N11" s="47" t="n"/>
      <c r="O11" s="48" t="n"/>
      <c r="P11" s="48" t="n"/>
      <c r="Q11" s="49" t="n"/>
      <c r="R11" s="41" t="n">
        <v>0</v>
      </c>
      <c r="S11" s="50" t="n"/>
      <c r="T11" s="50" t="n"/>
      <c r="U11" s="50" t="n"/>
      <c r="V11" s="50" t="n"/>
      <c r="W11" s="51" t="n"/>
    </row>
    <row r="12" ht="30" customHeight="1">
      <c r="A12" s="40" t="inlineStr">
        <is>
          <t>E00-S08</t>
        </is>
      </c>
      <c r="B12" s="41" t="inlineStr">
        <is>
          <t>E00</t>
        </is>
      </c>
      <c r="C12" s="42" t="inlineStr">
        <is>
          <t>FOUNDATION</t>
        </is>
      </c>
      <c r="D12" s="42" t="inlineStr">
        <is>
          <t>Strategy DSL with vetted primitive registry</t>
        </is>
      </c>
      <c r="E12" s="42" t="inlineStr">
        <is>
          <t>Closed</t>
        </is>
      </c>
      <c r="F12" s="43" t="inlineStr">
        <is>
          <t>P0</t>
        </is>
      </c>
      <c r="G12" s="41" t="inlineStr">
        <is>
          <t>0</t>
        </is>
      </c>
      <c r="H12" s="53" t="inlineStr">
        <is>
          <t>Safety-critical</t>
        </is>
      </c>
      <c r="I12" s="41" t="inlineStr">
        <is>
          <t>INFRA</t>
        </is>
      </c>
      <c r="J12" s="45" t="n"/>
      <c r="K12" s="42" t="n"/>
      <c r="L12" s="42" t="n"/>
      <c r="M12" s="46" t="n"/>
      <c r="N12" s="47" t="n"/>
      <c r="O12" s="48" t="n"/>
      <c r="P12" s="48" t="n"/>
      <c r="Q12" s="49" t="n"/>
      <c r="R12" s="41" t="n">
        <v>0</v>
      </c>
      <c r="S12" s="50" t="n"/>
      <c r="T12" s="50" t="n"/>
      <c r="U12" s="50" t="n"/>
      <c r="V12" s="50" t="n"/>
      <c r="W12" s="51" t="n"/>
    </row>
    <row r="13" ht="30" customHeight="1">
      <c r="A13" s="40" t="inlineStr">
        <is>
          <t>E00-S09</t>
        </is>
      </c>
      <c r="B13" s="41" t="inlineStr">
        <is>
          <t>E00</t>
        </is>
      </c>
      <c r="C13" s="42" t="inlineStr">
        <is>
          <t>FOUNDATION</t>
        </is>
      </c>
      <c r="D13" s="42" t="inlineStr">
        <is>
          <t>Docker topology with network segmentation</t>
        </is>
      </c>
      <c r="E13" s="42" t="inlineStr">
        <is>
          <t>Closed</t>
        </is>
      </c>
      <c r="F13" s="43" t="inlineStr">
        <is>
          <t>P0</t>
        </is>
      </c>
      <c r="G13" s="41" t="inlineStr">
        <is>
          <t>0</t>
        </is>
      </c>
      <c r="H13" s="52" t="inlineStr">
        <is>
          <t>Correctness-critical</t>
        </is>
      </c>
      <c r="I13" s="41" t="inlineStr">
        <is>
          <t>INFRA</t>
        </is>
      </c>
      <c r="J13" s="45" t="n"/>
      <c r="K13" s="42" t="n"/>
      <c r="L13" s="42" t="n"/>
      <c r="M13" s="46" t="n"/>
      <c r="N13" s="47" t="n"/>
      <c r="O13" s="48" t="n"/>
      <c r="P13" s="48" t="n"/>
      <c r="Q13" s="49" t="n"/>
      <c r="R13" s="41" t="n">
        <v>0</v>
      </c>
      <c r="S13" s="50" t="n"/>
      <c r="T13" s="50" t="n"/>
      <c r="U13" s="50" t="n"/>
      <c r="V13" s="50" t="inlineStr">
        <is>
          <t>written, not run</t>
        </is>
      </c>
      <c r="W13" s="51" t="n"/>
    </row>
    <row r="14" ht="30" customHeight="1">
      <c r="A14" s="40" t="inlineStr">
        <is>
          <t>E00-S10</t>
        </is>
      </c>
      <c r="B14" s="41" t="inlineStr">
        <is>
          <t>E00</t>
        </is>
      </c>
      <c r="C14" s="42" t="inlineStr">
        <is>
          <t>FOUNDATION</t>
        </is>
      </c>
      <c r="D14" s="42" t="inlineStr">
        <is>
          <t>Pre-flight doctor script</t>
        </is>
      </c>
      <c r="E14" s="42" t="inlineStr">
        <is>
          <t>Closed</t>
        </is>
      </c>
      <c r="F14" s="43" t="inlineStr">
        <is>
          <t>P0</t>
        </is>
      </c>
      <c r="G14" s="41" t="inlineStr">
        <is>
          <t>0</t>
        </is>
      </c>
      <c r="H14" s="44" t="inlineStr">
        <is>
          <t>Low</t>
        </is>
      </c>
      <c r="I14" s="41" t="inlineStr">
        <is>
          <t>INFRA</t>
        </is>
      </c>
      <c r="J14" s="45" t="n"/>
      <c r="K14" s="42" t="n"/>
      <c r="L14" s="42" t="n"/>
      <c r="M14" s="46" t="n"/>
      <c r="N14" s="47" t="n"/>
      <c r="O14" s="48" t="n"/>
      <c r="P14" s="48" t="n"/>
      <c r="Q14" s="49" t="n"/>
      <c r="R14" s="41" t="n">
        <v>0</v>
      </c>
      <c r="S14" s="50" t="n"/>
      <c r="T14" s="50" t="n"/>
      <c r="U14" s="50" t="n"/>
      <c r="V14" s="50" t="n"/>
      <c r="W14" s="51" t="n"/>
    </row>
    <row r="15" ht="30" customHeight="1">
      <c r="A15" s="40" t="inlineStr">
        <is>
          <t>E01-S01</t>
        </is>
      </c>
      <c r="B15" s="41" t="inlineStr">
        <is>
          <t>E01</t>
        </is>
      </c>
      <c r="C15" s="42" t="inlineStr">
        <is>
          <t>PERSISTENCE &amp; DATA LAYER</t>
        </is>
      </c>
      <c r="D15" s="42" t="inlineStr">
        <is>
          <t>Database schema and migrations</t>
        </is>
      </c>
      <c r="E15" s="42" t="inlineStr">
        <is>
          <t>Active</t>
        </is>
      </c>
      <c r="F15" s="43" t="inlineStr">
        <is>
          <t>P0</t>
        </is>
      </c>
      <c r="G15" s="41" t="inlineStr">
        <is>
          <t>1</t>
        </is>
      </c>
      <c r="H15" s="52" t="inlineStr">
        <is>
          <t>Correctness-critical</t>
        </is>
      </c>
      <c r="I15" s="41" t="inlineStr">
        <is>
          <t>INFRA</t>
        </is>
      </c>
      <c r="J15" s="45" t="n">
        <v>2</v>
      </c>
      <c r="K15" s="42" t="inlineStr">
        <is>
          <t>none</t>
        </is>
      </c>
      <c r="L15" s="42" t="n"/>
      <c r="M15" s="46" t="n"/>
      <c r="N15" s="47" t="n">
        <v>1</v>
      </c>
      <c r="O15" s="48" t="n"/>
      <c r="P15" s="48" t="n"/>
      <c r="Q15" s="49" t="n"/>
      <c r="R15" s="41" t="n">
        <v>9</v>
      </c>
      <c r="S15" s="50" t="inlineStr">
        <is>
          <t>As a developer, I want the full database schema defined as versioned migrations, so that schema changes are reviewable and reversible rather than applied by hand.</t>
        </is>
      </c>
      <c r="T15" s="50"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50" t="inlineStr">
        <is>
          <t>• `alembic upgrade head` then `downgrade base` runs clean on an empty DB
• Hypertables confirmed via `SELECT * FROM timescaledb_information.hypertables`
• `decision_log` and `strategy_trial` roles have INSERT but not UPDATE/DELETE</t>
        </is>
      </c>
      <c r="V15" s="50" t="inlineStr">
        <is>
          <t>SPRINT 1 — Days 1-2. Two decisions must be made in task 1 before any migration is written.
(a) TimescaleDB pin: ops/docker-compose.yml pins timescale/timescaledb:2.17.2-pg16, which PREDATES hypercore. add_columnstore_policy() does NOT exist on this image — only the legacy add_compression_policy(). Recommend upgrading the pin before the first migration rather than writing DDL that has to be rewritten later. Both DDL forms are given in EPIC01_TECHNICAL_SPEC.md §2.1.
(b) Driver: KEEP psycopg3. pyproject already specifies psycopg[binary,pool]&gt;=3.2 with sqlalchemy&gt;=2.0 and alembic&gt;=1.13. One driver serves both the async application and sync Alembic, and it is the COPY path E01-S02 task 3 depends on. Do not mix in asyncpg. (§2.2)
Task 9 (role grants) is the important part of this story, not the tables: BR-3 and BR-4 (append-only decision_log and strategy_trial) live in GRANT statements, not in application convention. Acceptance requires that connecting as algotrader_app and running DELETE FROM decision_log FAILS.</t>
        </is>
      </c>
      <c r="W15" s="51"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c r="A16" s="40" t="inlineStr">
        <is>
          <t>E01-S02</t>
        </is>
      </c>
      <c r="B16" s="41" t="inlineStr">
        <is>
          <t>E01</t>
        </is>
      </c>
      <c r="C16" s="42" t="inlineStr">
        <is>
          <t>PERSISTENCE &amp; DATA LAYER</t>
        </is>
      </c>
      <c r="D16" s="42" t="inlineStr">
        <is>
          <t>Repository layer</t>
        </is>
      </c>
      <c r="E16" s="42" t="inlineStr">
        <is>
          <t>Active</t>
        </is>
      </c>
      <c r="F16" s="43" t="inlineStr">
        <is>
          <t>P0</t>
        </is>
      </c>
      <c r="G16" s="41" t="inlineStr">
        <is>
          <t>1</t>
        </is>
      </c>
      <c r="H16" s="44" t="inlineStr">
        <is>
          <t>Low</t>
        </is>
      </c>
      <c r="I16" s="41" t="inlineStr">
        <is>
          <t>INFRA</t>
        </is>
      </c>
      <c r="J16" s="45" t="n">
        <v>2</v>
      </c>
      <c r="K16" s="42" t="inlineStr">
        <is>
          <t>E01-S01</t>
        </is>
      </c>
      <c r="L16" s="42" t="n"/>
      <c r="M16" s="46" t="n"/>
      <c r="N16" s="47" t="n">
        <v>1</v>
      </c>
      <c r="O16" s="48" t="n"/>
      <c r="P16" s="48" t="n"/>
      <c r="Q16" s="49" t="n"/>
      <c r="R16" s="41" t="n">
        <v>5</v>
      </c>
      <c r="S16" s="50" t="inlineStr">
        <is>
          <t>As a developer, I want data access behind repository interfaces, so that services never write raw SQL and can be tested against fakes.</t>
        </is>
      </c>
      <c r="T16" s="50"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50" t="inlineStr">
        <is>
          <t>• No service module imports `sqlalchemy` directly
• Bulk insert of 100k bars completes in &lt; 10s</t>
        </is>
      </c>
      <c r="V16" s="50" t="inlineStr">
        <is>
          <t>SPRINT 1 — Day 4 (needs E01-S01 complete).
warm_up_batch() is the story's real risk. It is the workhorse of BP-2, the pre-market warm-up that has to finish inside a 45-minute window. A per-symbol loop issuing ~150 queries will miss the deadline; one query using WHERE symbol_id = ANY(...) with a window function will not. Write it as the batch form from the start.
Acceptance is measurable and must be measured in the test, not asserted: bulk insert of 100k bars in under 10s, and grep -r 'import sqlalchemy' src/algotrader/{ingest,signals,execution,premarket} must return nothing — no ORM leakage past the repository boundary.</t>
        </is>
      </c>
      <c r="W16" s="51" t="n"/>
    </row>
    <row r="17" ht="30" customHeight="1">
      <c r="A17" s="40" t="inlineStr">
        <is>
          <t>E01-S03</t>
        </is>
      </c>
      <c r="B17" s="41" t="inlineStr">
        <is>
          <t>E01</t>
        </is>
      </c>
      <c r="C17" s="42" t="inlineStr">
        <is>
          <t>PERSISTENCE &amp; DATA LAYER</t>
        </is>
      </c>
      <c r="D17" s="42" t="inlineStr">
        <is>
          <t>Redis client and keyspace helpers</t>
        </is>
      </c>
      <c r="E17" s="42" t="inlineStr">
        <is>
          <t>Active</t>
        </is>
      </c>
      <c r="F17" s="43" t="inlineStr">
        <is>
          <t>P0</t>
        </is>
      </c>
      <c r="G17" s="41" t="inlineStr">
        <is>
          <t>1</t>
        </is>
      </c>
      <c r="H17" s="52" t="inlineStr">
        <is>
          <t>Correctness-critical</t>
        </is>
      </c>
      <c r="I17" s="41" t="inlineStr">
        <is>
          <t>INFRA</t>
        </is>
      </c>
      <c r="J17" s="45" t="n">
        <v>1.5</v>
      </c>
      <c r="K17" s="42" t="inlineStr">
        <is>
          <t>none</t>
        </is>
      </c>
      <c r="L17" s="42" t="n"/>
      <c r="M17" s="46" t="n"/>
      <c r="N17" s="47" t="n">
        <v>1</v>
      </c>
      <c r="O17" s="48" t="n"/>
      <c r="P17" s="48" t="n"/>
      <c r="Q17" s="49" t="n"/>
      <c r="R17" s="41" t="n">
        <v>6</v>
      </c>
      <c r="S17" s="50" t="inlineStr">
        <is>
          <t>As a developer, I want typed helpers for the Redis keyspace, so that key naming cannot drift between services.</t>
        </is>
      </c>
      <c r="T17" s="50"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50" t="inlineStr">
        <is>
          <t>• Every key in the design doc has a builder function
• A lock without a TTL is impossible to create (TTL is a required arg)</t>
        </is>
      </c>
      <c r="V17" s="50" t="inlineStr">
        <is>
          <t>SPRINT 1 — Day 3. Independent of E01-S01, so it is the parallel track that makes the sprint fit; do not sequence it after the schema.
The lock helper signature IS the story: ttl_ms must be a REQUIRED argument with no default. A lock without a TTL survives the death of the process holding it and deadlocks slot allocation for the rest of the session. Making it mandatory means that failure cannot be introduced by omission. Acceptance: acquire_lock() without a TTL raises TypeError at the call site.</t>
        </is>
      </c>
      <c r="W17" s="51" t="n"/>
    </row>
    <row r="18" ht="30" customHeight="1">
      <c r="A18" s="40" t="inlineStr">
        <is>
          <t>E01-S04</t>
        </is>
      </c>
      <c r="B18" s="41" t="inlineStr">
        <is>
          <t>E01</t>
        </is>
      </c>
      <c r="C18" s="42" t="inlineStr">
        <is>
          <t>PERSISTENCE &amp; DATA LAYER</t>
        </is>
      </c>
      <c r="D18" s="42" t="inlineStr">
        <is>
          <t>Event stream abstraction</t>
        </is>
      </c>
      <c r="E18" s="42" t="inlineStr">
        <is>
          <t>Active</t>
        </is>
      </c>
      <c r="F18" s="43" t="inlineStr">
        <is>
          <t>P0</t>
        </is>
      </c>
      <c r="G18" s="41" t="inlineStr">
        <is>
          <t>1</t>
        </is>
      </c>
      <c r="H18" s="52" t="inlineStr">
        <is>
          <t>Correctness-critical</t>
        </is>
      </c>
      <c r="I18" s="41" t="inlineStr">
        <is>
          <t>INFRA</t>
        </is>
      </c>
      <c r="J18" s="45" t="n">
        <v>1.5</v>
      </c>
      <c r="K18" s="42" t="inlineStr">
        <is>
          <t>E01-S03</t>
        </is>
      </c>
      <c r="L18" s="42" t="n"/>
      <c r="M18" s="46" t="n"/>
      <c r="N18" s="47" t="n">
        <v>1</v>
      </c>
      <c r="O18" s="48" t="n"/>
      <c r="P18" s="48" t="n"/>
      <c r="Q18" s="49" t="n"/>
      <c r="R18" s="41" t="n">
        <v>6</v>
      </c>
      <c r="S18" s="50" t="inlineStr">
        <is>
          <t>As a developer, I want a typed wrapper over Redis Streams with consumer groups, so that no event is lost when a consumer restarts.</t>
        </is>
      </c>
      <c r="T18" s="50" t="inlineStr">
        <is>
          <t>1. `EventStream` publish/subscribe with Pydantic envelopes
2. Consumer group creation and management
3. Explicit acknowledgement
4. Pending-entry recovery on restart
5. Dead-letter handling after N failures
6. `schema_version` on every envelope</t>
        </is>
      </c>
      <c r="U18" s="50" t="inlineStr">
        <is>
          <t>• Kill a consumer mid-stream; on restart it processes the unacked backlog
• Messages published while a consumer is down are delivered on return</t>
        </is>
      </c>
      <c r="V18" s="50" t="inlineStr">
        <is>
          <t>SPRINT 1 — Day 5 (needs E01-S03).
CONFIRMED AGAINST OPS CONFIG: docker-compose runs redis-server with --maxmemory 2gb --maxmemory-policy noeviction. That makes the untrimmed-stream trap real rather than theoretical — an unbounded XADD will fill the 2GB ceiling and Redis will then REFUSE WRITES rather than evict. Therefore maxlen must be a required argument on EventStream.publish(), same pattern as the lock TTL in E01-S03. Acceptance: publish() without maxlen is a TypeError.
Second acceptance is the recovery integration test: publish 100, consume 50, kill the consumer, restart — the remaining 50 plus the unacked are processed, none lost, none duplicated beyond at-least-once.</t>
        </is>
      </c>
      <c r="W18" s="51" t="n"/>
    </row>
    <row r="19" ht="30" customHeight="1">
      <c r="A19" s="40" t="inlineStr">
        <is>
          <t>E01-S05</t>
        </is>
      </c>
      <c r="B19" s="41" t="inlineStr">
        <is>
          <t>E01</t>
        </is>
      </c>
      <c r="C19" s="42" t="inlineStr">
        <is>
          <t>PERSISTENCE &amp; DATA LAYER</t>
        </is>
      </c>
      <c r="D19" s="42" t="inlineStr">
        <is>
          <t>Audit log writer with hash chaining</t>
        </is>
      </c>
      <c r="E19" s="42" t="inlineStr">
        <is>
          <t>Moved to Backlog</t>
        </is>
      </c>
      <c r="F19" s="43" t="inlineStr">
        <is>
          <t>P0</t>
        </is>
      </c>
      <c r="G19" s="41" t="inlineStr">
        <is>
          <t>1</t>
        </is>
      </c>
      <c r="H19" s="53" t="inlineStr">
        <is>
          <t>Safety-critical</t>
        </is>
      </c>
      <c r="I19" s="41" t="inlineStr">
        <is>
          <t>SEC</t>
        </is>
      </c>
      <c r="J19" s="45" t="n">
        <v>1</v>
      </c>
      <c r="K19" s="42" t="inlineStr">
        <is>
          <t>E01-S01</t>
        </is>
      </c>
      <c r="L19" s="42" t="n"/>
      <c r="M19" s="46" t="n"/>
      <c r="N19" s="47" t="n">
        <v>2</v>
      </c>
      <c r="O19" s="48" t="n"/>
      <c r="P19" s="48" t="n"/>
      <c r="Q19" s="49" t="n"/>
      <c r="R19" s="41" t="n">
        <v>5</v>
      </c>
      <c r="S19" s="50" t="inlineStr">
        <is>
          <t>As an operator, I want every decision written to an append-only hash-chained log, so that tampering is detectable and I can substantiate any trade.</t>
        </is>
      </c>
      <c r="T19" s="50" t="inlineStr">
        <is>
          <t>1. `AuditWriter` — append-only, never updates
2. Hash chain: each row includes the previous row's hash
3. `correlation_id` on every entry
4. Chain verification utility
5. Buffer to disk if the DB is unavailable, replay on recovery</t>
        </is>
      </c>
      <c r="U19" s="50" t="inlineStr">
        <is>
          <t>• Modifying a historical row is detected by the verifier
• DB outage does not lose audit entries</t>
        </is>
      </c>
      <c r="V19" s="50" t="inlineStr">
        <is>
          <t>DEFERRED SPRINT 1 -&gt; SPRINT 2. This is the scope cut that makes Sprint 1 fit; see the Sprint Plan sheet for the capacity finding.
Why this story rather than compressing something else: it is the ONLY safety-critical (red) story in E01 and it carries the strictest Definition of Done — property-based test over generated event sequences, an explicit tamper test, an explicit DB-outage test, and a second read on a different day. Squeezing it into a Friday afternoon violates the working rule that a red story is never merged at the end of a session. Nothing in Sprint 2 depends on it, so the deferral costs nothing.
Still blocked on E01-S01 only. Pull into Sprint 2 at full 1-day estimate — do NOT compress it there either.</t>
        </is>
      </c>
      <c r="W19" s="51" t="n"/>
    </row>
    <row r="20" ht="30" customHeight="1">
      <c r="A20" s="40" t="inlineStr">
        <is>
          <t>E01-S06</t>
        </is>
      </c>
      <c r="B20" s="41" t="inlineStr">
        <is>
          <t>E01</t>
        </is>
      </c>
      <c r="C20" s="42" t="inlineStr">
        <is>
          <t>PERSISTENCE &amp; DATA LAYER</t>
        </is>
      </c>
      <c r="D20" s="42" t="inlineStr">
        <is>
          <t>Data retention and archival</t>
        </is>
      </c>
      <c r="E20" s="42" t="inlineStr">
        <is>
          <t>New</t>
        </is>
      </c>
      <c r="F20" s="54" t="inlineStr">
        <is>
          <t>P2</t>
        </is>
      </c>
      <c r="G20" s="41" t="inlineStr">
        <is>
          <t>6</t>
        </is>
      </c>
      <c r="H20" s="44" t="inlineStr">
        <is>
          <t>Low</t>
        </is>
      </c>
      <c r="I20" s="41" t="inlineStr">
        <is>
          <t>OPS</t>
        </is>
      </c>
      <c r="J20" s="45" t="n">
        <v>0.5</v>
      </c>
      <c r="K20" s="42" t="inlineStr">
        <is>
          <t>E01-S01</t>
        </is>
      </c>
      <c r="L20" s="42" t="n"/>
      <c r="M20" s="46" t="n"/>
      <c r="N20" s="47" t="n">
        <v>16</v>
      </c>
      <c r="O20" s="48" t="n"/>
      <c r="P20" s="48" t="n"/>
      <c r="Q20" s="49" t="n"/>
      <c r="R20" s="41" t="n">
        <v>3</v>
      </c>
      <c r="S20" s="50" t="inlineStr">
        <is>
          <t>As an operator, I want old tick data archived to Parquet, so that the database stays small without losing replay capability.</t>
        </is>
      </c>
      <c r="T20" s="50" t="inlineStr">
        <is>
          <t>1. Nightly job: ticks older than 24h → Parquet
2. Compression policy verification
3. Restore-from-archive utility</t>
        </is>
      </c>
      <c r="U20" s="50" t="n"/>
      <c r="V20" s="50" t="inlineStr">
        <is>
          <t>NOT SPRINT 1 — and correctly so. This sits inside E01 but is P2 / Phase 6, so it was never Sprint 1 work despite Sprint 1 originally being scoped as 'all of E01'. Leaving it New rather than marking it deferred, because it was never scheduled.
Pull it in when tick archival is actually needed by the replay harness (E22-S03, Sprint 16). Provisionally placed there.</t>
        </is>
      </c>
      <c r="W20" s="51" t="n"/>
    </row>
    <row r="21" ht="30" customHeight="1">
      <c r="A21" s="40" t="inlineStr">
        <is>
          <t>E01-S07</t>
        </is>
      </c>
      <c r="B21" s="41" t="inlineStr">
        <is>
          <t>E01</t>
        </is>
      </c>
      <c r="C21" s="42" t="inlineStr">
        <is>
          <t>PERSISTENCE &amp; DATA LAYER</t>
        </is>
      </c>
      <c r="D21" s="42" t="inlineStr">
        <is>
          <t>Datastore scaffolding and Alembic bootstrap</t>
        </is>
      </c>
      <c r="E21" s="42" t="inlineStr">
        <is>
          <t>Closed</t>
        </is>
      </c>
      <c r="F21" s="54" t="inlineStr">
        <is>
          <t>P0</t>
        </is>
      </c>
      <c r="G21" s="41" t="inlineStr">
        <is>
          <t>1</t>
        </is>
      </c>
      <c r="H21" s="44" t="inlineStr">
        <is>
          <t>Correctness-critical</t>
        </is>
      </c>
      <c r="I21" s="41" t="inlineStr">
        <is>
          <t>INFRA</t>
        </is>
      </c>
      <c r="J21" s="45" t="n">
        <v>1</v>
      </c>
      <c r="K21" s="42" t="inlineStr">
        <is>
          <t>none</t>
        </is>
      </c>
      <c r="L21" s="42" t="inlineStr">
        <is>
          <t>None</t>
        </is>
      </c>
      <c r="M21" s="46" t="inlineStr">
        <is>
          <t>None</t>
        </is>
      </c>
      <c r="N21" s="47" t="n">
        <v>1</v>
      </c>
      <c r="O21" s="48" t="inlineStr">
        <is>
          <t>None</t>
        </is>
      </c>
      <c r="P21" s="48" t="inlineStr">
        <is>
          <t>None</t>
        </is>
      </c>
      <c r="Q21" s="49" t="n">
        <v>100</v>
      </c>
      <c r="R21" s="41" t="n">
        <v>6</v>
      </c>
      <c r="S21" s="50" t="inlineStr">
        <is>
          <t>As a developer, I want the database/Redis configuration, the Alembic environment and the container test fixtures to exist, so that E01-S01 can start writing migrations instead of first building the ground they run on.</t>
        </is>
      </c>
      <c r="T21" s="50"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50"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50"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51"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c r="A22" s="40" t="inlineStr">
        <is>
          <t>E01-S08</t>
        </is>
      </c>
      <c r="B22" s="41" t="inlineStr">
        <is>
          <t>E01</t>
        </is>
      </c>
      <c r="C22" s="42" t="inlineStr">
        <is>
          <t>PERSISTENCE &amp; DATA LAYER</t>
        </is>
      </c>
      <c r="D22" s="42" t="inlineStr">
        <is>
          <t>Clear lint debt so `make check` can gate merges</t>
        </is>
      </c>
      <c r="E22" s="42" t="inlineStr">
        <is>
          <t>Active</t>
        </is>
      </c>
      <c r="F22" s="54" t="inlineStr">
        <is>
          <t>P1</t>
        </is>
      </c>
      <c r="G22" s="41" t="inlineStr">
        <is>
          <t>1</t>
        </is>
      </c>
      <c r="H22" s="44" t="inlineStr">
        <is>
          <t>Low</t>
        </is>
      </c>
      <c r="I22" s="41" t="inlineStr">
        <is>
          <t>INFRA</t>
        </is>
      </c>
      <c r="J22" s="45" t="n">
        <v>0.5</v>
      </c>
      <c r="K22" s="42" t="inlineStr">
        <is>
          <t>none</t>
        </is>
      </c>
      <c r="L22" s="42" t="inlineStr">
        <is>
          <t>None</t>
        </is>
      </c>
      <c r="M22" s="46" t="inlineStr">
        <is>
          <t>None</t>
        </is>
      </c>
      <c r="N22" s="47" t="n">
        <v>1</v>
      </c>
      <c r="O22" s="48" t="inlineStr">
        <is>
          <t>None</t>
        </is>
      </c>
      <c r="P22" s="48" t="inlineStr">
        <is>
          <t>None</t>
        </is>
      </c>
      <c r="Q22" s="49" t="inlineStr">
        <is>
          <t>None</t>
        </is>
      </c>
      <c r="R22" s="41" t="n">
        <v>4</v>
      </c>
      <c r="S22" s="50" t="inlineStr">
        <is>
          <t>As a developer, I want `make check` to exit 0 on a clean tree, so that it can be used as a merge gate for E01 instead of being a command everyone knows is already red.</t>
        </is>
      </c>
      <c r="T22" s="50"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50" t="inlineStr">
        <is>
          <t>• `ruff check .` reports no errors
• `ruff format --check .` reports no changes needed
• `make check` (lint + types + tests) exits 0
• No test is deleted or skipped to achieve the above</t>
        </is>
      </c>
      <c r="V22" s="50" t="inlineStr">
        <is>
          <t>PRE-EXISTING DEBT — not introduced by E01-S07. Measured on files that work never touched: 10 errors across tests/unit/, tests/security/, broker/, strategy/ and common/models/; 30 project-wide.
WHY THIS BLOCKS E01-S01 MERGING: `make check` runs lint + types + tests and therefore exits non-zero today. Until it is green it cannot distinguish 'this change broke something' from 'this repo was already red', which is exactly the signal a merge gate exists to give. CLAUDE.md already instructs running it before every commit.
Deliberately left unfixed during E01-S07 so it would not be buried in an unrelated diff.
All findings are cosmetic — no behavioural change expected. If a fix would change behaviour, stop and raise it rather than applying it.</t>
        </is>
      </c>
      <c r="W22" s="51" t="inlineStr">
        <is>
          <t>Sequence before E01-S01 merges, not before it starts — the two are independent and this one needs no design decisions. Half a day is generous; most of it is one command.</t>
        </is>
      </c>
    </row>
    <row r="23" ht="30" customHeight="1">
      <c r="A23" s="40" t="inlineStr">
        <is>
          <t>E02-S01</t>
        </is>
      </c>
      <c r="B23" s="41" t="inlineStr">
        <is>
          <t>E02</t>
        </is>
      </c>
      <c r="C23" s="42" t="inlineStr">
        <is>
          <t>BROKER INTEGRATION</t>
        </is>
      </c>
      <c r="D23" s="42" t="inlineStr">
        <is>
          <t>Kite Connect authentication — redirect flow</t>
        </is>
      </c>
      <c r="E23" s="42" t="inlineStr">
        <is>
          <t>New</t>
        </is>
      </c>
      <c r="F23" s="43" t="inlineStr">
        <is>
          <t>P0</t>
        </is>
      </c>
      <c r="G23" s="41" t="inlineStr">
        <is>
          <t>1</t>
        </is>
      </c>
      <c r="H23" s="53" t="inlineStr">
        <is>
          <t>Safety-critical</t>
        </is>
      </c>
      <c r="I23" s="41" t="inlineStr">
        <is>
          <t>SEC</t>
        </is>
      </c>
      <c r="J23" s="45" t="n">
        <v>2</v>
      </c>
      <c r="K23" s="42" t="inlineStr">
        <is>
          <t>none</t>
        </is>
      </c>
      <c r="L23" s="42" t="n"/>
      <c r="M23" s="46" t="n"/>
      <c r="N23" s="47" t="n"/>
      <c r="O23" s="48" t="n"/>
      <c r="P23" s="48" t="n"/>
      <c r="Q23" s="49" t="n"/>
      <c r="R23" s="41" t="n">
        <v>7</v>
      </c>
      <c r="S23" s="50" t="inlineStr">
        <is>
          <t>As a trader, I want the daily Zerodha login to complete through a link I tap on my phone, so that the system has a valid session before pre-open without me sitting at a laptop.</t>
        </is>
      </c>
      <c r="T23" s="50"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50" t="inlineStr">
        <is>
          <t>• Full flow completes from a phone in under 60 seconds
• Token never appears in any log
• Expired token is detected before the pre-market job starts</t>
        </is>
      </c>
      <c r="V23" s="50" t="n"/>
      <c r="W23" s="51" t="n"/>
    </row>
    <row r="24" ht="30" customHeight="1">
      <c r="A24" s="40" t="inlineStr">
        <is>
          <t>E02-S02</t>
        </is>
      </c>
      <c r="B24" s="41" t="inlineStr">
        <is>
          <t>E02</t>
        </is>
      </c>
      <c r="C24" s="42" t="inlineStr">
        <is>
          <t>BROKER INTEGRATION</t>
        </is>
      </c>
      <c r="D24" s="42" t="inlineStr">
        <is>
          <t>Session lifecycle and daily re-auth scheduling</t>
        </is>
      </c>
      <c r="E24" s="42" t="inlineStr">
        <is>
          <t>New</t>
        </is>
      </c>
      <c r="F24" s="43" t="inlineStr">
        <is>
          <t>P0</t>
        </is>
      </c>
      <c r="G24" s="41" t="inlineStr">
        <is>
          <t>1</t>
        </is>
      </c>
      <c r="H24" s="53" t="inlineStr">
        <is>
          <t>Safety-critical</t>
        </is>
      </c>
      <c r="I24" s="41" t="inlineStr">
        <is>
          <t>SEC</t>
        </is>
      </c>
      <c r="J24" s="45" t="n">
        <v>1</v>
      </c>
      <c r="K24" s="42" t="inlineStr">
        <is>
          <t>E02-S01</t>
        </is>
      </c>
      <c r="L24" s="42" t="n"/>
      <c r="M24" s="46" t="n"/>
      <c r="N24" s="47" t="n"/>
      <c r="O24" s="48" t="n"/>
      <c r="P24" s="48" t="n"/>
      <c r="Q24" s="49" t="n"/>
      <c r="R24" s="41" t="n">
        <v>5</v>
      </c>
      <c r="S24" s="50" t="inlineStr">
        <is>
          <t>As a compliance-conscious operator, I want sessions to expire and re-establish daily, so that the SEBI auto-logout requirement is met by design.</t>
        </is>
      </c>
      <c r="T24" s="50" t="inlineStr">
        <is>
          <t>1. Scheduled trigger at `broker.auth.daily_reauth_time`
2. Session validity check before every trading-day transition
3. Retry with backoff ×3, then halt the day
4. `auth.refreshed` / `auth.failed` events
5. Health gate integration — no valid session means no trading</t>
        </is>
      </c>
      <c r="U24" s="50" t="inlineStr">
        <is>
          <t>• 20 consecutive sessions authenticate successfully
• A failed auth prevents the session reaching `TRADING`</t>
        </is>
      </c>
      <c r="V24" s="50" t="n"/>
      <c r="W24" s="51" t="n"/>
    </row>
    <row r="25" ht="30" customHeight="1">
      <c r="A25" s="40" t="inlineStr">
        <is>
          <t>E02-S03</t>
        </is>
      </c>
      <c r="B25" s="41" t="inlineStr">
        <is>
          <t>E02</t>
        </is>
      </c>
      <c r="C25" s="42" t="inlineStr">
        <is>
          <t>BROKER INTEGRATION</t>
        </is>
      </c>
      <c r="D25" s="42" t="inlineStr">
        <is>
          <t>Read-only market data adapter</t>
        </is>
      </c>
      <c r="E25" s="42" t="inlineStr">
        <is>
          <t>New</t>
        </is>
      </c>
      <c r="F25" s="43" t="inlineStr">
        <is>
          <t>P0</t>
        </is>
      </c>
      <c r="G25" s="41" t="inlineStr">
        <is>
          <t>1</t>
        </is>
      </c>
      <c r="H25" s="52" t="inlineStr">
        <is>
          <t>Correctness-critical</t>
        </is>
      </c>
      <c r="I25" s="41" t="inlineStr">
        <is>
          <t>FEAT</t>
        </is>
      </c>
      <c r="J25" s="45" t="n">
        <v>1.5</v>
      </c>
      <c r="K25" s="42" t="inlineStr">
        <is>
          <t>E02-S01</t>
        </is>
      </c>
      <c r="L25" s="42" t="n"/>
      <c r="M25" s="46" t="n"/>
      <c r="N25" s="47" t="n"/>
      <c r="O25" s="48" t="n"/>
      <c r="P25" s="48" t="n"/>
      <c r="Q25" s="49" t="n"/>
      <c r="R25" s="41" t="n">
        <v>4</v>
      </c>
      <c r="S25" s="50" t="inlineStr">
        <is>
          <t>As a developer, I want a read-only Kite adapter, so that data services physically cannot place orders.</t>
        </is>
      </c>
      <c r="T25" s="50" t="inlineStr">
        <is>
          <t>1. Implement `MarketDataAdapter` for Kite
2. `fetch_instruments`, `fetch_historical`, quote endpoints
3. Apply `ReadOnlyGuard` so trading methods raise
4. Map Kite errors to the adapter's error taxonomy</t>
        </is>
      </c>
      <c r="U25" s="50" t="inlineStr">
        <is>
          <t>• Calling `place_order` on this adapter raises `PermissionError`
• Data endpoints work from a non-whitelisted IP (verifying the order-only scope)</t>
        </is>
      </c>
      <c r="V25" s="50" t="n"/>
      <c r="W25" s="51" t="n"/>
    </row>
    <row r="26" ht="30" customHeight="1">
      <c r="A26" s="40" t="inlineStr">
        <is>
          <t>E02-S04</t>
        </is>
      </c>
      <c r="B26" s="41" t="inlineStr">
        <is>
          <t>E02</t>
        </is>
      </c>
      <c r="C26" s="42" t="inlineStr">
        <is>
          <t>BROKER INTEGRATION</t>
        </is>
      </c>
      <c r="D26" s="42" t="inlineStr">
        <is>
          <t>Trading adapter with market protection</t>
        </is>
      </c>
      <c r="E26" s="42" t="inlineStr">
        <is>
          <t>New</t>
        </is>
      </c>
      <c r="F26" s="43" t="inlineStr">
        <is>
          <t>P0</t>
        </is>
      </c>
      <c r="G26" s="41" t="inlineStr">
        <is>
          <t>5</t>
        </is>
      </c>
      <c r="H26" s="53" t="inlineStr">
        <is>
          <t>Safety-critical</t>
        </is>
      </c>
      <c r="I26" s="41" t="inlineStr">
        <is>
          <t>FEAT</t>
        </is>
      </c>
      <c r="J26" s="45" t="n">
        <v>2</v>
      </c>
      <c r="K26" s="42" t="inlineStr">
        <is>
          <t>E02-S03, E14-S01</t>
        </is>
      </c>
      <c r="L26" s="42" t="n"/>
      <c r="M26" s="46" t="n"/>
      <c r="N26" s="47" t="n"/>
      <c r="O26" s="48" t="n"/>
      <c r="P26" s="48" t="n"/>
      <c r="Q26" s="49" t="n"/>
      <c r="R26" s="41" t="n">
        <v>7</v>
      </c>
      <c r="S26" s="50" t="inlineStr">
        <is>
          <t>As a trader, I want orders placed correctly with market protection attached, so that MARKET and SL-M orders are not rejected by the broker.</t>
        </is>
      </c>
      <c r="T26" s="50"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50" t="inlineStr">
        <is>
          <t>• A MARKET order without protection is impossible to construct
• A timeout raises `AmbiguousOrderError`, never a silent retry</t>
        </is>
      </c>
      <c r="V26" s="50" t="n"/>
      <c r="W26" s="51" t="n"/>
    </row>
    <row r="27" ht="30" customHeight="1">
      <c r="A27" s="40" t="inlineStr">
        <is>
          <t>E02-S05</t>
        </is>
      </c>
      <c r="B27" s="41" t="inlineStr">
        <is>
          <t>E02</t>
        </is>
      </c>
      <c r="C27" s="42" t="inlineStr">
        <is>
          <t>BROKER INTEGRATION</t>
        </is>
      </c>
      <c r="D27" s="42" t="inlineStr">
        <is>
          <t>Order rate limiting</t>
        </is>
      </c>
      <c r="E27" s="42" t="inlineStr">
        <is>
          <t>New</t>
        </is>
      </c>
      <c r="F27" s="43" t="inlineStr">
        <is>
          <t>P0</t>
        </is>
      </c>
      <c r="G27" s="41" t="inlineStr">
        <is>
          <t>5</t>
        </is>
      </c>
      <c r="H27" s="53" t="inlineStr">
        <is>
          <t>Safety-critical</t>
        </is>
      </c>
      <c r="I27" s="41" t="inlineStr">
        <is>
          <t>SEC</t>
        </is>
      </c>
      <c r="J27" s="45" t="n">
        <v>1</v>
      </c>
      <c r="K27" s="42" t="inlineStr">
        <is>
          <t>E01-S03, E02-S04</t>
        </is>
      </c>
      <c r="L27" s="42" t="n"/>
      <c r="M27" s="46" t="n"/>
      <c r="N27" s="47" t="n"/>
      <c r="O27" s="48" t="n"/>
      <c r="P27" s="48" t="n"/>
      <c r="Q27" s="49" t="n"/>
      <c r="R27" s="41" t="n">
        <v>5</v>
      </c>
      <c r="S27" s="50" t="inlineStr">
        <is>
          <t>As a compliance-conscious operator, I want the order rate capped in the adapter, so that no caller can breach the limit regardless of its behaviour.</t>
        </is>
      </c>
      <c r="T27" s="50" t="inlineStr">
        <is>
          <t>1. Redis token bucket wrapping `place_order`
2. Separate bucket for data endpoints
3. Backpressure: queue with depth limit
4. Reject new signals rather than delay orders unboundedly
5. `orders_rate_limited_total` metric</t>
        </is>
      </c>
      <c r="U27" s="50" t="inlineStr">
        <is>
          <t>• A deliberate flood of 100 orders/sec results in ≤ 3/sec reaching the broker
• Queue depth beyond threshold rejects rather than buffers</t>
        </is>
      </c>
      <c r="V27" s="50" t="n"/>
      <c r="W27" s="51" t="n"/>
    </row>
    <row r="28" ht="30" customHeight="1">
      <c r="A28" s="40" t="inlineStr">
        <is>
          <t>E02-S06</t>
        </is>
      </c>
      <c r="B28" s="41" t="inlineStr">
        <is>
          <t>E02</t>
        </is>
      </c>
      <c r="C28" s="42" t="inlineStr">
        <is>
          <t>BROKER INTEGRATION</t>
        </is>
      </c>
      <c r="D28" s="42" t="inlineStr">
        <is>
          <t>Instrument master synchronisation</t>
        </is>
      </c>
      <c r="E28" s="42" t="inlineStr">
        <is>
          <t>New</t>
        </is>
      </c>
      <c r="F28" s="43" t="inlineStr">
        <is>
          <t>P0</t>
        </is>
      </c>
      <c r="G28" s="41" t="inlineStr">
        <is>
          <t>1</t>
        </is>
      </c>
      <c r="H28" s="52" t="inlineStr">
        <is>
          <t>Correctness-critical</t>
        </is>
      </c>
      <c r="I28" s="41" t="inlineStr">
        <is>
          <t>FEAT</t>
        </is>
      </c>
      <c r="J28" s="45" t="n">
        <v>1</v>
      </c>
      <c r="K28" s="42" t="inlineStr">
        <is>
          <t>E01-S02, E02-S03</t>
        </is>
      </c>
      <c r="L28" s="42" t="n"/>
      <c r="M28" s="46" t="n"/>
      <c r="N28" s="47" t="n"/>
      <c r="O28" s="48" t="n"/>
      <c r="P28" s="48" t="n"/>
      <c r="Q28" s="49" t="n"/>
      <c r="R28" s="41" t="n">
        <v>4</v>
      </c>
      <c r="S28" s="50" t="inlineStr">
        <is>
          <t>As a system, I need the current instrument master, so that symbols map to broker tokens, lot sizes and tick sizes correctly.</t>
        </is>
      </c>
      <c r="T28" s="50" t="inlineStr">
        <is>
          <t>1. Daily fetch of the instrument dump
2. Upsert into `instruments`
3. Detect and log symbol changes, delistings, new listings
4. Tick-size rounding helper verified against real instruments</t>
        </is>
      </c>
      <c r="U28" s="50" t="inlineStr">
        <is>
          <t>• A limit price is always snapped to a valid tick before submission</t>
        </is>
      </c>
      <c r="V28" s="50" t="n"/>
      <c r="W28" s="51" t="n"/>
    </row>
    <row r="29" ht="30" customHeight="1">
      <c r="A29" s="40" t="inlineStr">
        <is>
          <t>E02-S07</t>
        </is>
      </c>
      <c r="B29" s="41" t="inlineStr">
        <is>
          <t>E02</t>
        </is>
      </c>
      <c r="C29" s="42" t="inlineStr">
        <is>
          <t>BROKER INTEGRATION</t>
        </is>
      </c>
      <c r="D29" s="42" t="inlineStr">
        <is>
          <t>Live margin retrieval</t>
        </is>
      </c>
      <c r="E29" s="42" t="inlineStr">
        <is>
          <t>New</t>
        </is>
      </c>
      <c r="F29" s="43" t="inlineStr">
        <is>
          <t>P0</t>
        </is>
      </c>
      <c r="G29" s="41" t="inlineStr">
        <is>
          <t>5</t>
        </is>
      </c>
      <c r="H29" s="53" t="inlineStr">
        <is>
          <t>Safety-critical</t>
        </is>
      </c>
      <c r="I29" s="41" t="inlineStr">
        <is>
          <t>FEAT</t>
        </is>
      </c>
      <c r="J29" s="45" t="n">
        <v>0.5</v>
      </c>
      <c r="K29" s="42" t="inlineStr">
        <is>
          <t>E02-S04</t>
        </is>
      </c>
      <c r="L29" s="42" t="n"/>
      <c r="M29" s="46" t="n"/>
      <c r="N29" s="47" t="n"/>
      <c r="O29" s="48" t="n"/>
      <c r="P29" s="48" t="n"/>
      <c r="Q29" s="49" t="n"/>
      <c r="R29" s="41" t="n">
        <v>3</v>
      </c>
      <c r="S29" s="50" t="inlineStr">
        <is>
          <t>As a risk engine, I need real available margin from the broker, so that sizing never assumes leverage that SEBI peak-margin rules do not permit.</t>
        </is>
      </c>
      <c r="T29" s="50" t="inlineStr">
        <is>
          <t>1. `fetch_margins` returning `MarginSnapshot`
2. Cache with a short TTL (margin moves during the session)
3. Staleness guard — reject sizing on stale margin data</t>
        </is>
      </c>
      <c r="U29" s="50" t="inlineStr">
        <is>
          <t>• Sizing uses live margin, never a computed leverage multiple</t>
        </is>
      </c>
      <c r="V29" s="50" t="n"/>
      <c r="W29" s="51" t="n"/>
    </row>
    <row r="30" ht="30" customHeight="1">
      <c r="A30" s="40" t="inlineStr">
        <is>
          <t>E02-S08</t>
        </is>
      </c>
      <c r="B30" s="41" t="inlineStr">
        <is>
          <t>E02</t>
        </is>
      </c>
      <c r="C30" s="42" t="inlineStr">
        <is>
          <t>BROKER INTEGRATION</t>
        </is>
      </c>
      <c r="D30" s="42" t="inlineStr">
        <is>
          <t>Fallback broker adapter (Fyers)</t>
        </is>
      </c>
      <c r="E30" s="42" t="inlineStr">
        <is>
          <t>New</t>
        </is>
      </c>
      <c r="F30" s="54" t="inlineStr">
        <is>
          <t>P2</t>
        </is>
      </c>
      <c r="G30" s="41" t="inlineStr">
        <is>
          <t>2</t>
        </is>
      </c>
      <c r="H30" s="44" t="inlineStr">
        <is>
          <t>Low</t>
        </is>
      </c>
      <c r="I30" s="41" t="inlineStr">
        <is>
          <t>FEAT</t>
        </is>
      </c>
      <c r="J30" s="45" t="n">
        <v>2</v>
      </c>
      <c r="K30" s="42" t="inlineStr">
        <is>
          <t>E02-S03</t>
        </is>
      </c>
      <c r="L30" s="42" t="n"/>
      <c r="M30" s="46" t="n"/>
      <c r="N30" s="47" t="n"/>
      <c r="O30" s="48" t="n"/>
      <c r="P30" s="48" t="n"/>
      <c r="Q30" s="49" t="n"/>
      <c r="R30" s="41" t="n">
        <v>3</v>
      </c>
      <c r="S30" s="50" t="inlineStr">
        <is>
          <t>As an operator, I want a second data source, so that a Zerodha WebSocket outage at the open does not blind the system.</t>
        </is>
      </c>
      <c r="T30" s="50" t="inlineStr">
        <is>
          <t>1. Fyers auth and read-only adapter
2. Failover logic on primary feed staleness
3. Cross-source price divergence detection</t>
        </is>
      </c>
      <c r="U30" s="50" t="n"/>
      <c r="V30" s="50" t="n"/>
      <c r="W30" s="51" t="n"/>
    </row>
    <row r="31" ht="30" customHeight="1">
      <c r="A31" s="40" t="inlineStr">
        <is>
          <t>E02-S09</t>
        </is>
      </c>
      <c r="B31" s="41" t="inlineStr">
        <is>
          <t>E02</t>
        </is>
      </c>
      <c r="C31" s="42" t="inlineStr">
        <is>
          <t>BROKER INTEGRATION</t>
        </is>
      </c>
      <c r="D31" s="42" t="inlineStr">
        <is>
          <t>Broker error taxonomy handling</t>
        </is>
      </c>
      <c r="E31" s="42" t="inlineStr">
        <is>
          <t>New</t>
        </is>
      </c>
      <c r="F31" s="43" t="inlineStr">
        <is>
          <t>P0</t>
        </is>
      </c>
      <c r="G31" s="41" t="inlineStr">
        <is>
          <t>5</t>
        </is>
      </c>
      <c r="H31" s="53" t="inlineStr">
        <is>
          <t>Safety-critical</t>
        </is>
      </c>
      <c r="I31" s="41" t="inlineStr">
        <is>
          <t>FEAT</t>
        </is>
      </c>
      <c r="J31" s="45" t="n">
        <v>1</v>
      </c>
      <c r="K31" s="42" t="inlineStr">
        <is>
          <t>E02-S04</t>
        </is>
      </c>
      <c r="L31" s="42" t="n"/>
      <c r="M31" s="46" t="n"/>
      <c r="N31" s="47" t="n"/>
      <c r="O31" s="48" t="n"/>
      <c r="P31" s="48" t="n"/>
      <c r="Q31" s="49" t="n"/>
      <c r="R31" s="41" t="n">
        <v>5</v>
      </c>
      <c r="S31" s="50" t="inlineStr">
        <is>
          <t>As a system, I want every broker failure classified correctly, so that an ambiguous outcome never results in a duplicate order.</t>
        </is>
      </c>
      <c r="T31" s="50" t="inlineStr">
        <is>
          <t>1. Map every Kite error code to the taxonomy
2. `AmbiguousOrderError` → query-by-`client_order_id` recovery path
3. Never retry on `OrderRejectedError`
4. Exponential backoff on `RateLimitError`
5. Log every unmapped error code loudly for triage</t>
        </is>
      </c>
      <c r="U31" s="50" t="inlineStr">
        <is>
          <t>• Simulated timeout + reconnect produces exactly one position (chaos test)</t>
        </is>
      </c>
      <c r="V31" s="50" t="n"/>
      <c r="W31" s="51" t="n"/>
    </row>
    <row r="32" ht="30" customHeight="1">
      <c r="A32" s="40" t="inlineStr">
        <is>
          <t>E03-S01</t>
        </is>
      </c>
      <c r="B32" s="41" t="inlineStr">
        <is>
          <t>E03</t>
        </is>
      </c>
      <c r="C32" s="42" t="inlineStr">
        <is>
          <t>HISTORICAL DATA</t>
        </is>
      </c>
      <c r="D32" s="42" t="inlineStr">
        <is>
          <t>NSE bhavcopy fetcher and archiver</t>
        </is>
      </c>
      <c r="E32" s="42" t="inlineStr">
        <is>
          <t>New</t>
        </is>
      </c>
      <c r="F32" s="43" t="inlineStr">
        <is>
          <t>P0</t>
        </is>
      </c>
      <c r="G32" s="41" t="inlineStr">
        <is>
          <t>1</t>
        </is>
      </c>
      <c r="H32" s="52" t="inlineStr">
        <is>
          <t>Correctness-critical</t>
        </is>
      </c>
      <c r="I32" s="41" t="inlineStr">
        <is>
          <t>FEAT</t>
        </is>
      </c>
      <c r="J32" s="45" t="n">
        <v>1.5</v>
      </c>
      <c r="K32" s="42" t="inlineStr">
        <is>
          <t>E01-S02</t>
        </is>
      </c>
      <c r="L32" s="42" t="n"/>
      <c r="M32" s="46" t="n"/>
      <c r="N32" s="47" t="n"/>
      <c r="O32" s="48" t="n"/>
      <c r="P32" s="48" t="n"/>
      <c r="Q32" s="49" t="n"/>
      <c r="R32" s="41" t="n">
        <v>6</v>
      </c>
      <c r="S32" s="50" t="inlineStr">
        <is>
          <t>As a system, I need daily EOD data stored locally, so that pre-market analysis does not depend on a rate-limited API every morning.</t>
        </is>
      </c>
      <c r="T32" s="50" t="inlineStr">
        <is>
          <t>1. Download bhavcopy for a given date
2. Parse and normalise to the `Bar` model
3. Idempotent upsert (re-running a date is safe)
4. Backfill utility for a date range
5. Handle holidays and missing files gracefully
6. Schedule at 05:30</t>
        </is>
      </c>
      <c r="U32" s="50" t="inlineStr">
        <is>
          <t>• Backfilling 2 years completes and is re-runnable without duplicates</t>
        </is>
      </c>
      <c r="V32" s="50" t="n"/>
      <c r="W32" s="51" t="n"/>
    </row>
    <row r="33" ht="30" customHeight="1">
      <c r="A33" s="40" t="inlineStr">
        <is>
          <t>E03-S02</t>
        </is>
      </c>
      <c r="B33" s="41" t="inlineStr">
        <is>
          <t>E03</t>
        </is>
      </c>
      <c r="C33" s="42" t="inlineStr">
        <is>
          <t>HISTORICAL DATA</t>
        </is>
      </c>
      <c r="D33" s="42" t="inlineStr">
        <is>
          <t>Corporate action adjustment</t>
        </is>
      </c>
      <c r="E33" s="42" t="inlineStr">
        <is>
          <t>New</t>
        </is>
      </c>
      <c r="F33" s="43" t="inlineStr">
        <is>
          <t>P0</t>
        </is>
      </c>
      <c r="G33" s="41" t="inlineStr">
        <is>
          <t>1</t>
        </is>
      </c>
      <c r="H33" s="53" t="inlineStr">
        <is>
          <t>Safety-critical</t>
        </is>
      </c>
      <c r="I33" s="41" t="inlineStr">
        <is>
          <t>FEAT</t>
        </is>
      </c>
      <c r="J33" s="45" t="n">
        <v>2</v>
      </c>
      <c r="K33" s="42" t="inlineStr">
        <is>
          <t>E03-S01</t>
        </is>
      </c>
      <c r="L33" s="42" t="n"/>
      <c r="M33" s="46" t="n"/>
      <c r="N33" s="47" t="n"/>
      <c r="O33" s="48" t="n"/>
      <c r="P33" s="48" t="n"/>
      <c r="Q33" s="49" t="n"/>
      <c r="R33" s="41" t="n">
        <v>5</v>
      </c>
      <c r="S33" s="50" t="inlineStr">
        <is>
          <t>As an analyst, I want historical prices adjusted for splits and bonuses, so that moving averages do not show phantom breakouts.</t>
        </is>
      </c>
      <c r="T33" s="50" t="inlineStr">
        <is>
          <t>1. Fetch corporate action data
2. Apply split/bonus adjustment factors to historical series
3. Mark `is_adjusted` on affected rows
4. Re-adjustment when a new action is announced
5. Verify against a known historical split</t>
        </is>
      </c>
      <c r="U33" s="50" t="inlineStr">
        <is>
          <t>• A known 1:5 split produces a continuous price series across the event
• 🔴 Unadjusted data can never reach the indicator engine</t>
        </is>
      </c>
      <c r="V33" s="50" t="n"/>
      <c r="W33" s="51" t="n"/>
    </row>
    <row r="34" ht="30" customHeight="1">
      <c r="A34" s="40" t="inlineStr">
        <is>
          <t>E03-S03</t>
        </is>
      </c>
      <c r="B34" s="41" t="inlineStr">
        <is>
          <t>E03</t>
        </is>
      </c>
      <c r="C34" s="42" t="inlineStr">
        <is>
          <t>HISTORICAL DATA</t>
        </is>
      </c>
      <c r="D34" s="42" t="inlineStr">
        <is>
          <t>Intraday history backfill</t>
        </is>
      </c>
      <c r="E34" s="42" t="inlineStr">
        <is>
          <t>New</t>
        </is>
      </c>
      <c r="F34" s="43" t="inlineStr">
        <is>
          <t>P0</t>
        </is>
      </c>
      <c r="G34" s="41" t="inlineStr">
        <is>
          <t>1</t>
        </is>
      </c>
      <c r="H34" s="52" t="inlineStr">
        <is>
          <t>Correctness-critical</t>
        </is>
      </c>
      <c r="I34" s="41" t="inlineStr">
        <is>
          <t>FEAT</t>
        </is>
      </c>
      <c r="J34" s="45" t="n">
        <v>1.5</v>
      </c>
      <c r="K34" s="42" t="inlineStr">
        <is>
          <t>E02-S03</t>
        </is>
      </c>
      <c r="L34" s="42" t="n"/>
      <c r="M34" s="46" t="n"/>
      <c r="N34" s="47" t="n"/>
      <c r="O34" s="48" t="n"/>
      <c r="P34" s="48" t="n"/>
      <c r="Q34" s="49" t="n"/>
      <c r="R34" s="41" t="n">
        <v>4</v>
      </c>
      <c r="S34" s="50" t="inlineStr">
        <is>
          <t>As a backtester, I need minute-level history, so that strategies can be validated on realistic intraday data.</t>
        </is>
      </c>
      <c r="T34" s="50" t="inlineStr">
        <is>
          <t>1. Paged historical fetch respecting rate limits
2. Backfill orchestration across the universe
3. Resume from interruption
4. Progress reporting (this takes hours)</t>
        </is>
      </c>
      <c r="U34" s="50" t="n"/>
      <c r="V34" s="50" t="n"/>
      <c r="W34" s="51" t="n"/>
    </row>
    <row r="35" ht="30" customHeight="1">
      <c r="A35" s="40" t="inlineStr">
        <is>
          <t>E03-S04</t>
        </is>
      </c>
      <c r="B35" s="41" t="inlineStr">
        <is>
          <t>E03</t>
        </is>
      </c>
      <c r="C35" s="42" t="inlineStr">
        <is>
          <t>HISTORICAL DATA</t>
        </is>
      </c>
      <c r="D35" s="42" t="inlineStr">
        <is>
          <t>Data quality validation</t>
        </is>
      </c>
      <c r="E35" s="42" t="inlineStr">
        <is>
          <t>New</t>
        </is>
      </c>
      <c r="F35" s="43" t="inlineStr">
        <is>
          <t>P0</t>
        </is>
      </c>
      <c r="G35" s="41" t="inlineStr">
        <is>
          <t>1</t>
        </is>
      </c>
      <c r="H35" s="52" t="inlineStr">
        <is>
          <t>Correctness-critical</t>
        </is>
      </c>
      <c r="I35" s="41" t="inlineStr">
        <is>
          <t>TEST</t>
        </is>
      </c>
      <c r="J35" s="45" t="n">
        <v>1.5</v>
      </c>
      <c r="K35" s="42" t="inlineStr">
        <is>
          <t>E03-S01</t>
        </is>
      </c>
      <c r="L35" s="42" t="n"/>
      <c r="M35" s="46" t="n"/>
      <c r="N35" s="47" t="n"/>
      <c r="O35" s="48" t="n"/>
      <c r="P35" s="48" t="n"/>
      <c r="Q35" s="49" t="n"/>
      <c r="R35" s="41" t="n">
        <v>5</v>
      </c>
      <c r="S35" s="50" t="inlineStr">
        <is>
          <t>As a developer, I want stored data validated, so that silent corruption is caught before it reaches analysis.</t>
        </is>
      </c>
      <c r="T35" s="50" t="inlineStr">
        <is>
          <t>1. Gap detection (missing sessions, missing bars within a session)
2. OHLC coherence check across the whole store
3. Volume sanity (zero-volume bars flagged)
4. Price continuity (unexplained jumps beyond circuit limits)
5. Report generated after every sync</t>
        </is>
      </c>
      <c r="U35" s="50" t="inlineStr">
        <is>
          <t>• A deliberately corrupted row is reported by the next validation run</t>
        </is>
      </c>
      <c r="V35" s="50" t="n"/>
      <c r="W35" s="51" t="n"/>
    </row>
    <row r="36" ht="30" customHeight="1">
      <c r="A36" s="40" t="inlineStr">
        <is>
          <t>E03-S05</t>
        </is>
      </c>
      <c r="B36" s="41" t="inlineStr">
        <is>
          <t>E03</t>
        </is>
      </c>
      <c r="C36" s="42" t="inlineStr">
        <is>
          <t>HISTORICAL DATA</t>
        </is>
      </c>
      <c r="D36" s="42" t="inlineStr">
        <is>
          <t>Multi-timeframe aggregation from stored data</t>
        </is>
      </c>
      <c r="E36" s="42" t="inlineStr">
        <is>
          <t>New</t>
        </is>
      </c>
      <c r="F36" s="43" t="inlineStr">
        <is>
          <t>P0</t>
        </is>
      </c>
      <c r="G36" s="41" t="inlineStr">
        <is>
          <t>2</t>
        </is>
      </c>
      <c r="H36" s="52" t="inlineStr">
        <is>
          <t>Correctness-critical</t>
        </is>
      </c>
      <c r="I36" s="41" t="inlineStr">
        <is>
          <t>FEAT</t>
        </is>
      </c>
      <c r="J36" s="45" t="n">
        <v>1</v>
      </c>
      <c r="K36" s="42" t="inlineStr">
        <is>
          <t>E03-S01</t>
        </is>
      </c>
      <c r="L36" s="42" t="n"/>
      <c r="M36" s="46" t="n"/>
      <c r="N36" s="47" t="n"/>
      <c r="O36" s="48" t="n"/>
      <c r="P36" s="48" t="n"/>
      <c r="Q36" s="49" t="n"/>
      <c r="R36" s="41" t="n">
        <v>3</v>
      </c>
      <c r="S36" s="50" t="inlineStr">
        <is>
          <t>As the pre-market job, I need higher timeframes derived from daily data, so that weekly and monthly analysis is available without separate downloads.</t>
        </is>
      </c>
      <c r="T36" s="50" t="inlineStr">
        <is>
          <t>1. Aggregate daily → weekly with correct session boundaries
2. Handle partial weeks at period edges
3. Verify aggregation against broker-supplied weekly bars</t>
        </is>
      </c>
      <c r="U36" s="50" t="n"/>
      <c r="V36" s="50" t="n"/>
      <c r="W36" s="51" t="n"/>
    </row>
    <row r="37" ht="30" customHeight="1">
      <c r="A37" s="40" t="inlineStr">
        <is>
          <t>E03-S06</t>
        </is>
      </c>
      <c r="B37" s="41" t="inlineStr">
        <is>
          <t>E03</t>
        </is>
      </c>
      <c r="C37" s="42" t="inlineStr">
        <is>
          <t>HISTORICAL DATA</t>
        </is>
      </c>
      <c r="D37" s="42" t="inlineStr">
        <is>
          <t>Tick archival to Parquet</t>
        </is>
      </c>
      <c r="E37" s="42" t="inlineStr">
        <is>
          <t>New</t>
        </is>
      </c>
      <c r="F37" s="54" t="inlineStr">
        <is>
          <t>P2</t>
        </is>
      </c>
      <c r="G37" s="41" t="inlineStr">
        <is>
          <t>6</t>
        </is>
      </c>
      <c r="H37" s="44" t="inlineStr">
        <is>
          <t>Low</t>
        </is>
      </c>
      <c r="I37" s="41" t="inlineStr">
        <is>
          <t>OPS</t>
        </is>
      </c>
      <c r="J37" s="45" t="n">
        <v>0.5</v>
      </c>
      <c r="K37" s="42" t="inlineStr">
        <is>
          <t>E05-S01</t>
        </is>
      </c>
      <c r="L37" s="42" t="n"/>
      <c r="M37" s="46" t="n"/>
      <c r="N37" s="47" t="n"/>
      <c r="O37" s="48" t="n"/>
      <c r="P37" s="48" t="n"/>
      <c r="Q37" s="49" t="n"/>
      <c r="R37" s="41" t="n">
        <v>0</v>
      </c>
      <c r="S37" s="50" t="inlineStr">
        <is>
          <t>As a developer, I want raw ticks archived, so that the replay harness can reproduce a session exactly.</t>
        </is>
      </c>
      <c r="T37" s="50" t="n"/>
      <c r="U37" s="50" t="n"/>
      <c r="V37" s="50" t="n"/>
      <c r="W37" s="51" t="n"/>
    </row>
    <row r="38" ht="30" customHeight="1">
      <c r="A38" s="40" t="inlineStr">
        <is>
          <t>E04-S01</t>
        </is>
      </c>
      <c r="B38" s="41" t="inlineStr">
        <is>
          <t>E04</t>
        </is>
      </c>
      <c r="C38" s="42" t="inlineStr">
        <is>
          <t>INDIA HAZARD LISTS</t>
        </is>
      </c>
      <c r="D38" s="42" t="inlineStr">
        <is>
          <t>ASM/GSM surveillance list fetcher</t>
        </is>
      </c>
      <c r="E38" s="42" t="inlineStr">
        <is>
          <t>New</t>
        </is>
      </c>
      <c r="F38" s="43" t="inlineStr">
        <is>
          <t>P0</t>
        </is>
      </c>
      <c r="G38" s="41" t="inlineStr">
        <is>
          <t>1</t>
        </is>
      </c>
      <c r="H38" s="53" t="inlineStr">
        <is>
          <t>Safety-critical</t>
        </is>
      </c>
      <c r="I38" s="41" t="inlineStr">
        <is>
          <t>FEAT</t>
        </is>
      </c>
      <c r="J38" s="45" t="n">
        <v>1</v>
      </c>
      <c r="K38" s="42" t="inlineStr">
        <is>
          <t>E01-S02</t>
        </is>
      </c>
      <c r="L38" s="42" t="n"/>
      <c r="M38" s="46" t="n"/>
      <c r="N38" s="47" t="n"/>
      <c r="O38" s="48" t="n"/>
      <c r="P38" s="48" t="n"/>
      <c r="Q38" s="49" t="n"/>
      <c r="R38" s="41" t="n">
        <v>5</v>
      </c>
      <c r="S38" s="50" t="inlineStr">
        <is>
          <t>As a risk-aware trader, I want surveillance-listed stocks excluded, so that I never trade a name carrying 100% margin or reduced circuit bands.</t>
        </is>
      </c>
      <c r="T38" s="50" t="inlineStr">
        <is>
          <t>1. Fetch ASM (short-term and long-term) lists
2. Fetch GSM list with stage
3. Upsert into `instrument_daily_status`
4. Alert on newly-added names currently held
5. Handle source-format changes without silent failure</t>
        </is>
      </c>
      <c r="U38" s="50" t="inlineStr">
        <is>
          <t>• A stock added to ASM overnight is excluded from today's universe
• 🔴 A fetch failure blocks the trading day rather than proceeding blind</t>
        </is>
      </c>
      <c r="V38" s="50" t="n"/>
      <c r="W38" s="51" t="n"/>
    </row>
    <row r="39" ht="30" customHeight="1">
      <c r="A39" s="40" t="inlineStr">
        <is>
          <t>E04-S02</t>
        </is>
      </c>
      <c r="B39" s="41" t="inlineStr">
        <is>
          <t>E04</t>
        </is>
      </c>
      <c r="C39" s="42" t="inlineStr">
        <is>
          <t>INDIA HAZARD LISTS</t>
        </is>
      </c>
      <c r="D39" s="42" t="inlineStr">
        <is>
          <t>T2T (Trade-to-Trade) list</t>
        </is>
      </c>
      <c r="E39" s="42" t="inlineStr">
        <is>
          <t>New</t>
        </is>
      </c>
      <c r="F39" s="43" t="inlineStr">
        <is>
          <t>P0</t>
        </is>
      </c>
      <c r="G39" s="41" t="inlineStr">
        <is>
          <t>1</t>
        </is>
      </c>
      <c r="H39" s="53" t="inlineStr">
        <is>
          <t>Safety-critical</t>
        </is>
      </c>
      <c r="I39" s="41" t="inlineStr">
        <is>
          <t>FEAT</t>
        </is>
      </c>
      <c r="J39" s="45" t="n">
        <v>0.5</v>
      </c>
      <c r="K39" s="42" t="inlineStr">
        <is>
          <t>E01-S02</t>
        </is>
      </c>
      <c r="L39" s="42" t="n"/>
      <c r="M39" s="46" t="n"/>
      <c r="N39" s="47" t="n"/>
      <c r="O39" s="48" t="n"/>
      <c r="P39" s="48" t="n"/>
      <c r="Q39" s="49" t="n"/>
      <c r="R39" s="41" t="n">
        <v>3</v>
      </c>
      <c r="S39" s="50" t="inlineStr">
        <is>
          <t>As a trader, I want T2T stocks excluded absolutely, so that I never place an intraday order that becomes an unintended delivery obligation.</t>
        </is>
      </c>
      <c r="T39" s="50" t="inlineStr">
        <is>
          <t>1. Fetch the T2T segment list
2. Mark `is_t2t` in daily status
3. Hard filter — not configurable (config validation already enforces this)</t>
        </is>
      </c>
      <c r="U39" s="50" t="inlineStr">
        <is>
          <t>• 🔴 No T2T symbol can reach the watchlist under any configuration</t>
        </is>
      </c>
      <c r="V39" s="50" t="n"/>
      <c r="W39" s="51" t="n"/>
    </row>
    <row r="40" ht="30" customHeight="1">
      <c r="A40" s="40" t="inlineStr">
        <is>
          <t>E04-S03</t>
        </is>
      </c>
      <c r="B40" s="41" t="inlineStr">
        <is>
          <t>E04</t>
        </is>
      </c>
      <c r="C40" s="42" t="inlineStr">
        <is>
          <t>INDIA HAZARD LISTS</t>
        </is>
      </c>
      <c r="D40" s="42" t="inlineStr">
        <is>
          <t>F&amp;O ban list</t>
        </is>
      </c>
      <c r="E40" s="42" t="inlineStr">
        <is>
          <t>New</t>
        </is>
      </c>
      <c r="F40" s="43" t="inlineStr">
        <is>
          <t>P0</t>
        </is>
      </c>
      <c r="G40" s="41" t="inlineStr">
        <is>
          <t>1</t>
        </is>
      </c>
      <c r="H40" s="53" t="inlineStr">
        <is>
          <t>Safety-critical</t>
        </is>
      </c>
      <c r="I40" s="41" t="inlineStr">
        <is>
          <t>FEAT</t>
        </is>
      </c>
      <c r="J40" s="45" t="n">
        <v>0.5</v>
      </c>
      <c r="K40" s="42" t="inlineStr">
        <is>
          <t>E01-S02</t>
        </is>
      </c>
      <c r="L40" s="42" t="n"/>
      <c r="M40" s="46" t="n"/>
      <c r="N40" s="47" t="n"/>
      <c r="O40" s="48" t="n"/>
      <c r="P40" s="48" t="n"/>
      <c r="Q40" s="49" t="n"/>
      <c r="R40" s="41" t="n">
        <v>3</v>
      </c>
      <c r="S40" s="50" t="inlineStr">
        <is>
          <t>As a trader, I want ban-period stocks flagged, so that I avoid a penalty of 1% of position value (min ₹5,000, max ₹1,00,000).</t>
        </is>
      </c>
      <c r="T40" s="50" t="inlineStr">
        <is>
          <t>1. Fetch the daily ban list
2. Mark `is_fno_ban`
3. Exclude from F&amp;O trading; flag (not exclude) for equity</t>
        </is>
      </c>
      <c r="U40" s="50" t="n"/>
      <c r="V40" s="50" t="n"/>
      <c r="W40" s="51" t="n"/>
    </row>
    <row r="41" ht="30" customHeight="1">
      <c r="A41" s="40" t="inlineStr">
        <is>
          <t>E04-S04</t>
        </is>
      </c>
      <c r="B41" s="41" t="inlineStr">
        <is>
          <t>E04</t>
        </is>
      </c>
      <c r="C41" s="42" t="inlineStr">
        <is>
          <t>INDIA HAZARD LISTS</t>
        </is>
      </c>
      <c r="D41" s="42" t="inlineStr">
        <is>
          <t>Circuit bands and price limits</t>
        </is>
      </c>
      <c r="E41" s="42" t="inlineStr">
        <is>
          <t>New</t>
        </is>
      </c>
      <c r="F41" s="43" t="inlineStr">
        <is>
          <t>P0</t>
        </is>
      </c>
      <c r="G41" s="41" t="inlineStr">
        <is>
          <t>1</t>
        </is>
      </c>
      <c r="H41" s="52" t="inlineStr">
        <is>
          <t>Correctness-critical</t>
        </is>
      </c>
      <c r="I41" s="41" t="inlineStr">
        <is>
          <t>FEAT</t>
        </is>
      </c>
      <c r="J41" s="45" t="n">
        <v>1</v>
      </c>
      <c r="K41" s="42" t="inlineStr">
        <is>
          <t>E01-S02</t>
        </is>
      </c>
      <c r="L41" s="42" t="n"/>
      <c r="M41" s="46" t="n"/>
      <c r="N41" s="47" t="n"/>
      <c r="O41" s="48" t="n"/>
      <c r="P41" s="48" t="n"/>
      <c r="Q41" s="49" t="n"/>
      <c r="R41" s="41" t="n">
        <v>4</v>
      </c>
      <c r="S41" s="50" t="inlineStr">
        <is>
          <t>As a trader, I want per-stock circuit bands known, so that narrow-band stocks are excluded and orders never target an unreachable price.</t>
        </is>
      </c>
      <c r="T41" s="50" t="inlineStr">
        <is>
          <t>1. Fetch band percentages per symbol
2. Compute upper/lower circuit prices from previous close
3. Filter by `min_circuit_band_pct`
4. Reject orders outside band at validation time</t>
        </is>
      </c>
      <c r="U41" s="50" t="n"/>
      <c r="V41" s="50" t="n"/>
      <c r="W41" s="51" t="n"/>
    </row>
    <row r="42" ht="30" customHeight="1">
      <c r="A42" s="40" t="inlineStr">
        <is>
          <t>E04-S05</t>
        </is>
      </c>
      <c r="B42" s="41" t="inlineStr">
        <is>
          <t>E04</t>
        </is>
      </c>
      <c r="C42" s="42" t="inlineStr">
        <is>
          <t>INDIA HAZARD LISTS</t>
        </is>
      </c>
      <c r="D42" s="42" t="inlineStr">
        <is>
          <t>CAS classification</t>
        </is>
      </c>
      <c r="E42" s="42" t="inlineStr">
        <is>
          <t>New</t>
        </is>
      </c>
      <c r="F42" s="43" t="inlineStr">
        <is>
          <t>P0</t>
        </is>
      </c>
      <c r="G42" s="41" t="inlineStr">
        <is>
          <t>1</t>
        </is>
      </c>
      <c r="H42" s="53" t="inlineStr">
        <is>
          <t>Safety-critical</t>
        </is>
      </c>
      <c r="I42" s="41" t="inlineStr">
        <is>
          <t>FEAT</t>
        </is>
      </c>
      <c r="J42" s="45" t="n">
        <v>1</v>
      </c>
      <c r="K42" s="42" t="inlineStr">
        <is>
          <t>E01-S02</t>
        </is>
      </c>
      <c r="L42" s="42" t="n"/>
      <c r="M42" s="46" t="n"/>
      <c r="N42" s="47" t="n"/>
      <c r="O42" s="48" t="n"/>
      <c r="P42" s="48" t="n"/>
      <c r="Q42" s="49" t="n"/>
      <c r="R42" s="41" t="n">
        <v>4</v>
      </c>
      <c r="S42" s="50" t="inlineStr">
        <is>
          <t>As a position manager, I need to know which stocks are in CAS scope, so that each position uses the correct square-off deadline.</t>
        </is>
      </c>
      <c r="T42" s="50" t="inlineStr">
        <is>
          <t>1. Determine CAS-scope (Category I / F&amp;O) symbols
2. Mark `is_cas_stock`
3. Wire into `MarketCalendar.squareoff_deadline`
4. Alert on classification changes</t>
        </is>
      </c>
      <c r="U42" s="50" t="inlineStr">
        <is>
          <t>• 🔴 A CAS stock's deadline is 15:10, a non-CAS stock's is 15:20, per position</t>
        </is>
      </c>
      <c r="V42" s="50" t="n"/>
      <c r="W42" s="51" t="n"/>
    </row>
    <row r="43" ht="30" customHeight="1">
      <c r="A43" s="40" t="inlineStr">
        <is>
          <t>E04-S06</t>
        </is>
      </c>
      <c r="B43" s="41" t="inlineStr">
        <is>
          <t>E04</t>
        </is>
      </c>
      <c r="C43" s="42" t="inlineStr">
        <is>
          <t>INDIA HAZARD LISTS</t>
        </is>
      </c>
      <c r="D43" s="42" t="inlineStr">
        <is>
          <t>Earnings and corporate action calendar</t>
        </is>
      </c>
      <c r="E43" s="42" t="inlineStr">
        <is>
          <t>New</t>
        </is>
      </c>
      <c r="F43" s="55" t="inlineStr">
        <is>
          <t>P1</t>
        </is>
      </c>
      <c r="G43" s="41" t="inlineStr">
        <is>
          <t>1</t>
        </is>
      </c>
      <c r="H43" s="52" t="inlineStr">
        <is>
          <t>Correctness-critical</t>
        </is>
      </c>
      <c r="I43" s="41" t="inlineStr">
        <is>
          <t>FEAT</t>
        </is>
      </c>
      <c r="J43" s="45" t="n">
        <v>1</v>
      </c>
      <c r="K43" s="42" t="inlineStr">
        <is>
          <t>E01-S02</t>
        </is>
      </c>
      <c r="L43" s="42" t="n"/>
      <c r="M43" s="46" t="n"/>
      <c r="N43" s="47" t="n"/>
      <c r="O43" s="48" t="n"/>
      <c r="P43" s="48" t="n"/>
      <c r="Q43" s="49" t="n"/>
      <c r="R43" s="41" t="n">
        <v>4</v>
      </c>
      <c r="S43" s="50" t="inlineStr">
        <is>
          <t>As a trader, I want earnings-day stocks excluded, so that a technical thesis is not invalidated by a binary event.</t>
        </is>
      </c>
      <c r="T43" s="50" t="inlineStr">
        <is>
          <t>1. Fetch results calendar
2. Fetch dividend/split/bonus announcements
3. Mark `has_earnings_today`
4. Configurable exclusion window (before/after)</t>
        </is>
      </c>
      <c r="U43" s="50" t="n"/>
      <c r="V43" s="50" t="n"/>
      <c r="W43" s="51" t="n"/>
    </row>
    <row r="44" ht="30" customHeight="1">
      <c r="A44" s="40" t="inlineStr">
        <is>
          <t>E04-S07</t>
        </is>
      </c>
      <c r="B44" s="41" t="inlineStr">
        <is>
          <t>E04</t>
        </is>
      </c>
      <c r="C44" s="42" t="inlineStr">
        <is>
          <t>INDIA HAZARD LISTS</t>
        </is>
      </c>
      <c r="D44" s="42" t="inlineStr">
        <is>
          <t>NSE holiday calendar — complete it</t>
        </is>
      </c>
      <c r="E44" s="42" t="inlineStr">
        <is>
          <t>New</t>
        </is>
      </c>
      <c r="F44" s="43" t="inlineStr">
        <is>
          <t>P0</t>
        </is>
      </c>
      <c r="G44" s="41" t="inlineStr">
        <is>
          <t>1</t>
        </is>
      </c>
      <c r="H44" s="53" t="inlineStr">
        <is>
          <t>Safety-critical</t>
        </is>
      </c>
      <c r="I44" s="41" t="inlineStr">
        <is>
          <t>OPS</t>
        </is>
      </c>
      <c r="J44" s="45" t="n">
        <v>1</v>
      </c>
      <c r="K44" s="42" t="inlineStr">
        <is>
          <t>none · **carried debt**</t>
        </is>
      </c>
      <c r="L44" s="42" t="n"/>
      <c r="M44" s="46" t="n"/>
      <c r="N44" s="47" t="n"/>
      <c r="O44" s="48" t="n"/>
      <c r="P44" s="48" t="n"/>
      <c r="Q44" s="49" t="n"/>
      <c r="R44" s="41" t="n">
        <v>5</v>
      </c>
      <c r="S44" s="50" t="inlineStr">
        <is>
          <t>As a system, I need the complete NSE holiday list, so that I do not treat a market holiday as a trading day.</t>
        </is>
      </c>
      <c r="T44" s="50"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50" t="inlineStr">
        <is>
          <t>• 🔴 `make doctor` reports the calendar as verified
• Every holiday in the circular is excluded by `is_trading_day`</t>
        </is>
      </c>
      <c r="V44" s="50" t="n"/>
      <c r="W44" s="51" t="n"/>
    </row>
    <row r="45" ht="30" customHeight="1">
      <c r="A45" s="40" t="inlineStr">
        <is>
          <t>E05-S01</t>
        </is>
      </c>
      <c r="B45" s="41" t="inlineStr">
        <is>
          <t>E05</t>
        </is>
      </c>
      <c r="C45" s="42" t="inlineStr">
        <is>
          <t>MARKET DATA INGESTION</t>
        </is>
      </c>
      <c r="D45" s="42" t="inlineStr">
        <is>
          <t>WebSocket client with reconnection</t>
        </is>
      </c>
      <c r="E45" s="42" t="inlineStr">
        <is>
          <t>New</t>
        </is>
      </c>
      <c r="F45" s="43" t="inlineStr">
        <is>
          <t>P0</t>
        </is>
      </c>
      <c r="G45" s="41" t="inlineStr">
        <is>
          <t>1</t>
        </is>
      </c>
      <c r="H45" s="52" t="inlineStr">
        <is>
          <t>Correctness-critical</t>
        </is>
      </c>
      <c r="I45" s="41" t="inlineStr">
        <is>
          <t>FEAT</t>
        </is>
      </c>
      <c r="J45" s="45" t="n">
        <v>2</v>
      </c>
      <c r="K45" s="42" t="inlineStr">
        <is>
          <t>E02-S03</t>
        </is>
      </c>
      <c r="L45" s="42" t="n"/>
      <c r="M45" s="46" t="n"/>
      <c r="N45" s="47" t="n"/>
      <c r="O45" s="48" t="n"/>
      <c r="P45" s="48" t="n"/>
      <c r="Q45" s="49" t="n"/>
      <c r="R45" s="41" t="n">
        <v>6</v>
      </c>
      <c r="S45" s="50" t="inlineStr">
        <is>
          <t>As a system, I want a resilient tick stream, so that a dropped connection does not silently stop the market data flow.</t>
        </is>
      </c>
      <c r="T45" s="50"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50" t="inlineStr">
        <is>
          <t>• A 5-minute forced disconnect recovers and flags the gap
• 🟠 Indicators are marked stale rather than computing across the hole</t>
        </is>
      </c>
      <c r="V45" s="50" t="n"/>
      <c r="W45" s="51" t="n"/>
    </row>
    <row r="46" ht="30" customHeight="1">
      <c r="A46" s="40" t="inlineStr">
        <is>
          <t>E05-S02</t>
        </is>
      </c>
      <c r="B46" s="41" t="inlineStr">
        <is>
          <t>E05</t>
        </is>
      </c>
      <c r="C46" s="42" t="inlineStr">
        <is>
          <t>MARKET DATA INGESTION</t>
        </is>
      </c>
      <c r="D46" s="42" t="inlineStr">
        <is>
          <t>Tick validation</t>
        </is>
      </c>
      <c r="E46" s="42" t="inlineStr">
        <is>
          <t>New</t>
        </is>
      </c>
      <c r="F46" s="43" t="inlineStr">
        <is>
          <t>P0</t>
        </is>
      </c>
      <c r="G46" s="41" t="inlineStr">
        <is>
          <t>1</t>
        </is>
      </c>
      <c r="H46" s="52" t="inlineStr">
        <is>
          <t>Correctness-critical</t>
        </is>
      </c>
      <c r="I46" s="41" t="inlineStr">
        <is>
          <t>FEAT</t>
        </is>
      </c>
      <c r="J46" s="45" t="n">
        <v>1</v>
      </c>
      <c r="K46" s="42" t="inlineStr">
        <is>
          <t>E05-S01</t>
        </is>
      </c>
      <c r="L46" s="42" t="n"/>
      <c r="M46" s="46" t="n"/>
      <c r="N46" s="47" t="n"/>
      <c r="O46" s="48" t="n"/>
      <c r="P46" s="48" t="n"/>
      <c r="Q46" s="49" t="n"/>
      <c r="R46" s="41" t="n">
        <v>5</v>
      </c>
      <c r="S46" s="50" t="inlineStr">
        <is>
          <t>As a data pipeline, I want malformed ticks rejected at the edge, so that nothing downstream has to defend against them.</t>
        </is>
      </c>
      <c r="T46" s="50" t="inlineStr">
        <is>
          <t>1. Reject null/zero/negative price
2. Reject negative volume
3. Reject timestamp outside ±5s of local clock (broker clock skew)
4. Metric per rejection reason
5. Log rejections — a cluster indicates a feed problem</t>
        </is>
      </c>
      <c r="U46" s="50" t="n"/>
      <c r="V46" s="50" t="n"/>
      <c r="W46" s="51" t="n"/>
    </row>
    <row r="47" ht="30" customHeight="1">
      <c r="A47" s="40" t="inlineStr">
        <is>
          <t>E05-S03</t>
        </is>
      </c>
      <c r="B47" s="41" t="inlineStr">
        <is>
          <t>E05</t>
        </is>
      </c>
      <c r="C47" s="42" t="inlineStr">
        <is>
          <t>MARKET DATA INGESTION</t>
        </is>
      </c>
      <c r="D47" s="42" t="inlineStr">
        <is>
          <t>Deduplication</t>
        </is>
      </c>
      <c r="E47" s="42" t="inlineStr">
        <is>
          <t>New</t>
        </is>
      </c>
      <c r="F47" s="43" t="inlineStr">
        <is>
          <t>P0</t>
        </is>
      </c>
      <c r="G47" s="41" t="inlineStr">
        <is>
          <t>1</t>
        </is>
      </c>
      <c r="H47" s="52" t="inlineStr">
        <is>
          <t>Correctness-critical</t>
        </is>
      </c>
      <c r="I47" s="41" t="inlineStr">
        <is>
          <t>FEAT</t>
        </is>
      </c>
      <c r="J47" s="45" t="n">
        <v>0.5</v>
      </c>
      <c r="K47" s="42" t="inlineStr">
        <is>
          <t>E05-S02</t>
        </is>
      </c>
      <c r="L47" s="42" t="n"/>
      <c r="M47" s="46" t="n"/>
      <c r="N47" s="47" t="n"/>
      <c r="O47" s="48" t="n"/>
      <c r="P47" s="48" t="n"/>
      <c r="Q47" s="49" t="n"/>
      <c r="R47" s="41" t="n">
        <v>3</v>
      </c>
      <c r="S47" s="50" t="inlineStr">
        <is>
          <t>As a data pipeline, I want duplicate ticks dropped, so that WebSocket replay after a reconnect does not double-count volume.</t>
        </is>
      </c>
      <c r="T47" s="50" t="inlineStr">
        <is>
          <t>1. Bounded LRU per symbol on (symbol, exchange_ts, ltp, volume)
2. Size-capped to bound memory
3. Metric for duplicates dropped</t>
        </is>
      </c>
      <c r="U47" s="50" t="n"/>
      <c r="V47" s="50" t="n"/>
      <c r="W47" s="51" t="n"/>
    </row>
    <row r="48" ht="30" customHeight="1">
      <c r="A48" s="40" t="inlineStr">
        <is>
          <t>E05-S04</t>
        </is>
      </c>
      <c r="B48" s="41" t="inlineStr">
        <is>
          <t>E05</t>
        </is>
      </c>
      <c r="C48" s="42" t="inlineStr">
        <is>
          <t>MARKET DATA INGESTION</t>
        </is>
      </c>
      <c r="D48" s="42" t="inlineStr">
        <is>
          <t>Outlier filtering</t>
        </is>
      </c>
      <c r="E48" s="42" t="inlineStr">
        <is>
          <t>New</t>
        </is>
      </c>
      <c r="F48" s="43" t="inlineStr">
        <is>
          <t>P0</t>
        </is>
      </c>
      <c r="G48" s="41" t="inlineStr">
        <is>
          <t>1</t>
        </is>
      </c>
      <c r="H48" s="53" t="inlineStr">
        <is>
          <t>Safety-critical</t>
        </is>
      </c>
      <c r="I48" s="41" t="inlineStr">
        <is>
          <t>FEAT</t>
        </is>
      </c>
      <c r="J48" s="45" t="n">
        <v>1</v>
      </c>
      <c r="K48" s="42" t="inlineStr">
        <is>
          <t>E05-S03</t>
        </is>
      </c>
      <c r="L48" s="42" t="n"/>
      <c r="M48" s="46" t="n"/>
      <c r="N48" s="47" t="n"/>
      <c r="O48" s="48" t="n"/>
      <c r="P48" s="48" t="n"/>
      <c r="Q48" s="49" t="n"/>
      <c r="R48" s="41" t="n">
        <v>4</v>
      </c>
      <c r="S48" s="50" t="inlineStr">
        <is>
          <t>As an analyst, I want bad prints rejected, so that one erroneous tick does not permanently corrupt an EMA.</t>
        </is>
      </c>
      <c r="T48" s="50" t="inlineStr">
        <is>
          <t>1. Reject if move exceeds `max(5 × ATR%, 2%)`
2. Cross-check against circuit limits — a price outside them is impossible
3. Log rather than silently drop
4. Alert on a cluster of rejections for one symbol</t>
        </is>
      </c>
      <c r="U48" s="50" t="inlineStr">
        <is>
          <t>• 🔴 A single injected bad print does not change any indicator value</t>
        </is>
      </c>
      <c r="V48" s="50" t="n"/>
      <c r="W48" s="51" t="n"/>
    </row>
    <row r="49" ht="30" customHeight="1">
      <c r="A49" s="40" t="inlineStr">
        <is>
          <t>E05-S05</t>
        </is>
      </c>
      <c r="B49" s="41" t="inlineStr">
        <is>
          <t>E05</t>
        </is>
      </c>
      <c r="C49" s="42" t="inlineStr">
        <is>
          <t>MARKET DATA INGESTION</t>
        </is>
      </c>
      <c r="D49" s="42" t="inlineStr">
        <is>
          <t>Normalisation</t>
        </is>
      </c>
      <c r="E49" s="42" t="inlineStr">
        <is>
          <t>New</t>
        </is>
      </c>
      <c r="F49" s="43" t="inlineStr">
        <is>
          <t>P0</t>
        </is>
      </c>
      <c r="G49" s="41" t="inlineStr">
        <is>
          <t>1</t>
        </is>
      </c>
      <c r="H49" s="52" t="inlineStr">
        <is>
          <t>Correctness-critical</t>
        </is>
      </c>
      <c r="I49" s="41" t="inlineStr">
        <is>
          <t>FEAT</t>
        </is>
      </c>
      <c r="J49" s="45" t="n">
        <v>0.5</v>
      </c>
      <c r="K49" s="42" t="inlineStr">
        <is>
          <t>E05-S04</t>
        </is>
      </c>
      <c r="L49" s="42" t="n"/>
      <c r="M49" s="46" t="n"/>
      <c r="N49" s="47" t="n"/>
      <c r="O49" s="48" t="n"/>
      <c r="P49" s="48" t="n"/>
      <c r="Q49" s="49" t="n"/>
      <c r="R49" s="41" t="n">
        <v>3</v>
      </c>
      <c r="S49" s="50" t="inlineStr">
        <is>
          <t>As a developer, I want broker payloads converted to canonical types at the boundary, so that no broker-specific shape leaks downstream.</t>
        </is>
      </c>
      <c r="T49" s="50" t="inlineStr">
        <is>
          <t>1. Kite payload → `Tick` model
2. All timestamps → UTC
3. All prices → `Decimal`</t>
        </is>
      </c>
      <c r="U49" s="50" t="n"/>
      <c r="V49" s="50" t="n"/>
      <c r="W49" s="51" t="n"/>
    </row>
    <row r="50" ht="30" customHeight="1">
      <c r="A50" s="40" t="inlineStr">
        <is>
          <t>E05-S06</t>
        </is>
      </c>
      <c r="B50" s="41" t="inlineStr">
        <is>
          <t>E05</t>
        </is>
      </c>
      <c r="C50" s="42" t="inlineStr">
        <is>
          <t>MARKET DATA INGESTION</t>
        </is>
      </c>
      <c r="D50" s="42" t="inlineStr">
        <is>
          <t>Bar builder with session alignment</t>
        </is>
      </c>
      <c r="E50" s="42" t="inlineStr">
        <is>
          <t>New</t>
        </is>
      </c>
      <c r="F50" s="43" t="inlineStr">
        <is>
          <t>P0</t>
        </is>
      </c>
      <c r="G50" s="41" t="inlineStr">
        <is>
          <t>1</t>
        </is>
      </c>
      <c r="H50" s="53" t="inlineStr">
        <is>
          <t>Safety-critical</t>
        </is>
      </c>
      <c r="I50" s="41" t="inlineStr">
        <is>
          <t>FEAT</t>
        </is>
      </c>
      <c r="J50" s="45" t="n">
        <v>2</v>
      </c>
      <c r="K50" s="42" t="inlineStr">
        <is>
          <t>E05-S05</t>
        </is>
      </c>
      <c r="L50" s="42" t="n"/>
      <c r="M50" s="46" t="n"/>
      <c r="N50" s="47" t="n"/>
      <c r="O50" s="48" t="n"/>
      <c r="P50" s="48" t="n"/>
      <c r="Q50" s="49" t="n"/>
      <c r="R50" s="41" t="n">
        <v>5</v>
      </c>
      <c r="S50" s="50" t="inlineStr">
        <is>
          <t>As an analyst, I want bars aligned to the session start, so that a 15-minute bar runs 09:15–09:30 and indicators are not silently offset.</t>
        </is>
      </c>
      <c r="T50" s="50" t="inlineStr">
        <is>
          <t>1. In-progress bar per (symbol, timeframe)
2. Boundary detection via `MarketCalendar.bar_open_time`
3. Seal and publish on boundary crossing
4. Emit in-progress updates with `is_final=False`
5. Cascade 1m → 5m → 15m → 1h within the builder</t>
        </is>
      </c>
      <c r="U50" s="50" t="inlineStr">
        <is>
          <t>• 🔴 Bar boundaries match the calendar exactly across a full session
• Consumers can distinguish final from in-progress bars</t>
        </is>
      </c>
      <c r="V50" s="50" t="n"/>
      <c r="W50" s="51" t="n"/>
    </row>
    <row r="51" ht="30" customHeight="1">
      <c r="A51" s="40" t="inlineStr">
        <is>
          <t>E05-S07</t>
        </is>
      </c>
      <c r="B51" s="41" t="inlineStr">
        <is>
          <t>E05</t>
        </is>
      </c>
      <c r="C51" s="42" t="inlineStr">
        <is>
          <t>MARKET DATA INGESTION</t>
        </is>
      </c>
      <c r="D51" s="42" t="inlineStr">
        <is>
          <t>Synthetic bar handling</t>
        </is>
      </c>
      <c r="E51" s="42" t="inlineStr">
        <is>
          <t>New</t>
        </is>
      </c>
      <c r="F51" s="43" t="inlineStr">
        <is>
          <t>P0</t>
        </is>
      </c>
      <c r="G51" s="41" t="inlineStr">
        <is>
          <t>1</t>
        </is>
      </c>
      <c r="H51" s="52" t="inlineStr">
        <is>
          <t>Correctness-critical</t>
        </is>
      </c>
      <c r="I51" s="41" t="inlineStr">
        <is>
          <t>FEAT</t>
        </is>
      </c>
      <c r="J51" s="45" t="n">
        <v>0.5</v>
      </c>
      <c r="K51" s="42" t="inlineStr">
        <is>
          <t>E05-S06</t>
        </is>
      </c>
      <c r="L51" s="42" t="n"/>
      <c r="M51" s="46" t="n"/>
      <c r="N51" s="47" t="n"/>
      <c r="O51" s="48" t="n"/>
      <c r="P51" s="48" t="n"/>
      <c r="Q51" s="49" t="n"/>
      <c r="R51" s="41" t="n">
        <v>3</v>
      </c>
      <c r="S51" s="50" t="inlineStr">
        <is>
          <t>As an analyst, I want no-trade intervals marked, so that indicators do not treat a data gap as a price move.</t>
        </is>
      </c>
      <c r="T51" s="50" t="inlineStr">
        <is>
          <t>1. Carry-forward bar when no trades occur
2. Flag `synthetic=True`
3. Indicator engine skips or handles synthetics explicitly</t>
        </is>
      </c>
      <c r="U51" s="50" t="n"/>
      <c r="V51" s="50" t="n"/>
      <c r="W51" s="51" t="n"/>
    </row>
    <row r="52" ht="30" customHeight="1">
      <c r="A52" s="40" t="inlineStr">
        <is>
          <t>E05-S08</t>
        </is>
      </c>
      <c r="B52" s="41" t="inlineStr">
        <is>
          <t>E05</t>
        </is>
      </c>
      <c r="C52" s="42" t="inlineStr">
        <is>
          <t>MARKET DATA INGESTION</t>
        </is>
      </c>
      <c r="D52" s="42" t="inlineStr">
        <is>
          <t>Quote state publishing</t>
        </is>
      </c>
      <c r="E52" s="42" t="inlineStr">
        <is>
          <t>New</t>
        </is>
      </c>
      <c r="F52" s="43" t="inlineStr">
        <is>
          <t>P0</t>
        </is>
      </c>
      <c r="G52" s="41" t="inlineStr">
        <is>
          <t>1</t>
        </is>
      </c>
      <c r="H52" s="44" t="inlineStr">
        <is>
          <t>Low</t>
        </is>
      </c>
      <c r="I52" s="41" t="inlineStr">
        <is>
          <t>FEAT</t>
        </is>
      </c>
      <c r="J52" s="45" t="n">
        <v>0.5</v>
      </c>
      <c r="K52" s="42" t="inlineStr">
        <is>
          <t>E05-S05</t>
        </is>
      </c>
      <c r="L52" s="42" t="n"/>
      <c r="M52" s="46" t="n"/>
      <c r="N52" s="47" t="n"/>
      <c r="O52" s="48" t="n"/>
      <c r="P52" s="48" t="n"/>
      <c r="Q52" s="49" t="n"/>
      <c r="R52" s="41" t="n">
        <v>3</v>
      </c>
      <c r="S52" s="50" t="inlineStr">
        <is>
          <t>As the dashboard and risk engine, I need current quotes, so that P&amp;L and spread checks use live prices.</t>
        </is>
      </c>
      <c r="T52" s="50" t="inlineStr">
        <is>
          <t>1. Write `state:quote:{symbol}` on each tick
2. Include bid/ask for spread checks
3. Publish to `stream:ticks` for archival</t>
        </is>
      </c>
      <c r="U52" s="50" t="n"/>
      <c r="V52" s="50" t="n"/>
      <c r="W52" s="51" t="n"/>
    </row>
    <row r="53" ht="30" customHeight="1">
      <c r="A53" s="40" t="inlineStr">
        <is>
          <t>E06-S01</t>
        </is>
      </c>
      <c r="B53" s="41" t="inlineStr">
        <is>
          <t>E06</t>
        </is>
      </c>
      <c r="C53" s="42" t="inlineStr">
        <is>
          <t>TECHNICAL ANALYSIS ENGINE</t>
        </is>
      </c>
      <c r="D53" s="42" t="inlineStr">
        <is>
          <t>Incremental indicator framework</t>
        </is>
      </c>
      <c r="E53" s="42" t="inlineStr">
        <is>
          <t>New</t>
        </is>
      </c>
      <c r="F53" s="43" t="inlineStr">
        <is>
          <t>P0</t>
        </is>
      </c>
      <c r="G53" s="41" t="inlineStr">
        <is>
          <t>2</t>
        </is>
      </c>
      <c r="H53" s="53" t="inlineStr">
        <is>
          <t>Safety-critical</t>
        </is>
      </c>
      <c r="I53" s="41" t="inlineStr">
        <is>
          <t>FEAT</t>
        </is>
      </c>
      <c r="J53" s="45" t="n">
        <v>2</v>
      </c>
      <c r="K53" s="42" t="inlineStr">
        <is>
          <t>E05-S06</t>
        </is>
      </c>
      <c r="L53" s="42" t="n"/>
      <c r="M53" s="46" t="n"/>
      <c r="N53" s="47" t="n"/>
      <c r="O53" s="48" t="n"/>
      <c r="P53" s="48" t="n"/>
      <c r="Q53" s="49" t="n"/>
      <c r="R53" s="41" t="n">
        <v>5</v>
      </c>
      <c r="S53" s="50" t="inlineStr">
        <is>
          <t>As a system, I want indicators updated in O(1) per bar, so that adding symbols does not degrade latency.</t>
        </is>
      </c>
      <c r="T53" s="50" t="inlineStr">
        <is>
          <t>1. `Indicator` protocol: `update(bar) -&gt; value`, `warm_up(bars)`, `is_ready`
2. TA-Lib streaming API wrapper
3. `IndicatorSet` per (symbol, timeframe)
4. State serialisation to Redis
5. Restore state on restart without full re-warm-up</t>
        </is>
      </c>
      <c r="U53" s="50" t="inlineStr">
        <is>
          <t>• 🔴 Incremental values match batch computation to 4 decimal places
• 200 symbols × 6 timeframes update in &lt; 50ms total</t>
        </is>
      </c>
      <c r="V53" s="50" t="n"/>
      <c r="W53" s="51" t="n"/>
    </row>
    <row r="54" ht="30" customHeight="1">
      <c r="A54" s="40" t="inlineStr">
        <is>
          <t>E06-S02</t>
        </is>
      </c>
      <c r="B54" s="41" t="inlineStr">
        <is>
          <t>E06</t>
        </is>
      </c>
      <c r="C54" s="42" t="inlineStr">
        <is>
          <t>TECHNICAL ANALYSIS ENGINE</t>
        </is>
      </c>
      <c r="D54" s="42" t="inlineStr">
        <is>
          <t>Core indicator implementations</t>
        </is>
      </c>
      <c r="E54" s="42" t="inlineStr">
        <is>
          <t>New</t>
        </is>
      </c>
      <c r="F54" s="43" t="inlineStr">
        <is>
          <t>P0</t>
        </is>
      </c>
      <c r="G54" s="41" t="inlineStr">
        <is>
          <t>2</t>
        </is>
      </c>
      <c r="H54" s="52" t="inlineStr">
        <is>
          <t>Correctness-critical</t>
        </is>
      </c>
      <c r="I54" s="41" t="inlineStr">
        <is>
          <t>FEAT</t>
        </is>
      </c>
      <c r="J54" s="45" t="n">
        <v>2</v>
      </c>
      <c r="K54" s="42" t="inlineStr">
        <is>
          <t>E06-S01</t>
        </is>
      </c>
      <c r="L54" s="42" t="n"/>
      <c r="M54" s="46" t="n"/>
      <c r="N54" s="47" t="n"/>
      <c r="O54" s="48" t="n"/>
      <c r="P54" s="48" t="n"/>
      <c r="Q54" s="49" t="n"/>
      <c r="R54" s="41" t="n">
        <v>8</v>
      </c>
      <c r="S54" s="50" t="n"/>
      <c r="T54" s="50" t="inlineStr">
        <is>
          <t>1. EMA (20, 50, 200), SMA
2. RSI(14)
3. MACD with signal and histogram
4. ATR(14) — critical, drives position sizing
5. Bollinger Bands
6. VWAP (session-anchored)
7. Volume ratio vs 20-period average
8. ADX</t>
        </is>
      </c>
      <c r="U54" s="50" t="inlineStr">
        <is>
          <t>• Every indicator verified against a reference implementation on the same data</t>
        </is>
      </c>
      <c r="V54" s="50" t="n"/>
      <c r="W54" s="51" t="n"/>
    </row>
    <row r="55" ht="30" customHeight="1">
      <c r="A55" s="40" t="inlineStr">
        <is>
          <t>E06-S03</t>
        </is>
      </c>
      <c r="B55" s="41" t="inlineStr">
        <is>
          <t>E06</t>
        </is>
      </c>
      <c r="C55" s="42" t="inlineStr">
        <is>
          <t>TECHNICAL ANALYSIS ENGINE</t>
        </is>
      </c>
      <c r="D55" s="42" t="inlineStr">
        <is>
          <t>Warm-up orchestration</t>
        </is>
      </c>
      <c r="E55" s="42" t="inlineStr">
        <is>
          <t>New</t>
        </is>
      </c>
      <c r="F55" s="43" t="inlineStr">
        <is>
          <t>P0</t>
        </is>
      </c>
      <c r="G55" s="41" t="inlineStr">
        <is>
          <t>2</t>
        </is>
      </c>
      <c r="H55" s="53" t="inlineStr">
        <is>
          <t>Safety-critical</t>
        </is>
      </c>
      <c r="I55" s="41" t="inlineStr">
        <is>
          <t>FEAT</t>
        </is>
      </c>
      <c r="J55" s="45" t="n">
        <v>1.5</v>
      </c>
      <c r="K55" s="42" t="inlineStr">
        <is>
          <t>E06-S01, E03-S01</t>
        </is>
      </c>
      <c r="L55" s="42" t="n"/>
      <c r="M55" s="46" t="n"/>
      <c r="N55" s="47" t="n"/>
      <c r="O55" s="48" t="n"/>
      <c r="P55" s="48" t="n"/>
      <c r="Q55" s="49" t="n"/>
      <c r="R55" s="41" t="n">
        <v>5</v>
      </c>
      <c r="S55" s="50" t="inlineStr">
        <is>
          <t>As a trader, I want indicators seeded from history before trading, so that a 200-EMA is never computed from 3 bars.</t>
        </is>
      </c>
      <c r="T55" s="50" t="inlineStr">
        <is>
          <t>1. Load lookback from TimescaleDB at session start
2. Parallel warm-up in `ProcessPoolExecutor`
3. `is_ready` false until the longest-period indicator has enough data
4. Report warm-up completion per symbol
5. Block trading until the watchlist is warm</t>
        </is>
      </c>
      <c r="U55" s="50" t="inlineStr">
        <is>
          <t>• 🔴 A symbol with insufficient history is excluded, not traded on bad values</t>
        </is>
      </c>
      <c r="V55" s="50" t="n"/>
      <c r="W55" s="51" t="n"/>
    </row>
    <row r="56" ht="30" customHeight="1">
      <c r="A56" s="40" t="inlineStr">
        <is>
          <t>E06-S04</t>
        </is>
      </c>
      <c r="B56" s="41" t="inlineStr">
        <is>
          <t>E06</t>
        </is>
      </c>
      <c r="C56" s="42" t="inlineStr">
        <is>
          <t>TECHNICAL ANALYSIS ENGINE</t>
        </is>
      </c>
      <c r="D56" s="42" t="inlineStr">
        <is>
          <t>Multi-timeframe snapshot assembly</t>
        </is>
      </c>
      <c r="E56" s="42" t="inlineStr">
        <is>
          <t>New</t>
        </is>
      </c>
      <c r="F56" s="43" t="inlineStr">
        <is>
          <t>P0</t>
        </is>
      </c>
      <c r="G56" s="41" t="inlineStr">
        <is>
          <t>2</t>
        </is>
      </c>
      <c r="H56" s="52" t="inlineStr">
        <is>
          <t>Correctness-critical</t>
        </is>
      </c>
      <c r="I56" s="41" t="inlineStr">
        <is>
          <t>FEAT</t>
        </is>
      </c>
      <c r="J56" s="45" t="n">
        <v>1</v>
      </c>
      <c r="K56" s="42" t="inlineStr">
        <is>
          <t>E06-S02</t>
        </is>
      </c>
      <c r="L56" s="42" t="n"/>
      <c r="M56" s="46" t="n"/>
      <c r="N56" s="47" t="n"/>
      <c r="O56" s="48" t="n"/>
      <c r="P56" s="48" t="n"/>
      <c r="Q56" s="49" t="n"/>
      <c r="R56" s="41" t="n">
        <v>3</v>
      </c>
      <c r="S56" s="50" t="n"/>
      <c r="T56" s="50" t="inlineStr">
        <is>
          <t>1. Assemble `MultiTimeframeSnapshot` from per-timeframe state
2. `all_ready` gate
3. Publish to Redis for `signal-engine` to read without IPC</t>
        </is>
      </c>
      <c r="U56" s="50" t="n"/>
      <c r="V56" s="50" t="n"/>
      <c r="W56" s="51" t="n"/>
    </row>
    <row r="57" ht="30" customHeight="1">
      <c r="A57" s="40" t="inlineStr">
        <is>
          <t>E06-S05</t>
        </is>
      </c>
      <c r="B57" s="41" t="inlineStr">
        <is>
          <t>E06</t>
        </is>
      </c>
      <c r="C57" s="42" t="inlineStr">
        <is>
          <t>TECHNICAL ANALYSIS ENGINE</t>
        </is>
      </c>
      <c r="D57" s="42" t="inlineStr">
        <is>
          <t>Support/resistance and pivot detection</t>
        </is>
      </c>
      <c r="E57" s="42" t="inlineStr">
        <is>
          <t>New</t>
        </is>
      </c>
      <c r="F57" s="43" t="inlineStr">
        <is>
          <t>P0</t>
        </is>
      </c>
      <c r="G57" s="41" t="inlineStr">
        <is>
          <t>2</t>
        </is>
      </c>
      <c r="H57" s="52" t="inlineStr">
        <is>
          <t>Correctness-critical</t>
        </is>
      </c>
      <c r="I57" s="41" t="inlineStr">
        <is>
          <t>FEAT</t>
        </is>
      </c>
      <c r="J57" s="45" t="n">
        <v>2</v>
      </c>
      <c r="K57" s="42" t="inlineStr">
        <is>
          <t>E06-S02</t>
        </is>
      </c>
      <c r="L57" s="42" t="n"/>
      <c r="M57" s="46" t="n"/>
      <c r="N57" s="47" t="n"/>
      <c r="O57" s="48" t="n"/>
      <c r="P57" s="48" t="n"/>
      <c r="Q57" s="49" t="n"/>
      <c r="R57" s="41" t="n">
        <v>5</v>
      </c>
      <c r="S57" s="50" t="inlineStr">
        <is>
          <t>As a strategy, I need structural levels, so that stops can be placed at points that invalidate the thesis rather than at arbitrary distances.</t>
        </is>
      </c>
      <c r="T57" s="50" t="inlineStr">
        <is>
          <t>1. Classic pivot points (P, R1-R3, S1-S3)
2. Prior-day high/low/close
3. Swing high/low detection
4. Level clustering (nearby levels merge)
5. Level strength scoring by touch count</t>
        </is>
      </c>
      <c r="U57" s="50" t="n"/>
      <c r="V57" s="50" t="n"/>
      <c r="W57" s="51" t="n"/>
    </row>
    <row r="58" ht="30" customHeight="1">
      <c r="A58" s="40" t="inlineStr">
        <is>
          <t>E06-S06</t>
        </is>
      </c>
      <c r="B58" s="41" t="inlineStr">
        <is>
          <t>E06</t>
        </is>
      </c>
      <c r="C58" s="42" t="inlineStr">
        <is>
          <t>TECHNICAL ANALYSIS ENGINE</t>
        </is>
      </c>
      <c r="D58" s="42" t="inlineStr">
        <is>
          <t>Opening range computation</t>
        </is>
      </c>
      <c r="E58" s="42" t="inlineStr">
        <is>
          <t>New</t>
        </is>
      </c>
      <c r="F58" s="43" t="inlineStr">
        <is>
          <t>P0</t>
        </is>
      </c>
      <c r="G58" s="41" t="inlineStr">
        <is>
          <t>2</t>
        </is>
      </c>
      <c r="H58" s="53" t="inlineStr">
        <is>
          <t>Safety-critical</t>
        </is>
      </c>
      <c r="I58" s="41" t="inlineStr">
        <is>
          <t>FEAT</t>
        </is>
      </c>
      <c r="J58" s="45" t="n">
        <v>1</v>
      </c>
      <c r="K58" s="42" t="inlineStr">
        <is>
          <t>E06-S02</t>
        </is>
      </c>
      <c r="L58" s="42" t="n"/>
      <c r="M58" s="46" t="n"/>
      <c r="N58" s="47" t="n"/>
      <c r="O58" s="48" t="n"/>
      <c r="P58" s="48" t="n"/>
      <c r="Q58" s="49" t="n"/>
      <c r="R58" s="41" t="n">
        <v>4</v>
      </c>
      <c r="S58" s="50" t="inlineStr">
        <is>
          <t>As the primary strategy, I need the 09:15–09:30 range, so that breakouts can be detected against a well-defined reference.</t>
        </is>
      </c>
      <c r="T58" s="50" t="inlineStr">
        <is>
          <t>1. Track high/low from 09:15 to 09:30
2. Seal at 09:30 and publish
3. Compute range as % of price
4. Handle the gap-open case</t>
        </is>
      </c>
      <c r="U58" s="50" t="inlineStr">
        <is>
          <t>• 🔴 Range is sealed exactly at 09:30 and never mutates afterwards</t>
        </is>
      </c>
      <c r="V58" s="50" t="n"/>
      <c r="W58" s="51" t="n"/>
    </row>
    <row r="59" ht="30" customHeight="1">
      <c r="A59" s="40" t="inlineStr">
        <is>
          <t>E06-S07</t>
        </is>
      </c>
      <c r="B59" s="41" t="inlineStr">
        <is>
          <t>E06</t>
        </is>
      </c>
      <c r="C59" s="42" t="inlineStr">
        <is>
          <t>TECHNICAL ANALYSIS ENGINE</t>
        </is>
      </c>
      <c r="D59" s="42" t="inlineStr">
        <is>
          <t>Relative strength calculation</t>
        </is>
      </c>
      <c r="E59" s="42" t="inlineStr">
        <is>
          <t>New</t>
        </is>
      </c>
      <c r="F59" s="43" t="inlineStr">
        <is>
          <t>P0</t>
        </is>
      </c>
      <c r="G59" s="41" t="inlineStr">
        <is>
          <t>2</t>
        </is>
      </c>
      <c r="H59" s="52" t="inlineStr">
        <is>
          <t>Correctness-critical</t>
        </is>
      </c>
      <c r="I59" s="41" t="inlineStr">
        <is>
          <t>FEAT</t>
        </is>
      </c>
      <c r="J59" s="45" t="n">
        <v>1.5</v>
      </c>
      <c r="K59" s="42" t="inlineStr">
        <is>
          <t>E06-S02</t>
        </is>
      </c>
      <c r="L59" s="42" t="n"/>
      <c r="M59" s="46" t="n"/>
      <c r="N59" s="47" t="n"/>
      <c r="O59" s="48" t="n"/>
      <c r="P59" s="48" t="n"/>
      <c r="Q59" s="49" t="n"/>
      <c r="R59" s="41" t="n">
        <v>4</v>
      </c>
      <c r="S59" s="50" t="inlineStr">
        <is>
          <t>As a scorer, I need stock-vs-sector and sector-vs-index strength, so that leaders in leading sectors rank higher.</t>
        </is>
      </c>
      <c r="T59" s="50" t="inlineStr">
        <is>
          <t>1. Sector index mapping per symbol
2. Rolling relative performance
3. Sector-vs-Nifty ranking
4. Normalise to a 0–1 score</t>
        </is>
      </c>
      <c r="U59" s="50" t="n"/>
      <c r="V59" s="50" t="n"/>
      <c r="W59" s="51" t="n"/>
    </row>
    <row r="60" ht="30" customHeight="1">
      <c r="A60" s="40" t="inlineStr">
        <is>
          <t>E06-S08</t>
        </is>
      </c>
      <c r="B60" s="41" t="inlineStr">
        <is>
          <t>E06</t>
        </is>
      </c>
      <c r="C60" s="42" t="inlineStr">
        <is>
          <t>TECHNICAL ANALYSIS ENGINE</t>
        </is>
      </c>
      <c r="D60" s="42" t="inlineStr">
        <is>
          <t>Chart and candlestick patterns</t>
        </is>
      </c>
      <c r="E60" s="42" t="inlineStr">
        <is>
          <t>New</t>
        </is>
      </c>
      <c r="F60" s="54" t="inlineStr">
        <is>
          <t>P2</t>
        </is>
      </c>
      <c r="G60" s="41" t="inlineStr">
        <is>
          <t>6</t>
        </is>
      </c>
      <c r="H60" s="44" t="inlineStr">
        <is>
          <t>Low</t>
        </is>
      </c>
      <c r="I60" s="41" t="inlineStr">
        <is>
          <t>FEAT</t>
        </is>
      </c>
      <c r="J60" s="45" t="n">
        <v>1</v>
      </c>
      <c r="K60" s="42" t="inlineStr">
        <is>
          <t>E06-S02</t>
        </is>
      </c>
      <c r="L60" s="42" t="n"/>
      <c r="M60" s="46" t="n"/>
      <c r="N60" s="47" t="n"/>
      <c r="O60" s="48" t="n"/>
      <c r="P60" s="48" t="n"/>
      <c r="Q60" s="49" t="n"/>
      <c r="R60" s="41" t="n">
        <v>0</v>
      </c>
      <c r="S60" s="50" t="n"/>
      <c r="T60" s="50" t="n"/>
      <c r="U60" s="50" t="n"/>
      <c r="V60" s="50" t="inlineStr">
        <is>
          <t>Flags, triangles, double tops/bottoms; TA-Lib candlestick recognition.</t>
        </is>
      </c>
      <c r="W60" s="51" t="n"/>
    </row>
    <row r="61" ht="30" customHeight="1">
      <c r="A61" s="40" t="inlineStr">
        <is>
          <t>E07-S01</t>
        </is>
      </c>
      <c r="B61" s="41" t="inlineStr">
        <is>
          <t>E07</t>
        </is>
      </c>
      <c r="C61" s="42" t="inlineStr">
        <is>
          <t>UNIVERSE &amp; SCORING</t>
        </is>
      </c>
      <c r="D61" s="42" t="inlineStr">
        <is>
          <t>Base universe loading</t>
        </is>
      </c>
      <c r="E61" s="42" t="inlineStr">
        <is>
          <t>New</t>
        </is>
      </c>
      <c r="F61" s="43" t="inlineStr">
        <is>
          <t>P0</t>
        </is>
      </c>
      <c r="G61" s="41" t="inlineStr">
        <is>
          <t>2</t>
        </is>
      </c>
      <c r="H61" s="44" t="inlineStr">
        <is>
          <t>Low</t>
        </is>
      </c>
      <c r="I61" s="41" t="inlineStr">
        <is>
          <t>FEAT</t>
        </is>
      </c>
      <c r="J61" s="45" t="n">
        <v>0.5</v>
      </c>
      <c r="K61" s="42" t="inlineStr">
        <is>
          <t>E02-S06</t>
        </is>
      </c>
      <c r="L61" s="42" t="n"/>
      <c r="M61" s="46" t="n"/>
      <c r="N61" s="47" t="n"/>
      <c r="O61" s="48" t="n"/>
      <c r="P61" s="48" t="n"/>
      <c r="Q61" s="49" t="n"/>
      <c r="R61" s="41" t="n">
        <v>4</v>
      </c>
      <c r="S61" s="50" t="n"/>
      <c r="T61" s="50" t="inlineStr">
        <is>
          <t>1. Load Nifty 50/100/200/500 constituents
2. F&amp;O universe
3. Custom symbol list support
4. Handle index reconstitution</t>
        </is>
      </c>
      <c r="U61" s="50" t="n"/>
      <c r="V61" s="50" t="n"/>
      <c r="W61" s="51" t="n"/>
    </row>
    <row r="62" ht="30" customHeight="1">
      <c r="A62" s="40" t="inlineStr">
        <is>
          <t>E07-S02</t>
        </is>
      </c>
      <c r="B62" s="41" t="inlineStr">
        <is>
          <t>E07</t>
        </is>
      </c>
      <c r="C62" s="42" t="inlineStr">
        <is>
          <t>UNIVERSE &amp; SCORING</t>
        </is>
      </c>
      <c r="D62" s="42" t="inlineStr">
        <is>
          <t>Hard filter pipeline</t>
        </is>
      </c>
      <c r="E62" s="42" t="inlineStr">
        <is>
          <t>New</t>
        </is>
      </c>
      <c r="F62" s="43" t="inlineStr">
        <is>
          <t>P0</t>
        </is>
      </c>
      <c r="G62" s="41" t="inlineStr">
        <is>
          <t>2</t>
        </is>
      </c>
      <c r="H62" s="53" t="inlineStr">
        <is>
          <t>Safety-critical</t>
        </is>
      </c>
      <c r="I62" s="41" t="inlineStr">
        <is>
          <t>FEAT</t>
        </is>
      </c>
      <c r="J62" s="45" t="n">
        <v>1.5</v>
      </c>
      <c r="K62" s="42" t="inlineStr">
        <is>
          <t>E04 (all), E07-S01</t>
        </is>
      </c>
      <c r="L62" s="42" t="n"/>
      <c r="M62" s="46" t="n"/>
      <c r="N62" s="47" t="n"/>
      <c r="O62" s="48" t="n"/>
      <c r="P62" s="48" t="n"/>
      <c r="Q62" s="49" t="n"/>
      <c r="R62" s="41" t="n">
        <v>4</v>
      </c>
      <c r="S62" s="50" t="inlineStr">
        <is>
          <t>As a trader, I want structurally untradeable stocks removed before scoring, so that no ineligible name can reach an order.</t>
        </is>
      </c>
      <c r="T62" s="50" t="inlineStr">
        <is>
          <t>1. Apply all 10 filters in order (cheapest first)
2. Record which filter excluded each symbol
3. Live preview: how many survive each filter today
4. Alert if the surviving universe is implausibly small</t>
        </is>
      </c>
      <c r="U62" s="50" t="inlineStr">
        <is>
          <t>• 🔴 Every filter in config is applied; none can be silently skipped
• The exclusion reason for any symbol is queryable</t>
        </is>
      </c>
      <c r="V62" s="50" t="n"/>
      <c r="W62" s="51" t="n"/>
    </row>
    <row r="63" ht="30" customHeight="1">
      <c r="A63" s="40" t="inlineStr">
        <is>
          <t>E07-S03</t>
        </is>
      </c>
      <c r="B63" s="41" t="inlineStr">
        <is>
          <t>E07</t>
        </is>
      </c>
      <c r="C63" s="42" t="inlineStr">
        <is>
          <t>UNIVERSE &amp; SCORING</t>
        </is>
      </c>
      <c r="D63" s="42" t="inlineStr">
        <is>
          <t>Tradeability score components</t>
        </is>
      </c>
      <c r="E63" s="42" t="inlineStr">
        <is>
          <t>New</t>
        </is>
      </c>
      <c r="F63" s="43" t="inlineStr">
        <is>
          <t>P0</t>
        </is>
      </c>
      <c r="G63" s="41" t="inlineStr">
        <is>
          <t>2</t>
        </is>
      </c>
      <c r="H63" s="52" t="inlineStr">
        <is>
          <t>Correctness-critical</t>
        </is>
      </c>
      <c r="I63" s="41" t="inlineStr">
        <is>
          <t>FEAT</t>
        </is>
      </c>
      <c r="J63" s="45" t="n">
        <v>2</v>
      </c>
      <c r="K63" s="42" t="inlineStr">
        <is>
          <t>E06-S04, E06-S07</t>
        </is>
      </c>
      <c r="L63" s="42" t="n"/>
      <c r="M63" s="46" t="n"/>
      <c r="N63" s="47" t="n"/>
      <c r="O63" s="48" t="n"/>
      <c r="P63" s="48" t="n"/>
      <c r="Q63" s="49" t="n"/>
      <c r="R63" s="41" t="n">
        <v>7</v>
      </c>
      <c r="S63" s="50" t="n"/>
      <c r="T63" s="50" t="inlineStr">
        <is>
          <t>1. Multi-timeframe trend alignment (25%)
2. Relative strength (20%)
3. Volatility fitness — scored as a *band*, not more-is-better (15%)
4. Volume expansion (15%)
5. Level proximity (15%)
6. Catalyst/news (10%) — stub until E08
7. Weighted composite, 0–100</t>
        </is>
      </c>
      <c r="U63" s="50" t="inlineStr">
        <is>
          <t>• Weights come from config and are verified to sum to 1.0
• Each component is independently unit-tested</t>
        </is>
      </c>
      <c r="V63" s="50" t="n"/>
      <c r="W63" s="51" t="n"/>
    </row>
    <row r="64" ht="30" customHeight="1">
      <c r="A64" s="40" t="inlineStr">
        <is>
          <t>E07-S04</t>
        </is>
      </c>
      <c r="B64" s="41" t="inlineStr">
        <is>
          <t>E07</t>
        </is>
      </c>
      <c r="C64" s="42" t="inlineStr">
        <is>
          <t>UNIVERSE &amp; SCORING</t>
        </is>
      </c>
      <c r="D64" s="42" t="inlineStr">
        <is>
          <t>Ranking and shortlisting</t>
        </is>
      </c>
      <c r="E64" s="42" t="inlineStr">
        <is>
          <t>New</t>
        </is>
      </c>
      <c r="F64" s="43" t="inlineStr">
        <is>
          <t>P0</t>
        </is>
      </c>
      <c r="G64" s="41" t="inlineStr">
        <is>
          <t>2</t>
        </is>
      </c>
      <c r="H64" s="44" t="inlineStr">
        <is>
          <t>Low</t>
        </is>
      </c>
      <c r="I64" s="41" t="inlineStr">
        <is>
          <t>FEAT</t>
        </is>
      </c>
      <c r="J64" s="45" t="n">
        <v>0.5</v>
      </c>
      <c r="K64" s="42" t="inlineStr">
        <is>
          <t>E07-S03</t>
        </is>
      </c>
      <c r="L64" s="42" t="n"/>
      <c r="M64" s="46" t="n"/>
      <c r="N64" s="47" t="n"/>
      <c r="O64" s="48" t="n"/>
      <c r="P64" s="48" t="n"/>
      <c r="Q64" s="49" t="n"/>
      <c r="R64" s="41" t="n">
        <v>3</v>
      </c>
      <c r="S64" s="50" t="n"/>
      <c r="T64" s="50" t="inlineStr">
        <is>
          <t>1. Rank surviving universe by score
2. Take top N (`shortlist_size`)
3. Tie-breaking rule (deterministic)</t>
        </is>
      </c>
      <c r="U64" s="50" t="n"/>
      <c r="V64" s="50" t="n"/>
      <c r="W64" s="51" t="n"/>
    </row>
    <row r="65" ht="30" customHeight="1">
      <c r="A65" s="40" t="inlineStr">
        <is>
          <t>E07-S05</t>
        </is>
      </c>
      <c r="B65" s="41" t="inlineStr">
        <is>
          <t>E07</t>
        </is>
      </c>
      <c r="C65" s="42" t="inlineStr">
        <is>
          <t>UNIVERSE &amp; SCORING</t>
        </is>
      </c>
      <c r="D65" s="42" t="inlineStr">
        <is>
          <t>Score explainability</t>
        </is>
      </c>
      <c r="E65" s="42" t="inlineStr">
        <is>
          <t>New</t>
        </is>
      </c>
      <c r="F65" s="43" t="inlineStr">
        <is>
          <t>P0</t>
        </is>
      </c>
      <c r="G65" s="41" t="inlineStr">
        <is>
          <t>2</t>
        </is>
      </c>
      <c r="H65" s="52" t="inlineStr">
        <is>
          <t>Correctness-critical</t>
        </is>
      </c>
      <c r="I65" s="41" t="inlineStr">
        <is>
          <t>FEAT</t>
        </is>
      </c>
      <c r="J65" s="45" t="n">
        <v>1</v>
      </c>
      <c r="K65" s="42" t="inlineStr">
        <is>
          <t>E07-S03</t>
        </is>
      </c>
      <c r="L65" s="42" t="n"/>
      <c r="M65" s="46" t="n"/>
      <c r="N65" s="47" t="n"/>
      <c r="O65" s="48" t="n"/>
      <c r="P65" s="48" t="n"/>
      <c r="Q65" s="49" t="n"/>
      <c r="R65" s="41" t="n">
        <v>3</v>
      </c>
      <c r="S65" s="50" t="inlineStr">
        <is>
          <t>As a trader, I want to see why a stock scored what it did, so that a bare number is not unaccountable.</t>
        </is>
      </c>
      <c r="T65" s="50" t="inlineStr">
        <is>
          <t>1. Persist per-component contributions
2. Render breakdown in the UI and briefing
3. Explain rank changes day over day</t>
        </is>
      </c>
      <c r="U65" s="50" t="n"/>
      <c r="V65" s="50" t="n"/>
      <c r="W65" s="51" t="n"/>
    </row>
    <row r="66" ht="30" customHeight="1">
      <c r="A66" s="40" t="inlineStr">
        <is>
          <t>E07-S06</t>
        </is>
      </c>
      <c r="B66" s="41" t="inlineStr">
        <is>
          <t>E07</t>
        </is>
      </c>
      <c r="C66" s="42" t="inlineStr">
        <is>
          <t>UNIVERSE &amp; SCORING</t>
        </is>
      </c>
      <c r="D66" s="42" t="inlineStr">
        <is>
          <t>Universe validation report</t>
        </is>
      </c>
      <c r="E66" s="42" t="inlineStr">
        <is>
          <t>New</t>
        </is>
      </c>
      <c r="F66" s="55" t="inlineStr">
        <is>
          <t>P1</t>
        </is>
      </c>
      <c r="G66" s="41" t="inlineStr">
        <is>
          <t>2</t>
        </is>
      </c>
      <c r="H66" s="44" t="inlineStr">
        <is>
          <t>Low</t>
        </is>
      </c>
      <c r="I66" s="41" t="inlineStr">
        <is>
          <t>TEST</t>
        </is>
      </c>
      <c r="J66" s="45" t="n">
        <v>1.5</v>
      </c>
      <c r="K66" s="42" t="inlineStr">
        <is>
          <t>E07-S04</t>
        </is>
      </c>
      <c r="L66" s="42" t="n"/>
      <c r="M66" s="46" t="n"/>
      <c r="N66" s="47" t="n"/>
      <c r="O66" s="48" t="n"/>
      <c r="P66" s="48" t="n"/>
      <c r="Q66" s="49" t="n"/>
      <c r="R66" s="41" t="n">
        <v>4</v>
      </c>
      <c r="S66" s="50" t="inlineStr">
        <is>
          <t>As a developer, I want to compare the ranked watchlist against what actually moved, so that the scoring model can be tuned on evidence.</t>
        </is>
      </c>
      <c r="T66" s="50" t="inlineStr">
        <is>
          <t>1. Daily: capture the ranked list
2. EOD: compare against realised ranges and volumes
3. Hit-rate metric: how often did top-10 names actually move?
4. Report over rolling 20 sessions</t>
        </is>
      </c>
      <c r="U66" s="50" t="n"/>
      <c r="V66" s="50" t="n"/>
      <c r="W66" s="51" t="n"/>
    </row>
    <row r="67" ht="30" customHeight="1">
      <c r="A67" s="40" t="inlineStr">
        <is>
          <t>E08-S01</t>
        </is>
      </c>
      <c r="B67" s="41" t="inlineStr">
        <is>
          <t>E08</t>
        </is>
      </c>
      <c r="C67" s="42" t="inlineStr">
        <is>
          <t>NEWS INTELLIGENCE</t>
        </is>
      </c>
      <c r="D67" s="42" t="inlineStr">
        <is>
          <t>News source integration</t>
        </is>
      </c>
      <c r="E67" s="42" t="inlineStr">
        <is>
          <t>New</t>
        </is>
      </c>
      <c r="F67" s="55" t="inlineStr">
        <is>
          <t>P1</t>
        </is>
      </c>
      <c r="G67" s="41" t="inlineStr">
        <is>
          <t>3</t>
        </is>
      </c>
      <c r="H67" s="52" t="inlineStr">
        <is>
          <t>Correctness-critical</t>
        </is>
      </c>
      <c r="I67" s="41" t="inlineStr">
        <is>
          <t>FEAT</t>
        </is>
      </c>
      <c r="J67" s="45" t="n">
        <v>1.5</v>
      </c>
      <c r="K67" s="42" t="inlineStr">
        <is>
          <t>E01-S02</t>
        </is>
      </c>
      <c r="L67" s="42" t="n"/>
      <c r="M67" s="46" t="n"/>
      <c r="N67" s="47" t="n"/>
      <c r="O67" s="48" t="n"/>
      <c r="P67" s="48" t="n"/>
      <c r="Q67" s="49" t="n"/>
      <c r="R67" s="41" t="n">
        <v>4</v>
      </c>
      <c r="S67" s="50" t="n"/>
      <c r="T67" s="50" t="inlineStr">
        <is>
          <t>1. Allowlisted provider clients
2. Polling on `news.refresh_interval_min`
3. Per-source timeout and failure isolation
4. Raw article persistence for audit</t>
        </is>
      </c>
      <c r="U67" s="50" t="inlineStr">
        <is>
          <t>• A dead source degrades its contribution, never fails the refresh</t>
        </is>
      </c>
      <c r="V67" s="50" t="n"/>
      <c r="W67" s="51" t="n"/>
    </row>
    <row r="68" ht="30" customHeight="1">
      <c r="A68" s="40" t="inlineStr">
        <is>
          <t>E08-S02</t>
        </is>
      </c>
      <c r="B68" s="41" t="inlineStr">
        <is>
          <t>E08</t>
        </is>
      </c>
      <c r="C68" s="42" t="inlineStr">
        <is>
          <t>NEWS INTELLIGENCE</t>
        </is>
      </c>
      <c r="D68" s="42" t="inlineStr">
        <is>
          <t>Near-duplicate detection and clustering</t>
        </is>
      </c>
      <c r="E68" s="42" t="inlineStr">
        <is>
          <t>New</t>
        </is>
      </c>
      <c r="F68" s="55" t="inlineStr">
        <is>
          <t>P1</t>
        </is>
      </c>
      <c r="G68" s="41" t="inlineStr">
        <is>
          <t>3</t>
        </is>
      </c>
      <c r="H68" s="52" t="inlineStr">
        <is>
          <t>Correctness-critical</t>
        </is>
      </c>
      <c r="I68" s="41" t="inlineStr">
        <is>
          <t>FEAT</t>
        </is>
      </c>
      <c r="J68" s="45" t="n">
        <v>1.5</v>
      </c>
      <c r="K68" s="42" t="inlineStr">
        <is>
          <t>E08-S01</t>
        </is>
      </c>
      <c r="L68" s="42" t="n"/>
      <c r="M68" s="46" t="n"/>
      <c r="N68" s="47" t="n"/>
      <c r="O68" s="48" t="n"/>
      <c r="P68" s="48" t="n"/>
      <c r="Q68" s="49" t="n"/>
      <c r="R68" s="41" t="n">
        <v>3</v>
      </c>
      <c r="S68" s="50" t="inlineStr">
        <is>
          <t>As an analyst, I want syndicated copies of the same story grouped, so that one event carried by six outlets is not counted six times.</t>
        </is>
      </c>
      <c r="T68" s="50" t="inlineStr">
        <is>
          <t>1. Similarity-based clustering
2. `cluster_id` assignment
3. Cluster size feeds salience (positively) and novelty (inversely)</t>
        </is>
      </c>
      <c r="U68" s="50" t="n"/>
      <c r="V68" s="50" t="n"/>
      <c r="W68" s="51" t="n"/>
    </row>
    <row r="69" ht="30" customHeight="1">
      <c r="A69" s="40" t="inlineStr">
        <is>
          <t>E08-S03</t>
        </is>
      </c>
      <c r="B69" s="41" t="inlineStr">
        <is>
          <t>E08</t>
        </is>
      </c>
      <c r="C69" s="42" t="inlineStr">
        <is>
          <t>NEWS INTELLIGENCE</t>
        </is>
      </c>
      <c r="D69" s="42" t="inlineStr">
        <is>
          <t>Prompt injection sanitisation</t>
        </is>
      </c>
      <c r="E69" s="42" t="inlineStr">
        <is>
          <t>New</t>
        </is>
      </c>
      <c r="F69" s="43" t="inlineStr">
        <is>
          <t>P0</t>
        </is>
      </c>
      <c r="G69" s="41" t="inlineStr">
        <is>
          <t>3</t>
        </is>
      </c>
      <c r="H69" s="53" t="inlineStr">
        <is>
          <t>Safety-critical</t>
        </is>
      </c>
      <c r="I69" s="41" t="inlineStr">
        <is>
          <t>SEC</t>
        </is>
      </c>
      <c r="J69" s="45" t="n">
        <v>2</v>
      </c>
      <c r="K69" s="42" t="inlineStr">
        <is>
          <t>E08-S01</t>
        </is>
      </c>
      <c r="L69" s="42" t="n"/>
      <c r="M69" s="46" t="n"/>
      <c r="N69" s="47" t="n"/>
      <c r="O69" s="48" t="n"/>
      <c r="P69" s="48" t="n"/>
      <c r="Q69" s="49" t="n"/>
      <c r="R69" s="41" t="n">
        <v>7</v>
      </c>
      <c r="S69" s="50" t="inlineStr">
        <is>
          <t>As a security-conscious operator, I want news content sanitised before it reaches any prompt, so that an attacker publishing crafted content cannot steer trading decisions.</t>
        </is>
      </c>
      <c r="T69" s="50"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50" t="inlineStr">
        <is>
          <t>• 🔴 Every payload in the adversarial corpus is neutralised
• Flagged articles are visible in the admin UI</t>
        </is>
      </c>
      <c r="V69" s="50" t="n"/>
      <c r="W69" s="51" t="n"/>
    </row>
    <row r="70" ht="30" customHeight="1">
      <c r="A70" s="40" t="inlineStr">
        <is>
          <t>E08-S04</t>
        </is>
      </c>
      <c r="B70" s="41" t="inlineStr">
        <is>
          <t>E08</t>
        </is>
      </c>
      <c r="C70" s="42" t="inlineStr">
        <is>
          <t>NEWS INTELLIGENCE</t>
        </is>
      </c>
      <c r="D70" s="42" t="inlineStr">
        <is>
          <t>Entity resolution</t>
        </is>
      </c>
      <c r="E70" s="42" t="inlineStr">
        <is>
          <t>New</t>
        </is>
      </c>
      <c r="F70" s="55" t="inlineStr">
        <is>
          <t>P1</t>
        </is>
      </c>
      <c r="G70" s="41" t="inlineStr">
        <is>
          <t>3</t>
        </is>
      </c>
      <c r="H70" s="52" t="inlineStr">
        <is>
          <t>Correctness-critical</t>
        </is>
      </c>
      <c r="I70" s="41" t="inlineStr">
        <is>
          <t>FEAT</t>
        </is>
      </c>
      <c r="J70" s="45" t="n">
        <v>1</v>
      </c>
      <c r="K70" s="42" t="inlineStr">
        <is>
          <t>E08-S02</t>
        </is>
      </c>
      <c r="L70" s="42" t="n"/>
      <c r="M70" s="46" t="n"/>
      <c r="N70" s="47" t="n"/>
      <c r="O70" s="48" t="n"/>
      <c r="P70" s="48" t="n"/>
      <c r="Q70" s="49" t="n"/>
      <c r="R70" s="41" t="n">
        <v>3</v>
      </c>
      <c r="S70" s="50" t="n"/>
      <c r="T70" s="50" t="inlineStr">
        <is>
          <t>1. Article → ticker(s) mapping
2. Sector and macro classification
3. Ambiguity handling (company names that are common words)</t>
        </is>
      </c>
      <c r="U70" s="50" t="n"/>
      <c r="V70" s="50" t="n"/>
      <c r="W70" s="51" t="n"/>
    </row>
    <row r="71" ht="30" customHeight="1">
      <c r="A71" s="40" t="inlineStr">
        <is>
          <t>E08-S05</t>
        </is>
      </c>
      <c r="B71" s="41" t="inlineStr">
        <is>
          <t>E08</t>
        </is>
      </c>
      <c r="C71" s="42" t="inlineStr">
        <is>
          <t>NEWS INTELLIGENCE</t>
        </is>
      </c>
      <c r="D71" s="42" t="inlineStr">
        <is>
          <t>AI news triage</t>
        </is>
      </c>
      <c r="E71" s="42" t="inlineStr">
        <is>
          <t>New</t>
        </is>
      </c>
      <c r="F71" s="55" t="inlineStr">
        <is>
          <t>P1</t>
        </is>
      </c>
      <c r="G71" s="41" t="inlineStr">
        <is>
          <t>3</t>
        </is>
      </c>
      <c r="H71" s="53" t="inlineStr">
        <is>
          <t>Safety-critical</t>
        </is>
      </c>
      <c r="I71" s="41" t="inlineStr">
        <is>
          <t>FEAT</t>
        </is>
      </c>
      <c r="J71" s="45" t="n">
        <v>1.5</v>
      </c>
      <c r="K71" s="42" t="inlineStr">
        <is>
          <t>E08-S03, E10-S01</t>
        </is>
      </c>
      <c r="L71" s="42" t="n"/>
      <c r="M71" s="46" t="n"/>
      <c r="N71" s="47" t="n"/>
      <c r="O71" s="48" t="n"/>
      <c r="P71" s="48" t="n"/>
      <c r="Q71" s="49" t="n"/>
      <c r="R71" s="41" t="n">
        <v>4</v>
      </c>
      <c r="S71" s="50" t="inlineStr">
        <is>
          <t>As a system, I want structured extraction from each article, so that only bounded fields propagate downstream.</t>
        </is>
      </c>
      <c r="T71" s="50" t="inlineStr">
        <is>
          <t>1. Haiku call with `NewsSignal` structured output
2. Event type, polarity, magnitude, certainty, horizon, scope
3. Batch articles to control cost
4. Handle refusals and schema failures by skipping the article</t>
        </is>
      </c>
      <c r="U71" s="50" t="inlineStr">
        <is>
          <t>• 🔴 No free-form field from news reaches any downstream prompt</t>
        </is>
      </c>
      <c r="V71" s="50" t="n"/>
      <c r="W71" s="51" t="n"/>
    </row>
    <row r="72" ht="30" customHeight="1">
      <c r="A72" s="40" t="inlineStr">
        <is>
          <t>E08-S06</t>
        </is>
      </c>
      <c r="B72" s="41" t="inlineStr">
        <is>
          <t>E08</t>
        </is>
      </c>
      <c r="C72" s="42" t="inlineStr">
        <is>
          <t>NEWS INTELLIGENCE</t>
        </is>
      </c>
      <c r="D72" s="42" t="inlineStr">
        <is>
          <t>Novelty scoring</t>
        </is>
      </c>
      <c r="E72" s="42" t="inlineStr">
        <is>
          <t>New</t>
        </is>
      </c>
      <c r="F72" s="55" t="inlineStr">
        <is>
          <t>P1</t>
        </is>
      </c>
      <c r="G72" s="41" t="inlineStr">
        <is>
          <t>3</t>
        </is>
      </c>
      <c r="H72" s="52" t="inlineStr">
        <is>
          <t>Correctness-critical</t>
        </is>
      </c>
      <c r="I72" s="41" t="inlineStr">
        <is>
          <t>FEAT</t>
        </is>
      </c>
      <c r="J72" s="45" t="n">
        <v>1.5</v>
      </c>
      <c r="K72" s="42" t="inlineStr">
        <is>
          <t>E08-S05</t>
        </is>
      </c>
      <c r="L72" s="42" t="n"/>
      <c r="M72" s="46" t="n"/>
      <c r="N72" s="47" t="n"/>
      <c r="O72" s="48" t="n"/>
      <c r="P72" s="48" t="n"/>
      <c r="Q72" s="49" t="n"/>
      <c r="R72" s="41" t="n">
        <v>6</v>
      </c>
      <c r="S72" s="50" t="inlineStr">
        <is>
          <t>As an analyst, I want new information distinguished from echo, so that the tenth repetition of a story does not score like the first.</t>
        </is>
      </c>
      <c r="T72" s="50" t="inlineStr">
        <is>
          <t>1. Rolling 30-day news history per symbol
2. Semantic similarity to recent articles
3. Event-type rarity for this symbol
4. Polarity surprise vs prior tone
5. Inverse cluster size
6. Weighted novelty score</t>
        </is>
      </c>
      <c r="U72" s="50" t="n"/>
      <c r="V72" s="50" t="n"/>
      <c r="W72" s="51" t="n"/>
    </row>
    <row r="73" ht="30" customHeight="1">
      <c r="A73" s="40" t="inlineStr">
        <is>
          <t>E08-S07</t>
        </is>
      </c>
      <c r="B73" s="41" t="inlineStr">
        <is>
          <t>E08</t>
        </is>
      </c>
      <c r="C73" s="42" t="inlineStr">
        <is>
          <t>NEWS INTELLIGENCE</t>
        </is>
      </c>
      <c r="D73" s="42" t="inlineStr">
        <is>
          <t>Time decay by event class</t>
        </is>
      </c>
      <c r="E73" s="42" t="inlineStr">
        <is>
          <t>New</t>
        </is>
      </c>
      <c r="F73" s="55" t="inlineStr">
        <is>
          <t>P1</t>
        </is>
      </c>
      <c r="G73" s="41" t="inlineStr">
        <is>
          <t>3</t>
        </is>
      </c>
      <c r="H73" s="52" t="inlineStr">
        <is>
          <t>Correctness-critical</t>
        </is>
      </c>
      <c r="I73" s="41" t="inlineStr">
        <is>
          <t>FEAT</t>
        </is>
      </c>
      <c r="J73" s="45" t="n">
        <v>0.5</v>
      </c>
      <c r="K73" s="42" t="inlineStr">
        <is>
          <t>E08-S05</t>
        </is>
      </c>
      <c r="L73" s="42" t="n"/>
      <c r="M73" s="46" t="n"/>
      <c r="N73" s="47" t="n"/>
      <c r="O73" s="48" t="n"/>
      <c r="P73" s="48" t="n"/>
      <c r="Q73" s="49" t="n"/>
      <c r="R73" s="41" t="n">
        <v>3</v>
      </c>
      <c r="S73" s="50" t="n"/>
      <c r="T73" s="50" t="inlineStr">
        <is>
          <t>1. Exponential decay using per-class half-lives from `NewsEventType`
2. Decay measured in *trading* days, not calendar days
3. Verify a weekend does not over-decay</t>
        </is>
      </c>
      <c r="U73" s="50" t="n"/>
      <c r="V73" s="50" t="n"/>
      <c r="W73" s="51" t="n"/>
    </row>
    <row r="74" ht="30" customHeight="1">
      <c r="A74" s="40" t="inlineStr">
        <is>
          <t>E08-S08</t>
        </is>
      </c>
      <c r="B74" s="41" t="inlineStr">
        <is>
          <t>E08</t>
        </is>
      </c>
      <c r="C74" s="42" t="inlineStr">
        <is>
          <t>NEWS INTELLIGENCE</t>
        </is>
      </c>
      <c r="D74" s="42" t="inlineStr">
        <is>
          <t>Composite score assembly</t>
        </is>
      </c>
      <c r="E74" s="42" t="inlineStr">
        <is>
          <t>New</t>
        </is>
      </c>
      <c r="F74" s="55" t="inlineStr">
        <is>
          <t>P1</t>
        </is>
      </c>
      <c r="G74" s="41" t="inlineStr">
        <is>
          <t>3</t>
        </is>
      </c>
      <c r="H74" s="52" t="inlineStr">
        <is>
          <t>Correctness-critical</t>
        </is>
      </c>
      <c r="I74" s="41" t="inlineStr">
        <is>
          <t>FEAT</t>
        </is>
      </c>
      <c r="J74" s="45" t="n">
        <v>1.5</v>
      </c>
      <c r="K74" s="42" t="inlineStr">
        <is>
          <t>E08-S06, E08-S07</t>
        </is>
      </c>
      <c r="L74" s="42" t="n"/>
      <c r="M74" s="46" t="n"/>
      <c r="N74" s="47" t="n"/>
      <c r="O74" s="48" t="n"/>
      <c r="P74" s="48" t="n"/>
      <c r="Q74" s="49" t="n"/>
      <c r="R74" s="41" t="n">
        <v>5</v>
      </c>
      <c r="S74" s="50" t="n"/>
      <c r="T74" s="50"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50" t="inlineStr">
        <is>
          <t>• Scores are never blended into one number
• A stale pipeline is visibly stale, not silently old</t>
        </is>
      </c>
      <c r="V74" s="50" t="n"/>
      <c r="W74" s="51" t="n"/>
    </row>
    <row r="75" ht="30" customHeight="1">
      <c r="A75" s="40" t="inlineStr">
        <is>
          <t>E08-S09</t>
        </is>
      </c>
      <c r="B75" s="41" t="inlineStr">
        <is>
          <t>E08</t>
        </is>
      </c>
      <c r="C75" s="42" t="inlineStr">
        <is>
          <t>NEWS INTELLIGENCE</t>
        </is>
      </c>
      <c r="D75" s="42" t="inlineStr">
        <is>
          <t>News UI surface</t>
        </is>
      </c>
      <c r="E75" s="42" t="inlineStr">
        <is>
          <t>New</t>
        </is>
      </c>
      <c r="F75" s="55" t="inlineStr">
        <is>
          <t>P1</t>
        </is>
      </c>
      <c r="G75" s="41" t="inlineStr">
        <is>
          <t>4</t>
        </is>
      </c>
      <c r="H75" s="44" t="inlineStr">
        <is>
          <t>Low</t>
        </is>
      </c>
      <c r="I75" s="41" t="inlineStr">
        <is>
          <t>FEAT</t>
        </is>
      </c>
      <c r="J75" s="45" t="n">
        <v>1</v>
      </c>
      <c r="K75" s="42" t="inlineStr">
        <is>
          <t>E08-S08, E17-S05</t>
        </is>
      </c>
      <c r="L75" s="42" t="n"/>
      <c r="M75" s="46" t="n"/>
      <c r="N75" s="47" t="n"/>
      <c r="O75" s="48" t="n"/>
      <c r="P75" s="48" t="n"/>
      <c r="Q75" s="49" t="n"/>
      <c r="R75" s="41" t="n">
        <v>0</v>
      </c>
      <c r="S75" s="50" t="n"/>
      <c r="T75" s="50" t="n"/>
      <c r="U75" s="50" t="n"/>
      <c r="V75" s="50" t="inlineStr">
        <is>
          <t>Show today's articles and decayed older contributions on symbol detail.</t>
        </is>
      </c>
      <c r="W75" s="51" t="n"/>
    </row>
    <row r="76" ht="30" customHeight="1">
      <c r="A76" s="40" t="inlineStr">
        <is>
          <t>E09-S01</t>
        </is>
      </c>
      <c r="B76" s="41" t="inlineStr">
        <is>
          <t>E09</t>
        </is>
      </c>
      <c r="C76" s="42" t="inlineStr">
        <is>
          <t>MACRO CONTEXT</t>
        </is>
      </c>
      <c r="D76" s="42" t="inlineStr">
        <is>
          <t>GIFT Nifty gap prediction</t>
        </is>
      </c>
      <c r="E76" s="42" t="inlineStr">
        <is>
          <t>New</t>
        </is>
      </c>
      <c r="F76" s="55" t="inlineStr">
        <is>
          <t>P1</t>
        </is>
      </c>
      <c r="G76" s="41" t="inlineStr">
        <is>
          <t>3</t>
        </is>
      </c>
      <c r="H76" s="52" t="inlineStr">
        <is>
          <t>Correctness-critical</t>
        </is>
      </c>
      <c r="I76" s="41" t="inlineStr">
        <is>
          <t>FEAT</t>
        </is>
      </c>
      <c r="J76" s="45" t="n">
        <v>1</v>
      </c>
      <c r="K76" s="42" t="n"/>
      <c r="L76" s="42" t="n"/>
      <c r="M76" s="46" t="n"/>
      <c r="N76" s="47" t="n"/>
      <c r="O76" s="48" t="n"/>
      <c r="P76" s="48" t="n"/>
      <c r="Q76" s="49" t="n"/>
      <c r="R76" s="41" t="n">
        <v>3</v>
      </c>
      <c r="S76" s="50" t="inlineStr">
        <is>
          <t>As a trader, I want the expected opening gap, so that the pre-market plan accounts for where the market will actually open.</t>
        </is>
      </c>
      <c r="T76" s="50" t="inlineStr">
        <is>
          <t>1. Fetch GIFT Nifty at ~09:00
2. Compute premium/discount vs previous Nifty close
3. Direction only — magnitude is unreliable (~85–90% direction accuracy)</t>
        </is>
      </c>
      <c r="U76" s="50" t="n"/>
      <c r="V76" s="50" t="n"/>
      <c r="W76" s="51" t="n"/>
    </row>
    <row r="77" ht="30" customHeight="1">
      <c r="A77" s="40" t="inlineStr">
        <is>
          <t>E09-S02</t>
        </is>
      </c>
      <c r="B77" s="41" t="inlineStr">
        <is>
          <t>E09</t>
        </is>
      </c>
      <c r="C77" s="42" t="inlineStr">
        <is>
          <t>MACRO CONTEXT</t>
        </is>
      </c>
      <c r="D77" s="42" t="inlineStr">
        <is>
          <t>India VIX ingestion</t>
        </is>
      </c>
      <c r="E77" s="42" t="inlineStr">
        <is>
          <t>New</t>
        </is>
      </c>
      <c r="F77" s="55" t="inlineStr">
        <is>
          <t>P1</t>
        </is>
      </c>
      <c r="G77" s="41" t="inlineStr">
        <is>
          <t>3</t>
        </is>
      </c>
      <c r="H77" s="44" t="inlineStr">
        <is>
          <t>Low</t>
        </is>
      </c>
      <c r="I77" s="41" t="inlineStr">
        <is>
          <t>FEAT</t>
        </is>
      </c>
      <c r="J77" s="45" t="n">
        <v>0.5</v>
      </c>
      <c r="K77" s="42" t="n"/>
      <c r="L77" s="42" t="n"/>
      <c r="M77" s="46" t="n"/>
      <c r="N77" s="47" t="n"/>
      <c r="O77" s="48" t="n"/>
      <c r="P77" s="48" t="n"/>
      <c r="Q77" s="49" t="n"/>
      <c r="R77" s="41" t="n">
        <v>0</v>
      </c>
      <c r="S77" s="50" t="n"/>
      <c r="T77" s="50" t="n"/>
      <c r="U77" s="50" t="n"/>
      <c r="V77" s="50" t="inlineStr">
        <is>
          <t>Current level, 30-day percentile, direction. Feeds regime and sizing.</t>
        </is>
      </c>
      <c r="W77" s="51" t="n"/>
    </row>
    <row r="78" ht="30" customHeight="1">
      <c r="A78" s="40" t="inlineStr">
        <is>
          <t>E09-S03</t>
        </is>
      </c>
      <c r="B78" s="41" t="inlineStr">
        <is>
          <t>E09</t>
        </is>
      </c>
      <c r="C78" s="42" t="inlineStr">
        <is>
          <t>MACRO CONTEXT</t>
        </is>
      </c>
      <c r="D78" s="42" t="inlineStr">
        <is>
          <t>FII/DII flow data</t>
        </is>
      </c>
      <c r="E78" s="42" t="inlineStr">
        <is>
          <t>New</t>
        </is>
      </c>
      <c r="F78" s="55" t="inlineStr">
        <is>
          <t>P1</t>
        </is>
      </c>
      <c r="G78" s="41" t="inlineStr">
        <is>
          <t>3</t>
        </is>
      </c>
      <c r="H78" s="44" t="inlineStr">
        <is>
          <t>Low</t>
        </is>
      </c>
      <c r="I78" s="41" t="inlineStr">
        <is>
          <t>FEAT</t>
        </is>
      </c>
      <c r="J78" s="45" t="n">
        <v>1</v>
      </c>
      <c r="K78" s="42" t="n"/>
      <c r="L78" s="42" t="n"/>
      <c r="M78" s="46" t="n"/>
      <c r="N78" s="47" t="n"/>
      <c r="O78" s="48" t="n"/>
      <c r="P78" s="48" t="n"/>
      <c r="Q78" s="49" t="n"/>
      <c r="R78" s="41" t="n">
        <v>0</v>
      </c>
      <c r="S78" s="50" t="n"/>
      <c r="T78" s="50" t="n"/>
      <c r="U78" s="50" t="n"/>
      <c r="V78" s="50" t="inlineStr">
        <is>
          <t>Daily cash and F&amp;O net figures; rolling 3-day trend.</t>
        </is>
      </c>
      <c r="W78" s="51" t="n"/>
    </row>
    <row r="79" ht="30" customHeight="1">
      <c r="A79" s="40" t="inlineStr">
        <is>
          <t>E09-S04</t>
        </is>
      </c>
      <c r="B79" s="41" t="inlineStr">
        <is>
          <t>E09</t>
        </is>
      </c>
      <c r="C79" s="42" t="inlineStr">
        <is>
          <t>MACRO CONTEXT</t>
        </is>
      </c>
      <c r="D79" s="42" t="inlineStr">
        <is>
          <t>Sector rotation ranking</t>
        </is>
      </c>
      <c r="E79" s="42" t="inlineStr">
        <is>
          <t>New</t>
        </is>
      </c>
      <c r="F79" s="55" t="inlineStr">
        <is>
          <t>P1</t>
        </is>
      </c>
      <c r="G79" s="41" t="inlineStr">
        <is>
          <t>3</t>
        </is>
      </c>
      <c r="H79" s="52" t="inlineStr">
        <is>
          <t>Correctness-critical</t>
        </is>
      </c>
      <c r="I79" s="41" t="inlineStr">
        <is>
          <t>FEAT</t>
        </is>
      </c>
      <c r="J79" s="45" t="n">
        <v>1.5</v>
      </c>
      <c r="K79" s="42" t="n"/>
      <c r="L79" s="42" t="n"/>
      <c r="M79" s="46" t="n"/>
      <c r="N79" s="47" t="n"/>
      <c r="O79" s="48" t="n"/>
      <c r="P79" s="48" t="n"/>
      <c r="Q79" s="49" t="n"/>
      <c r="R79" s="41" t="n">
        <v>4</v>
      </c>
      <c r="S79" s="50" t="n"/>
      <c r="T79" s="50" t="inlineStr">
        <is>
          <t>1. Fetch 24+ NSE sectoral indices
2. EOD/multi-day strength, not intraday — intraday ranks are noise
3. Relative strength vs Nifty
4. Breadth per sector</t>
        </is>
      </c>
      <c r="U79" s="50" t="n"/>
      <c r="V79" s="50" t="n"/>
      <c r="W79" s="51" t="n"/>
    </row>
    <row r="80" ht="30" customHeight="1">
      <c r="A80" s="40" t="inlineStr">
        <is>
          <t>E09-S05</t>
        </is>
      </c>
      <c r="B80" s="41" t="inlineStr">
        <is>
          <t>E09</t>
        </is>
      </c>
      <c r="C80" s="42" t="inlineStr">
        <is>
          <t>MACRO CONTEXT</t>
        </is>
      </c>
      <c r="D80" s="42" t="inlineStr">
        <is>
          <t>Economic calendar and event blackout</t>
        </is>
      </c>
      <c r="E80" s="42" t="inlineStr">
        <is>
          <t>New</t>
        </is>
      </c>
      <c r="F80" s="55" t="inlineStr">
        <is>
          <t>P1</t>
        </is>
      </c>
      <c r="G80" s="41" t="inlineStr">
        <is>
          <t>3</t>
        </is>
      </c>
      <c r="H80" s="53" t="inlineStr">
        <is>
          <t>Safety-critical</t>
        </is>
      </c>
      <c r="I80" s="41" t="inlineStr">
        <is>
          <t>FEAT</t>
        </is>
      </c>
      <c r="J80" s="45" t="n">
        <v>1.5</v>
      </c>
      <c r="K80" s="42" t="n"/>
      <c r="L80" s="42" t="n"/>
      <c r="M80" s="46" t="n"/>
      <c r="N80" s="47" t="n"/>
      <c r="O80" s="48" t="n"/>
      <c r="P80" s="48" t="n"/>
      <c r="Q80" s="49" t="n"/>
      <c r="R80" s="41" t="n">
        <v>4</v>
      </c>
      <c r="S80" s="50" t="inlineStr">
        <is>
          <t>As a risk-aware trader, I want to stand down around scheduled volatility events, so that a technical thesis is not run over by an RBI announcement.</t>
        </is>
      </c>
      <c r="T80" s="50" t="inlineStr">
        <is>
          <t>1. Fetch RBI policy, CPI, GDP, budget dates
2. Blackout windows from config
3. Union Budget full-day halt
4. Block new entries during blackout</t>
        </is>
      </c>
      <c r="U80" s="50" t="inlineStr">
        <is>
          <t>• 🔴 No entry is placed inside a configured blackout window</t>
        </is>
      </c>
      <c r="V80" s="50" t="n"/>
      <c r="W80" s="51" t="n"/>
    </row>
    <row r="81" ht="30" customHeight="1">
      <c r="A81" s="40" t="inlineStr">
        <is>
          <t>E09-S06</t>
        </is>
      </c>
      <c r="B81" s="41" t="inlineStr">
        <is>
          <t>E09</t>
        </is>
      </c>
      <c r="C81" s="42" t="inlineStr">
        <is>
          <t>MACRO CONTEXT</t>
        </is>
      </c>
      <c r="D81" s="42" t="inlineStr">
        <is>
          <t>Market regime classification</t>
        </is>
      </c>
      <c r="E81" s="42" t="inlineStr">
        <is>
          <t>New</t>
        </is>
      </c>
      <c r="F81" s="55" t="inlineStr">
        <is>
          <t>P1</t>
        </is>
      </c>
      <c r="G81" s="41" t="inlineStr">
        <is>
          <t>3</t>
        </is>
      </c>
      <c r="H81" s="52" t="inlineStr">
        <is>
          <t>Correctness-critical</t>
        </is>
      </c>
      <c r="I81" s="41" t="inlineStr">
        <is>
          <t>FEAT</t>
        </is>
      </c>
      <c r="J81" s="45" t="n">
        <v>1.5</v>
      </c>
      <c r="K81" s="42" t="inlineStr">
        <is>
          <t>E09-S02, E09-S04</t>
        </is>
      </c>
      <c r="L81" s="42" t="n"/>
      <c r="M81" s="46" t="n"/>
      <c r="N81" s="47" t="n"/>
      <c r="O81" s="48" t="n"/>
      <c r="P81" s="48" t="n"/>
      <c r="Q81" s="49" t="n"/>
      <c r="R81" s="41" t="n">
        <v>4</v>
      </c>
      <c r="S81" s="50" t="n"/>
      <c r="T81" s="50" t="inlineStr">
        <is>
          <t>1. Rule-based classifier: VIX + index trend + breadth + flows
2. Output: RISK_ON / RISK_OFF / HIGH_VOL / LOW_VOL / TRENDING / RANGEBOUND
3. Hysteresis to prevent flapping
4. Log regime changes</t>
        </is>
      </c>
      <c r="U81" s="50" t="n"/>
      <c r="V81" s="50" t="n"/>
      <c r="W81" s="51" t="n"/>
    </row>
    <row r="82" ht="30" customHeight="1">
      <c r="A82" s="40" t="inlineStr">
        <is>
          <t>E09-S07</t>
        </is>
      </c>
      <c r="B82" s="41" t="inlineStr">
        <is>
          <t>E09</t>
        </is>
      </c>
      <c r="C82" s="42" t="inlineStr">
        <is>
          <t>MACRO CONTEXT</t>
        </is>
      </c>
      <c r="D82" s="42" t="inlineStr">
        <is>
          <t>MarketContext assembly with staleness</t>
        </is>
      </c>
      <c r="E82" s="42" t="inlineStr">
        <is>
          <t>New</t>
        </is>
      </c>
      <c r="F82" s="55" t="inlineStr">
        <is>
          <t>P1</t>
        </is>
      </c>
      <c r="G82" s="41" t="inlineStr">
        <is>
          <t>3</t>
        </is>
      </c>
      <c r="H82" s="53" t="inlineStr">
        <is>
          <t>Safety-critical</t>
        </is>
      </c>
      <c r="I82" s="41" t="inlineStr">
        <is>
          <t>FEAT</t>
        </is>
      </c>
      <c r="J82" s="45" t="n">
        <v>1</v>
      </c>
      <c r="K82" s="42" t="inlineStr">
        <is>
          <t>E09-S01..S06</t>
        </is>
      </c>
      <c r="L82" s="42" t="n"/>
      <c r="M82" s="46" t="n"/>
      <c r="N82" s="47" t="n"/>
      <c r="O82" s="48" t="n"/>
      <c r="P82" s="48" t="n"/>
      <c r="Q82" s="49" t="n"/>
      <c r="R82" s="41" t="n">
        <v>5</v>
      </c>
      <c r="S82" s="50" t="inlineStr">
        <is>
          <t>As a consumer, I want every macro field to carry its own age, so that I cannot read stale data without knowing.</t>
        </is>
      </c>
      <c r="T82" s="50" t="inlineStr">
        <is>
          <t>1. Concurrent collection with per-collector timeout
2. `FieldWithStaleness[T]` wrapper — value plus `as_of` plus `is_stale`
3. Failed collector → `None` + flag, never an exception
4. `degraded_fields` list on the context
5. Cache in Redis with TTL</t>
        </is>
      </c>
      <c r="U82" s="50" t="inlineStr">
        <is>
          <t>• 🔴 A dead collector produces a usable context with an explicit gap</t>
        </is>
      </c>
      <c r="V82" s="50" t="n"/>
      <c r="W82" s="51" t="n"/>
    </row>
    <row r="83" ht="30" customHeight="1">
      <c r="A83" s="40" t="inlineStr">
        <is>
          <t>E09-S08</t>
        </is>
      </c>
      <c r="B83" s="41" t="inlineStr">
        <is>
          <t>E09</t>
        </is>
      </c>
      <c r="C83" s="42" t="inlineStr">
        <is>
          <t>MACRO CONTEXT</t>
        </is>
      </c>
      <c r="D83" s="42" t="inlineStr">
        <is>
          <t>Intermarket signals</t>
        </is>
      </c>
      <c r="E83" s="42" t="inlineStr">
        <is>
          <t>New</t>
        </is>
      </c>
      <c r="F83" s="54" t="inlineStr">
        <is>
          <t>P2</t>
        </is>
      </c>
      <c r="G83" s="41" t="inlineStr">
        <is>
          <t>6</t>
        </is>
      </c>
      <c r="H83" s="44" t="inlineStr">
        <is>
          <t>Low</t>
        </is>
      </c>
      <c r="I83" s="41" t="inlineStr">
        <is>
          <t>FEAT</t>
        </is>
      </c>
      <c r="J83" s="45" t="n">
        <v>1</v>
      </c>
      <c r="K83" s="42" t="n"/>
      <c r="L83" s="42" t="n"/>
      <c r="M83" s="46" t="n"/>
      <c r="N83" s="47" t="n"/>
      <c r="O83" s="48" t="n"/>
      <c r="P83" s="48" t="n"/>
      <c r="Q83" s="49" t="n"/>
      <c r="R83" s="41" t="n">
        <v>0</v>
      </c>
      <c r="S83" s="50" t="n"/>
      <c r="T83" s="50" t="n"/>
      <c r="U83" s="50" t="n"/>
      <c r="V83" s="50" t="inlineStr">
        <is>
          <t>USD/INR and crude effects on sector expectations.</t>
        </is>
      </c>
      <c r="W83" s="51" t="n"/>
    </row>
    <row r="84" ht="30" customHeight="1">
      <c r="A84" s="40" t="inlineStr">
        <is>
          <t>E10-S01</t>
        </is>
      </c>
      <c r="B84" s="41" t="inlineStr">
        <is>
          <t>E10</t>
        </is>
      </c>
      <c r="C84" s="42" t="inlineStr">
        <is>
          <t>AI LAYER</t>
        </is>
      </c>
      <c r="D84" s="42" t="inlineStr">
        <is>
          <t>Anthropic client wrapper</t>
        </is>
      </c>
      <c r="E84" s="42" t="inlineStr">
        <is>
          <t>New</t>
        </is>
      </c>
      <c r="F84" s="43" t="inlineStr">
        <is>
          <t>P0</t>
        </is>
      </c>
      <c r="G84" s="41" t="inlineStr">
        <is>
          <t>3</t>
        </is>
      </c>
      <c r="H84" s="53" t="inlineStr">
        <is>
          <t>Safety-critical</t>
        </is>
      </c>
      <c r="I84" s="41" t="inlineStr">
        <is>
          <t>FEAT</t>
        </is>
      </c>
      <c r="J84" s="45" t="n">
        <v>1.5</v>
      </c>
      <c r="K84" s="42" t="n"/>
      <c r="L84" s="42" t="n"/>
      <c r="M84" s="46" t="n"/>
      <c r="N84" s="47" t="n"/>
      <c r="O84" s="48" t="n"/>
      <c r="P84" s="48" t="n"/>
      <c r="Q84" s="49" t="n"/>
      <c r="R84" s="41" t="n">
        <v>5</v>
      </c>
      <c r="S84" s="50" t="n"/>
      <c r="T84" s="50" t="inlineStr">
        <is>
          <t>1. Async client with per-tier model selection
2. Timeout per tier from config
3. Retry with backoff on transient errors
4. Check `stop_reason` before reading `content`
5. Structured request/response logging with token counts</t>
        </is>
      </c>
      <c r="U84" s="50" t="inlineStr">
        <is>
          <t>• 🔴 A refusal never crashes the caller</t>
        </is>
      </c>
      <c r="V84" s="50" t="n"/>
      <c r="W84" s="51" t="n"/>
    </row>
    <row r="85" ht="30" customHeight="1">
      <c r="A85" s="40" t="inlineStr">
        <is>
          <t>E10-S02</t>
        </is>
      </c>
      <c r="B85" s="41" t="inlineStr">
        <is>
          <t>E10</t>
        </is>
      </c>
      <c r="C85" s="42" t="inlineStr">
        <is>
          <t>AI LAYER</t>
        </is>
      </c>
      <c r="D85" s="42" t="inlineStr">
        <is>
          <t>Prompt template system with caching</t>
        </is>
      </c>
      <c r="E85" s="42" t="inlineStr">
        <is>
          <t>New</t>
        </is>
      </c>
      <c r="F85" s="43" t="inlineStr">
        <is>
          <t>P0</t>
        </is>
      </c>
      <c r="G85" s="41" t="inlineStr">
        <is>
          <t>3</t>
        </is>
      </c>
      <c r="H85" s="53" t="inlineStr">
        <is>
          <t>Safety-critical</t>
        </is>
      </c>
      <c r="I85" s="41" t="inlineStr">
        <is>
          <t>FEAT</t>
        </is>
      </c>
      <c r="J85" s="45" t="n">
        <v>2</v>
      </c>
      <c r="K85" s="42" t="inlineStr">
        <is>
          <t>E10-S01</t>
        </is>
      </c>
      <c r="L85" s="42" t="n"/>
      <c r="M85" s="46" t="n"/>
      <c r="N85" s="47" t="n"/>
      <c r="O85" s="48" t="n"/>
      <c r="P85" s="48" t="n"/>
      <c r="Q85" s="49" t="n"/>
      <c r="R85" s="41" t="n">
        <v>5</v>
      </c>
      <c r="S85" s="50" t="inlineStr">
        <is>
          <t>As a cost-conscious operator, I want prompts structured for cache hits, so that repeated calls do not pay full price.</t>
        </is>
      </c>
      <c r="T85" s="50"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50" t="inlineStr">
        <is>
          <t>• 🔴 `cache_read_input_tokens` &gt; 0 on the second identical-prefix call
• Alert if the cache hit rate drops below threshold</t>
        </is>
      </c>
      <c r="V85" s="50" t="n"/>
      <c r="W85" s="51" t="n"/>
    </row>
    <row r="86" ht="30" customHeight="1">
      <c r="A86" s="40" t="inlineStr">
        <is>
          <t>E10-S03</t>
        </is>
      </c>
      <c r="B86" s="41" t="inlineStr">
        <is>
          <t>E10</t>
        </is>
      </c>
      <c r="C86" s="42" t="inlineStr">
        <is>
          <t>AI LAYER</t>
        </is>
      </c>
      <c r="D86" s="42" t="inlineStr">
        <is>
          <t>Structured output schemas</t>
        </is>
      </c>
      <c r="E86" s="42" t="inlineStr">
        <is>
          <t>New</t>
        </is>
      </c>
      <c r="F86" s="43" t="inlineStr">
        <is>
          <t>P0</t>
        </is>
      </c>
      <c r="G86" s="41" t="inlineStr">
        <is>
          <t>3</t>
        </is>
      </c>
      <c r="H86" s="53" t="inlineStr">
        <is>
          <t>Safety-critical</t>
        </is>
      </c>
      <c r="I86" s="41" t="inlineStr">
        <is>
          <t>FEAT</t>
        </is>
      </c>
      <c r="J86" s="45" t="n">
        <v>1</v>
      </c>
      <c r="K86" s="42" t="inlineStr">
        <is>
          <t>E10-S01</t>
        </is>
      </c>
      <c r="L86" s="42" t="n"/>
      <c r="M86" s="46" t="n"/>
      <c r="N86" s="47" t="n"/>
      <c r="O86" s="48" t="n"/>
      <c r="P86" s="48" t="n"/>
      <c r="Q86" s="49" t="n"/>
      <c r="R86" s="41" t="n">
        <v>4</v>
      </c>
      <c r="S86" s="50" t="n"/>
      <c r="T86" s="50" t="inlineStr">
        <is>
          <t>1. `AIReview`, `DailyThesis`, `Playbook`, `NewsSignal` Pydantic models
2. `messages.parse()` integration
3. Schema validation failure → skip, log raw response
4. No `temperature`/`top_p` (rejected by current models)</t>
        </is>
      </c>
      <c r="U86" s="50" t="n"/>
      <c r="V86" s="50" t="n"/>
      <c r="W86" s="51" t="n"/>
    </row>
    <row r="87" ht="30" customHeight="1">
      <c r="A87" s="40" t="inlineStr">
        <is>
          <t>E10-S04</t>
        </is>
      </c>
      <c r="B87" s="41" t="inlineStr">
        <is>
          <t>E10</t>
        </is>
      </c>
      <c r="C87" s="42" t="inlineStr">
        <is>
          <t>AI LAYER</t>
        </is>
      </c>
      <c r="D87" s="42" t="inlineStr">
        <is>
          <t>Token budget and cost control</t>
        </is>
      </c>
      <c r="E87" s="42" t="inlineStr">
        <is>
          <t>New</t>
        </is>
      </c>
      <c r="F87" s="43" t="inlineStr">
        <is>
          <t>P0</t>
        </is>
      </c>
      <c r="G87" s="41" t="inlineStr">
        <is>
          <t>3</t>
        </is>
      </c>
      <c r="H87" s="53" t="inlineStr">
        <is>
          <t>Safety-critical</t>
        </is>
      </c>
      <c r="I87" s="41" t="inlineStr">
        <is>
          <t>FEAT</t>
        </is>
      </c>
      <c r="J87" s="45" t="n">
        <v>1</v>
      </c>
      <c r="K87" s="42" t="inlineStr">
        <is>
          <t>E10-S01</t>
        </is>
      </c>
      <c r="L87" s="42" t="n"/>
      <c r="M87" s="46" t="n"/>
      <c r="N87" s="47" t="n"/>
      <c r="O87" s="48" t="n"/>
      <c r="P87" s="48" t="n"/>
      <c r="Q87" s="49" t="n"/>
      <c r="R87" s="41" t="n">
        <v>5</v>
      </c>
      <c r="S87" s="50" t="n"/>
      <c r="T87" s="50" t="inlineStr">
        <is>
          <t>1. Redis counter for daily token spend
2. Alert at `alert_at_pct`
3. Hard stop at 100% → degrade to score-only mode, keep trading
4. Per-tier cost attribution
5. Daily cost report</t>
        </is>
      </c>
      <c r="U87" s="50" t="inlineStr">
        <is>
          <t>• 🔴 Budget exhaustion degrades capability; it never halts risk management</t>
        </is>
      </c>
      <c r="V87" s="50" t="n"/>
      <c r="W87" s="51" t="n"/>
    </row>
    <row r="88" ht="30" customHeight="1">
      <c r="A88" s="40" t="inlineStr">
        <is>
          <t>E10-S05</t>
        </is>
      </c>
      <c r="B88" s="41" t="inlineStr">
        <is>
          <t>E10</t>
        </is>
      </c>
      <c r="C88" s="42" t="inlineStr">
        <is>
          <t>AI LAYER</t>
        </is>
      </c>
      <c r="D88" s="42" t="inlineStr">
        <is>
          <t>In-session AI review</t>
        </is>
      </c>
      <c r="E88" s="42" t="inlineStr">
        <is>
          <t>New</t>
        </is>
      </c>
      <c r="F88" s="43" t="inlineStr">
        <is>
          <t>P0</t>
        </is>
      </c>
      <c r="G88" s="41" t="inlineStr">
        <is>
          <t>4</t>
        </is>
      </c>
      <c r="H88" s="53" t="inlineStr">
        <is>
          <t>Safety-critical</t>
        </is>
      </c>
      <c r="I88" s="41" t="inlineStr">
        <is>
          <t>FEAT</t>
        </is>
      </c>
      <c r="J88" s="45" t="n">
        <v>1.5</v>
      </c>
      <c r="K88" s="42" t="inlineStr">
        <is>
          <t>E10-S02, E10-S03</t>
        </is>
      </c>
      <c r="L88" s="42" t="n"/>
      <c r="M88" s="46" t="n"/>
      <c r="N88" s="47" t="n"/>
      <c r="O88" s="48" t="n"/>
      <c r="P88" s="48" t="n"/>
      <c r="Q88" s="49" t="n"/>
      <c r="R88" s="41" t="n">
        <v>5</v>
      </c>
      <c r="S88" s="50" t="n"/>
      <c r="T88" s="50" t="inlineStr">
        <is>
          <t>1. Render trigger + MTF snapshot + market context into the volatile layer
2. Sonnet call with `AIReview` output
3. Timeout → skip trade (fail closed)
4. Bounded concurrency via semaphore
5. Full request/response to audit log</t>
        </is>
      </c>
      <c r="U88" s="50" t="n"/>
      <c r="V88" s="50" t="n"/>
      <c r="W88" s="51" t="n"/>
    </row>
    <row r="89" ht="30" customHeight="1">
      <c r="A89" s="40" t="inlineStr">
        <is>
          <t>E10-S06</t>
        </is>
      </c>
      <c r="B89" s="41" t="inlineStr">
        <is>
          <t>E10</t>
        </is>
      </c>
      <c r="C89" s="42" t="inlineStr">
        <is>
          <t>AI LAYER</t>
        </is>
      </c>
      <c r="D89" s="42" t="inlineStr">
        <is>
          <t>Response caching for backtest</t>
        </is>
      </c>
      <c r="E89" s="42" t="inlineStr">
        <is>
          <t>New</t>
        </is>
      </c>
      <c r="F89" s="55" t="inlineStr">
        <is>
          <t>P1</t>
        </is>
      </c>
      <c r="G89" s="41" t="inlineStr">
        <is>
          <t>5</t>
        </is>
      </c>
      <c r="H89" s="52" t="inlineStr">
        <is>
          <t>Correctness-critical</t>
        </is>
      </c>
      <c r="I89" s="41" t="inlineStr">
        <is>
          <t>FEAT</t>
        </is>
      </c>
      <c r="J89" s="45" t="n">
        <v>1.5</v>
      </c>
      <c r="K89" s="42" t="inlineStr">
        <is>
          <t>E10-S01</t>
        </is>
      </c>
      <c r="L89" s="42" t="n"/>
      <c r="M89" s="46" t="n"/>
      <c r="N89" s="47" t="n"/>
      <c r="O89" s="48" t="n"/>
      <c r="P89" s="48" t="n"/>
      <c r="Q89" s="49" t="n"/>
      <c r="R89" s="41" t="n">
        <v>3</v>
      </c>
      <c r="S89" s="50" t="inlineStr">
        <is>
          <t>As a backtester, I want historical AI outputs replayed rather than re-called, so that backtests are deterministic and free.</t>
        </is>
      </c>
      <c r="T89" s="50" t="inlineStr">
        <is>
          <t>1. Cache keyed by prompt hash
2. Replay mode reads cache, never calls the API
3. Cache-miss policy in replay: fail loudly, do not silently call</t>
        </is>
      </c>
      <c r="U89" s="50" t="n"/>
      <c r="V89" s="50" t="n"/>
      <c r="W89" s="51" t="n"/>
    </row>
    <row r="90" ht="30" customHeight="1">
      <c r="A90" s="40" t="inlineStr">
        <is>
          <t>E10-S07</t>
        </is>
      </c>
      <c r="B90" s="41" t="inlineStr">
        <is>
          <t>E10</t>
        </is>
      </c>
      <c r="C90" s="42" t="inlineStr">
        <is>
          <t>AI LAYER</t>
        </is>
      </c>
      <c r="D90" s="42" t="inlineStr">
        <is>
          <t>Refusal handling and fallback</t>
        </is>
      </c>
      <c r="E90" s="42" t="inlineStr">
        <is>
          <t>New</t>
        </is>
      </c>
      <c r="F90" s="55" t="inlineStr">
        <is>
          <t>P1</t>
        </is>
      </c>
      <c r="G90" s="41" t="inlineStr">
        <is>
          <t>4</t>
        </is>
      </c>
      <c r="H90" s="53" t="inlineStr">
        <is>
          <t>Safety-critical</t>
        </is>
      </c>
      <c r="I90" s="41" t="inlineStr">
        <is>
          <t>SEC</t>
        </is>
      </c>
      <c r="J90" s="45" t="n">
        <v>1</v>
      </c>
      <c r="K90" s="42" t="inlineStr">
        <is>
          <t>E10-S01</t>
        </is>
      </c>
      <c r="L90" s="42" t="n"/>
      <c r="M90" s="46" t="n"/>
      <c r="N90" s="47" t="n"/>
      <c r="O90" s="48" t="n"/>
      <c r="P90" s="48" t="n"/>
      <c r="Q90" s="49" t="n"/>
      <c r="R90" s="41" t="n">
        <v>3</v>
      </c>
      <c r="S90" s="50" t="n"/>
      <c r="T90" s="50" t="inlineStr">
        <is>
          <t>1. Detect `stop_reason == "refusal"` with category
2. Log and skip the trade
3. Alert if refusals cluster (may indicate a prompt problem)</t>
        </is>
      </c>
      <c r="U90" s="50" t="n"/>
      <c r="V90" s="50" t="n"/>
      <c r="W90" s="51" t="n"/>
    </row>
    <row r="91" ht="30" customHeight="1">
      <c r="A91" s="40" t="inlineStr">
        <is>
          <t>E10-S08</t>
        </is>
      </c>
      <c r="B91" s="41" t="inlineStr">
        <is>
          <t>E10</t>
        </is>
      </c>
      <c r="C91" s="42" t="inlineStr">
        <is>
          <t>AI LAYER</t>
        </is>
      </c>
      <c r="D91" s="42" t="inlineStr">
        <is>
          <t>Model tier routing and evaluation</t>
        </is>
      </c>
      <c r="E91" s="42" t="inlineStr">
        <is>
          <t>New</t>
        </is>
      </c>
      <c r="F91" s="54" t="inlineStr">
        <is>
          <t>P2</t>
        </is>
      </c>
      <c r="G91" s="41" t="inlineStr">
        <is>
          <t>6</t>
        </is>
      </c>
      <c r="H91" s="44" t="inlineStr">
        <is>
          <t>Low</t>
        </is>
      </c>
      <c r="I91" s="41" t="inlineStr">
        <is>
          <t>FEAT</t>
        </is>
      </c>
      <c r="J91" s="45" t="n">
        <v>0.5</v>
      </c>
      <c r="K91" s="42" t="n"/>
      <c r="L91" s="42" t="n"/>
      <c r="M91" s="46" t="n"/>
      <c r="N91" s="47" t="n"/>
      <c r="O91" s="48" t="n"/>
      <c r="P91" s="48" t="n"/>
      <c r="Q91" s="49" t="n"/>
      <c r="R91" s="41" t="n">
        <v>0</v>
      </c>
      <c r="S91" s="50" t="n"/>
      <c r="T91" s="50" t="n"/>
      <c r="U91" s="50" t="n"/>
      <c r="V91" s="50" t="inlineStr">
        <is>
          <t>A/B a cheaper tier for in-session review and compare decision quality.</t>
        </is>
      </c>
      <c r="W91" s="51" t="n"/>
    </row>
    <row r="92" ht="30" customHeight="1">
      <c r="A92" s="40" t="inlineStr">
        <is>
          <t>E11-S01</t>
        </is>
      </c>
      <c r="B92" s="41" t="inlineStr">
        <is>
          <t>E11</t>
        </is>
      </c>
      <c r="C92" s="42" t="inlineStr">
        <is>
          <t>PRE-MARKET ENGINE</t>
        </is>
      </c>
      <c r="D92" s="42" t="inlineStr">
        <is>
          <t>Pipeline orchestration with checkpointing</t>
        </is>
      </c>
      <c r="E92" s="42" t="inlineStr">
        <is>
          <t>New</t>
        </is>
      </c>
      <c r="F92" s="43" t="inlineStr">
        <is>
          <t>P0</t>
        </is>
      </c>
      <c r="G92" s="41" t="inlineStr">
        <is>
          <t>3</t>
        </is>
      </c>
      <c r="H92" s="53" t="inlineStr">
        <is>
          <t>Safety-critical</t>
        </is>
      </c>
      <c r="I92" s="41" t="inlineStr">
        <is>
          <t>FEAT</t>
        </is>
      </c>
      <c r="J92" s="45" t="n">
        <v>2</v>
      </c>
      <c r="K92" s="42" t="inlineStr">
        <is>
          <t>E01-S02</t>
        </is>
      </c>
      <c r="L92" s="42" t="n"/>
      <c r="M92" s="46" t="n"/>
      <c r="N92" s="47" t="n"/>
      <c r="O92" s="48" t="n"/>
      <c r="P92" s="48" t="n"/>
      <c r="Q92" s="49" t="n"/>
      <c r="R92" s="41" t="n">
        <v>5</v>
      </c>
      <c r="S92" s="50" t="inlineStr">
        <is>
          <t>As an operator, I want the pre-market pipeline to resume from where it failed, so that a crash at 08:50 does not mean recomputing three hours of work with 25 minutes until the open.</t>
        </is>
      </c>
      <c r="T92" s="50" t="inlineStr">
        <is>
          <t>1. Stage abstraction with per-stage deadline
2. Checkpoint each stage output keyed by (date, stage)
3. Resume from the last completed stage
4. Overall deadline: hard stop at 09:12
5. Alert on stage overrun</t>
        </is>
      </c>
      <c r="U92" s="50" t="inlineStr">
        <is>
          <t>• 🔴 Killing the job mid-pipeline and restarting resumes correctly
• The plan is published by 09:12 or the day is flagged degraded</t>
        </is>
      </c>
      <c r="V92" s="50" t="n"/>
      <c r="W92" s="51" t="n"/>
    </row>
    <row r="93" ht="30" customHeight="1">
      <c r="A93" s="40" t="inlineStr">
        <is>
          <t>E11-S02</t>
        </is>
      </c>
      <c r="B93" s="41" t="inlineStr">
        <is>
          <t>E11</t>
        </is>
      </c>
      <c r="C93" s="42" t="inlineStr">
        <is>
          <t>PRE-MARKET ENGINE</t>
        </is>
      </c>
      <c r="D93" s="42" t="inlineStr">
        <is>
          <t>Data sync stage (05:30)</t>
        </is>
      </c>
      <c r="E93" s="42" t="inlineStr">
        <is>
          <t>New</t>
        </is>
      </c>
      <c r="F93" s="43" t="inlineStr">
        <is>
          <t>P0</t>
        </is>
      </c>
      <c r="G93" s="41" t="inlineStr">
        <is>
          <t>3</t>
        </is>
      </c>
      <c r="H93" s="52" t="inlineStr">
        <is>
          <t>Correctness-critical</t>
        </is>
      </c>
      <c r="I93" s="41" t="inlineStr">
        <is>
          <t>FEAT</t>
        </is>
      </c>
      <c r="J93" s="45" t="n">
        <v>0.5</v>
      </c>
      <c r="K93" s="42" t="inlineStr">
        <is>
          <t>E03-S01, E04 (all)</t>
        </is>
      </c>
      <c r="L93" s="42" t="n"/>
      <c r="M93" s="46" t="n"/>
      <c r="N93" s="47" t="n"/>
      <c r="O93" s="48" t="n"/>
      <c r="P93" s="48" t="n"/>
      <c r="Q93" s="49" t="n"/>
      <c r="R93" s="41" t="n">
        <v>0</v>
      </c>
      <c r="S93" s="50" t="n"/>
      <c r="T93" s="50" t="n"/>
      <c r="U93" s="50" t="n"/>
      <c r="V93" s="50" t="n"/>
      <c r="W93" s="51" t="n"/>
    </row>
    <row r="94" ht="30" customHeight="1">
      <c r="A94" s="40" t="inlineStr">
        <is>
          <t>E11-S03</t>
        </is>
      </c>
      <c r="B94" s="41" t="inlineStr">
        <is>
          <t>E11</t>
        </is>
      </c>
      <c r="C94" s="42" t="inlineStr">
        <is>
          <t>PRE-MARKET ENGINE</t>
        </is>
      </c>
      <c r="D94" s="42" t="inlineStr">
        <is>
          <t>Universe construction stage (06:30)</t>
        </is>
      </c>
      <c r="E94" s="42" t="inlineStr">
        <is>
          <t>New</t>
        </is>
      </c>
      <c r="F94" s="43" t="inlineStr">
        <is>
          <t>P0</t>
        </is>
      </c>
      <c r="G94" s="41" t="inlineStr">
        <is>
          <t>3</t>
        </is>
      </c>
      <c r="H94" s="52" t="inlineStr">
        <is>
          <t>Correctness-critical</t>
        </is>
      </c>
      <c r="I94" s="41" t="inlineStr">
        <is>
          <t>FEAT</t>
        </is>
      </c>
      <c r="J94" s="45" t="n">
        <v>0.5</v>
      </c>
      <c r="K94" s="42" t="inlineStr">
        <is>
          <t>E07-S02</t>
        </is>
      </c>
      <c r="L94" s="42" t="n"/>
      <c r="M94" s="46" t="n"/>
      <c r="N94" s="47" t="n"/>
      <c r="O94" s="48" t="n"/>
      <c r="P94" s="48" t="n"/>
      <c r="Q94" s="49" t="n"/>
      <c r="R94" s="41" t="n">
        <v>0</v>
      </c>
      <c r="S94" s="50" t="n"/>
      <c r="T94" s="50" t="n"/>
      <c r="U94" s="50" t="n"/>
      <c r="V94" s="50" t="n"/>
      <c r="W94" s="51" t="n"/>
    </row>
    <row r="95" ht="30" customHeight="1">
      <c r="A95" s="40" t="inlineStr">
        <is>
          <t>E11-S04</t>
        </is>
      </c>
      <c r="B95" s="41" t="inlineStr">
        <is>
          <t>E11</t>
        </is>
      </c>
      <c r="C95" s="42" t="inlineStr">
        <is>
          <t>PRE-MARKET ENGINE</t>
        </is>
      </c>
      <c r="D95" s="42" t="inlineStr">
        <is>
          <t>Multi-timeframe analysis stage (07:30)</t>
        </is>
      </c>
      <c r="E95" s="42" t="inlineStr">
        <is>
          <t>New</t>
        </is>
      </c>
      <c r="F95" s="43" t="inlineStr">
        <is>
          <t>P0</t>
        </is>
      </c>
      <c r="G95" s="41" t="inlineStr">
        <is>
          <t>3</t>
        </is>
      </c>
      <c r="H95" s="52" t="inlineStr">
        <is>
          <t>Correctness-critical</t>
        </is>
      </c>
      <c r="I95" s="41" t="inlineStr">
        <is>
          <t>FEAT</t>
        </is>
      </c>
      <c r="J95" s="45" t="n">
        <v>2</v>
      </c>
      <c r="K95" s="42" t="inlineStr">
        <is>
          <t>E06-S03</t>
        </is>
      </c>
      <c r="L95" s="42" t="n"/>
      <c r="M95" s="46" t="n"/>
      <c r="N95" s="47" t="n"/>
      <c r="O95" s="48" t="n"/>
      <c r="P95" s="48" t="n"/>
      <c r="Q95" s="49" t="n"/>
      <c r="R95" s="41" t="n">
        <v>5</v>
      </c>
      <c r="S95" s="50" t="inlineStr">
        <is>
          <t>As the heaviest compute of the day, this must complete in 45 minutes across the eligible universe.</t>
        </is>
      </c>
      <c r="T95" s="50" t="inlineStr">
        <is>
          <t>1. `ProcessPoolExecutor` fan-out across symbol slices
2. Weekly/daily/hourly indicator computation from stored history
3. Serialise snapshots back to the parent
4. Progress reporting
5. Graceful degradation if a symbol's history is insufficient</t>
        </is>
      </c>
      <c r="U95" s="50" t="inlineStr">
        <is>
          <t>• 200 symbols × 3 timeframes complete in &lt; 30 minutes</t>
        </is>
      </c>
      <c r="V95" s="50" t="n"/>
      <c r="W95" s="51" t="n"/>
    </row>
    <row r="96" ht="30" customHeight="1">
      <c r="A96" s="40" t="inlineStr">
        <is>
          <t>E11-S05</t>
        </is>
      </c>
      <c r="B96" s="41" t="inlineStr">
        <is>
          <t>E11</t>
        </is>
      </c>
      <c r="C96" s="42" t="inlineStr">
        <is>
          <t>PRE-MARKET ENGINE</t>
        </is>
      </c>
      <c r="D96" s="42" t="inlineStr">
        <is>
          <t>News and macro sweep stage (08:15)</t>
        </is>
      </c>
      <c r="E96" s="42" t="inlineStr">
        <is>
          <t>New</t>
        </is>
      </c>
      <c r="F96" s="43" t="inlineStr">
        <is>
          <t>P0</t>
        </is>
      </c>
      <c r="G96" s="41" t="inlineStr">
        <is>
          <t>3</t>
        </is>
      </c>
      <c r="H96" s="52" t="inlineStr">
        <is>
          <t>Correctness-critical</t>
        </is>
      </c>
      <c r="I96" s="41" t="inlineStr">
        <is>
          <t>FEAT</t>
        </is>
      </c>
      <c r="J96" s="45" t="n">
        <v>0.5</v>
      </c>
      <c r="K96" s="42" t="inlineStr">
        <is>
          <t>E08, E09</t>
        </is>
      </c>
      <c r="L96" s="42" t="n"/>
      <c r="M96" s="46" t="n"/>
      <c r="N96" s="47" t="n"/>
      <c r="O96" s="48" t="n"/>
      <c r="P96" s="48" t="n"/>
      <c r="Q96" s="49" t="n"/>
      <c r="R96" s="41" t="n">
        <v>0</v>
      </c>
      <c r="S96" s="50" t="n"/>
      <c r="T96" s="50" t="n"/>
      <c r="U96" s="50" t="n"/>
      <c r="V96" s="50" t="n"/>
      <c r="W96" s="51" t="n"/>
    </row>
    <row r="97" ht="30" customHeight="1">
      <c r="A97" s="40" t="inlineStr">
        <is>
          <t>E11-S06</t>
        </is>
      </c>
      <c r="B97" s="41" t="inlineStr">
        <is>
          <t>E11</t>
        </is>
      </c>
      <c r="C97" s="42" t="inlineStr">
        <is>
          <t>PRE-MARKET ENGINE</t>
        </is>
      </c>
      <c r="D97" s="42" t="inlineStr">
        <is>
          <t>AI deep synthesis stage (08:45) ⭐</t>
        </is>
      </c>
      <c r="E97" s="42" t="inlineStr">
        <is>
          <t>New</t>
        </is>
      </c>
      <c r="F97" s="43" t="inlineStr">
        <is>
          <t>P0</t>
        </is>
      </c>
      <c r="G97" s="41" t="inlineStr">
        <is>
          <t>3</t>
        </is>
      </c>
      <c r="H97" s="53" t="inlineStr">
        <is>
          <t>Safety-critical</t>
        </is>
      </c>
      <c r="I97" s="41" t="inlineStr">
        <is>
          <t>FEAT</t>
        </is>
      </c>
      <c r="J97" s="45" t="n">
        <v>2</v>
      </c>
      <c r="K97" s="42" t="inlineStr">
        <is>
          <t>E10-S02, E11-S04</t>
        </is>
      </c>
      <c r="L97" s="42" t="n"/>
      <c r="M97" s="46" t="n"/>
      <c r="N97" s="47" t="n"/>
      <c r="O97" s="48" t="n"/>
      <c r="P97" s="48" t="n"/>
      <c r="Q97" s="49" t="n"/>
      <c r="R97" s="41" t="n">
        <v>7</v>
      </c>
      <c r="S97" s="50" t="inlineStr">
        <is>
          <t>As a trader, I want a written market thesis and per-stock playbooks before the open, so that the session is execution of a plan rather than analysis under pressure.</t>
        </is>
      </c>
      <c r="T97" s="50"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50" t="inlineStr">
        <is>
          <t>• 🔴 A timeout produces a valid score-only plan, not a missing plan
• Every candidate's playbook is traceable to its inputs</t>
        </is>
      </c>
      <c r="V97" s="50" t="n"/>
      <c r="W97" s="51" t="n"/>
    </row>
    <row r="98" ht="30" customHeight="1">
      <c r="A98" s="40" t="inlineStr">
        <is>
          <t>E11-S07</t>
        </is>
      </c>
      <c r="B98" s="41" t="inlineStr">
        <is>
          <t>E11</t>
        </is>
      </c>
      <c r="C98" s="42" t="inlineStr">
        <is>
          <t>PRE-MARKET ENGINE</t>
        </is>
      </c>
      <c r="D98" s="42" t="inlineStr">
        <is>
          <t>Pre-open gap adjustment (09:02)</t>
        </is>
      </c>
      <c r="E98" s="42" t="inlineStr">
        <is>
          <t>New</t>
        </is>
      </c>
      <c r="F98" s="43" t="inlineStr">
        <is>
          <t>P0</t>
        </is>
      </c>
      <c r="G98" s="41" t="inlineStr">
        <is>
          <t>3</t>
        </is>
      </c>
      <c r="H98" s="53" t="inlineStr">
        <is>
          <t>Safety-critical</t>
        </is>
      </c>
      <c r="I98" s="41" t="inlineStr">
        <is>
          <t>FEAT</t>
        </is>
      </c>
      <c r="J98" s="45" t="n">
        <v>1.5</v>
      </c>
      <c r="K98" s="42" t="inlineStr">
        <is>
          <t>E09-S01, E11-S06</t>
        </is>
      </c>
      <c r="L98" s="42" t="n"/>
      <c r="M98" s="46" t="n"/>
      <c r="N98" s="47" t="n"/>
      <c r="O98" s="48" t="n"/>
      <c r="P98" s="48" t="n"/>
      <c r="Q98" s="49" t="n"/>
      <c r="R98" s="41" t="n">
        <v>5</v>
      </c>
      <c r="S98" s="50" t="inlineStr">
        <is>
          <t>As a trader, I want the plan re-ranked with actual opening prices, so that a stock that gapped past its entry is not traded on a stale thesis.</t>
        </is>
      </c>
      <c r="T98" s="50" t="inlineStr">
        <is>
          <t>1. Read pre-open equilibrium prices
2. Compute per-stock gap vs previous close
3. Invalidate if gap exceeds `invalidate_if_gap_exceeds_pct`
4. Promote gap-and-go candidates
5. Keep invalidated candidates visible with reason</t>
        </is>
      </c>
      <c r="U98" s="50" t="inlineStr">
        <is>
          <t>• 🔴 A candidate that gapped past its entry cannot be traded on the old plan</t>
        </is>
      </c>
      <c r="V98" s="50" t="n"/>
      <c r="W98" s="51" t="n"/>
    </row>
    <row r="99" ht="30" customHeight="1">
      <c r="A99" s="40" t="inlineStr">
        <is>
          <t>E11-S08</t>
        </is>
      </c>
      <c r="B99" s="41" t="inlineStr">
        <is>
          <t>E11</t>
        </is>
      </c>
      <c r="C99" s="42" t="inlineStr">
        <is>
          <t>PRE-MARKET ENGINE</t>
        </is>
      </c>
      <c r="D99" s="42" t="inlineStr">
        <is>
          <t>Plan lock and briefing delivery (09:12)</t>
        </is>
      </c>
      <c r="E99" s="42" t="inlineStr">
        <is>
          <t>New</t>
        </is>
      </c>
      <c r="F99" s="43" t="inlineStr">
        <is>
          <t>P0</t>
        </is>
      </c>
      <c r="G99" s="41" t="inlineStr">
        <is>
          <t>3</t>
        </is>
      </c>
      <c r="H99" s="53" t="inlineStr">
        <is>
          <t>Safety-critical</t>
        </is>
      </c>
      <c r="I99" s="41" t="inlineStr">
        <is>
          <t>FEAT</t>
        </is>
      </c>
      <c r="J99" s="45" t="n">
        <v>1</v>
      </c>
      <c r="K99" s="42" t="inlineStr">
        <is>
          <t>E11-S07, E19-S02</t>
        </is>
      </c>
      <c r="L99" s="42" t="n"/>
      <c r="M99" s="46" t="n"/>
      <c r="N99" s="47" t="n"/>
      <c r="O99" s="48" t="n"/>
      <c r="P99" s="48" t="n"/>
      <c r="Q99" s="49" t="n"/>
      <c r="R99" s="41" t="n">
        <v>5</v>
      </c>
      <c r="S99" s="50" t="n"/>
      <c r="T99" s="50" t="inlineStr">
        <is>
          <t>1. Freeze the plan — immutable for the session
2. Record config hash with the plan
3. Persist to DB and Redis
4. Verify broker auth, margin, connectivity
5. Deliver briefing to Telegram by 09:13</t>
        </is>
      </c>
      <c r="U99" s="50" t="inlineStr">
        <is>
          <t>• 🔴 The plan cannot be modified after lock
• Briefing arrives before 09:15 on 20 consecutive sessions</t>
        </is>
      </c>
      <c r="V99" s="50" t="n"/>
      <c r="W99" s="51" t="n"/>
    </row>
    <row r="100" ht="30" customHeight="1">
      <c r="A100" s="40" t="inlineStr">
        <is>
          <t>E12-S01</t>
        </is>
      </c>
      <c r="B100" s="41" t="inlineStr">
        <is>
          <t>E12</t>
        </is>
      </c>
      <c r="C100" s="42" t="inlineStr">
        <is>
          <t>STRATEGY ENGINE</t>
        </is>
      </c>
      <c r="D100" s="42" t="inlineStr">
        <is>
          <t>Strategy registry and persistence</t>
        </is>
      </c>
      <c r="E100" s="42" t="inlineStr">
        <is>
          <t>New</t>
        </is>
      </c>
      <c r="F100" s="43" t="inlineStr">
        <is>
          <t>P0</t>
        </is>
      </c>
      <c r="G100" s="41" t="inlineStr">
        <is>
          <t>5</t>
        </is>
      </c>
      <c r="H100" s="52" t="inlineStr">
        <is>
          <t>Correctness-critical</t>
        </is>
      </c>
      <c r="I100" s="41" t="inlineStr">
        <is>
          <t>FEAT</t>
        </is>
      </c>
      <c r="J100" s="45" t="n">
        <v>1.5</v>
      </c>
      <c r="K100" s="42" t="inlineStr">
        <is>
          <t>E01-S01</t>
        </is>
      </c>
      <c r="L100" s="42" t="n"/>
      <c r="M100" s="46" t="n"/>
      <c r="N100" s="47" t="n"/>
      <c r="O100" s="48" t="n"/>
      <c r="P100" s="48" t="n"/>
      <c r="Q100" s="49" t="n"/>
      <c r="R100" s="41" t="n">
        <v>4</v>
      </c>
      <c r="S100" s="50" t="n"/>
      <c r="T100" s="50" t="inlineStr">
        <is>
          <t>1. Persist `StrategyDocument` to the `strategy` table
2. Load and compile on startup
3. Version and lineage tracking
4. Content-hash deduplication</t>
        </is>
      </c>
      <c r="U100" s="50" t="n"/>
      <c r="V100" s="50" t="n"/>
      <c r="W100" s="51" t="n"/>
    </row>
    <row r="101" ht="30" customHeight="1">
      <c r="A101" s="40" t="inlineStr">
        <is>
          <t>E12-S02</t>
        </is>
      </c>
      <c r="B101" s="41" t="inlineStr">
        <is>
          <t>E12</t>
        </is>
      </c>
      <c r="C101" s="42" t="inlineStr">
        <is>
          <t>STRATEGY ENGINE</t>
        </is>
      </c>
      <c r="D101" s="42" t="inlineStr">
        <is>
          <t>Lifecycle state machine</t>
        </is>
      </c>
      <c r="E101" s="42" t="inlineStr">
        <is>
          <t>New</t>
        </is>
      </c>
      <c r="F101" s="43" t="inlineStr">
        <is>
          <t>P0</t>
        </is>
      </c>
      <c r="G101" s="41" t="inlineStr">
        <is>
          <t>5</t>
        </is>
      </c>
      <c r="H101" s="53" t="inlineStr">
        <is>
          <t>Safety-critical</t>
        </is>
      </c>
      <c r="I101" s="41" t="inlineStr">
        <is>
          <t>FEAT</t>
        </is>
      </c>
      <c r="J101" s="45" t="n">
        <v>1.5</v>
      </c>
      <c r="K101" s="42" t="inlineStr">
        <is>
          <t>E12-S01</t>
        </is>
      </c>
      <c r="L101" s="42" t="n"/>
      <c r="M101" s="46" t="n"/>
      <c r="N101" s="47" t="n"/>
      <c r="O101" s="48" t="n"/>
      <c r="P101" s="48" t="n"/>
      <c r="Q101" s="49" t="n"/>
      <c r="R101" s="41" t="n">
        <v>5</v>
      </c>
      <c r="S101" s="50" t="n"/>
      <c r="T101" s="50" t="inlineStr">
        <is>
          <t>1. Implement the state machine from STRATEGY_ENGINE §4
2. Gate conditions per transition
3. Human approval required for ACTIVE — not overridable
4. State change audit trail
5. Illegal transitions rejected</t>
        </is>
      </c>
      <c r="U101" s="50" t="inlineStr">
        <is>
          <t>• 🔴 No code path promotes a strategy to ACTIVE without a recorded human approval</t>
        </is>
      </c>
      <c r="V101" s="50" t="n"/>
      <c r="W101" s="51" t="n"/>
    </row>
    <row r="102" ht="30" customHeight="1">
      <c r="A102" s="40" t="inlineStr">
        <is>
          <t>E12-S03</t>
        </is>
      </c>
      <c r="B102" s="41" t="inlineStr">
        <is>
          <t>E12</t>
        </is>
      </c>
      <c r="C102" s="42" t="inlineStr">
        <is>
          <t>STRATEGY ENGINE</t>
        </is>
      </c>
      <c r="D102" s="42" t="inlineStr">
        <is>
          <t>Backtest harness</t>
        </is>
      </c>
      <c r="E102" s="42" t="inlineStr">
        <is>
          <t>New</t>
        </is>
      </c>
      <c r="F102" s="43" t="inlineStr">
        <is>
          <t>P0</t>
        </is>
      </c>
      <c r="G102" s="41" t="inlineStr">
        <is>
          <t>5</t>
        </is>
      </c>
      <c r="H102" s="53" t="inlineStr">
        <is>
          <t>Safety-critical</t>
        </is>
      </c>
      <c r="I102" s="41" t="inlineStr">
        <is>
          <t>FEAT</t>
        </is>
      </c>
      <c r="J102" s="45" t="n">
        <v>3</v>
      </c>
      <c r="K102" s="42" t="inlineStr">
        <is>
          <t>E06-S04, E10-S06</t>
        </is>
      </c>
      <c r="L102" s="42" t="n"/>
      <c r="M102" s="46" t="n"/>
      <c r="N102" s="47" t="n"/>
      <c r="O102" s="48" t="n"/>
      <c r="P102" s="48" t="n"/>
      <c r="Q102" s="49" t="n"/>
      <c r="R102" s="41" t="n">
        <v>6</v>
      </c>
      <c r="S102" s="50" t="inlineStr">
        <is>
          <t>As a developer, I want backtests that execute the *production* strategy code against recorded snapshots, so that there is no reimplementation gap where backtest/live divergence hides.</t>
        </is>
      </c>
      <c r="T102" s="50"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50" t="inlineStr">
        <is>
          <t>• 🔴 The same strategy code runs in backtest and live
• Costs match a real contract note on a sample trade</t>
        </is>
      </c>
      <c r="V102" s="50" t="n"/>
      <c r="W102" s="51" t="n"/>
    </row>
    <row r="103" ht="30" customHeight="1">
      <c r="A103" s="40" t="inlineStr">
        <is>
          <t>E12-S04</t>
        </is>
      </c>
      <c r="B103" s="41" t="inlineStr">
        <is>
          <t>E12</t>
        </is>
      </c>
      <c r="C103" s="42" t="inlineStr">
        <is>
          <t>STRATEGY ENGINE</t>
        </is>
      </c>
      <c r="D103" s="42" t="inlineStr">
        <is>
          <t>Trial registry</t>
        </is>
      </c>
      <c r="E103" s="42" t="inlineStr">
        <is>
          <t>New</t>
        </is>
      </c>
      <c r="F103" s="43" t="inlineStr">
        <is>
          <t>P0</t>
        </is>
      </c>
      <c r="G103" s="41" t="inlineStr">
        <is>
          <t>5</t>
        </is>
      </c>
      <c r="H103" s="53" t="inlineStr">
        <is>
          <t>Safety-critical</t>
        </is>
      </c>
      <c r="I103" s="41" t="inlineStr">
        <is>
          <t>SEC</t>
        </is>
      </c>
      <c r="J103" s="45" t="n">
        <v>1</v>
      </c>
      <c r="K103" s="42" t="inlineStr">
        <is>
          <t>E01-S01</t>
        </is>
      </c>
      <c r="L103" s="42" t="n"/>
      <c r="M103" s="46" t="n"/>
      <c r="N103" s="47" t="n"/>
      <c r="O103" s="48" t="n"/>
      <c r="P103" s="48" t="n"/>
      <c r="Q103" s="49" t="n"/>
      <c r="R103" s="41" t="n">
        <v>5</v>
      </c>
      <c r="S103" s="50" t="inlineStr">
        <is>
          <t>As a statistician, I want every backtest counted forever, so that overfitting corrections have an honest denominator.</t>
        </is>
      </c>
      <c r="T103" s="50" t="inlineStr">
        <is>
          <t>1. Write a row for every gauntlet run, pass or fail
2. Parameter sweeps count individually
3. Content-hash deduplication of identical re-runs
4. Effective trial count query for DSR
5. Append-only DB role</t>
        </is>
      </c>
      <c r="U103" s="50" t="inlineStr">
        <is>
          <t>• 🔴 Deleting a trial row is impossible with the application's DB role
• Testing one strategy at 20 settings records 20 trials</t>
        </is>
      </c>
      <c r="V103" s="50" t="n"/>
      <c r="W103" s="51" t="n"/>
    </row>
    <row r="104" ht="30" customHeight="1">
      <c r="A104" s="40" t="inlineStr">
        <is>
          <t>E12-S05</t>
        </is>
      </c>
      <c r="B104" s="41" t="inlineStr">
        <is>
          <t>E12</t>
        </is>
      </c>
      <c r="C104" s="42" t="inlineStr">
        <is>
          <t>STRATEGY ENGINE</t>
        </is>
      </c>
      <c r="D104" s="42" t="inlineStr">
        <is>
          <t>Gauntlet G1–G4 (structural)</t>
        </is>
      </c>
      <c r="E104" s="42" t="inlineStr">
        <is>
          <t>New</t>
        </is>
      </c>
      <c r="F104" s="43" t="inlineStr">
        <is>
          <t>P0</t>
        </is>
      </c>
      <c r="G104" s="41" t="inlineStr">
        <is>
          <t>5</t>
        </is>
      </c>
      <c r="H104" s="53" t="inlineStr">
        <is>
          <t>Safety-critical</t>
        </is>
      </c>
      <c r="I104" s="41" t="inlineStr">
        <is>
          <t>FEAT</t>
        </is>
      </c>
      <c r="J104" s="45" t="n">
        <v>1.5</v>
      </c>
      <c r="K104" s="42" t="inlineStr">
        <is>
          <t>E12-S03</t>
        </is>
      </c>
      <c r="L104" s="42" t="n"/>
      <c r="M104" s="46" t="n"/>
      <c r="N104" s="47" t="n"/>
      <c r="O104" s="48" t="n"/>
      <c r="P104" s="48" t="n"/>
      <c r="Q104" s="49" t="n"/>
      <c r="R104" s="41" t="n">
        <v>0</v>
      </c>
      <c r="S104" s="50" t="n"/>
      <c r="T104" s="50" t="n"/>
      <c r="U104" s="50" t="n"/>
      <c r="V104" s="50" t="inlineStr">
        <is>
          <t>Hypothesis present · compiles · minimum 100 trades · realistic costs applied.</t>
        </is>
      </c>
      <c r="W104" s="51" t="n"/>
    </row>
    <row r="105" ht="30" customHeight="1">
      <c r="A105" s="40" t="inlineStr">
        <is>
          <t>E12-S06</t>
        </is>
      </c>
      <c r="B105" s="41" t="inlineStr">
        <is>
          <t>E12</t>
        </is>
      </c>
      <c r="C105" s="42" t="inlineStr">
        <is>
          <t>STRATEGY ENGINE</t>
        </is>
      </c>
      <c r="D105" s="42" t="inlineStr">
        <is>
          <t>Gauntlet G5 — purged/embargoed walk-forward</t>
        </is>
      </c>
      <c r="E105" s="42" t="inlineStr">
        <is>
          <t>New</t>
        </is>
      </c>
      <c r="F105" s="43" t="inlineStr">
        <is>
          <t>P0</t>
        </is>
      </c>
      <c r="G105" s="41" t="inlineStr">
        <is>
          <t>5</t>
        </is>
      </c>
      <c r="H105" s="53" t="inlineStr">
        <is>
          <t>Safety-critical</t>
        </is>
      </c>
      <c r="I105" s="41" t="inlineStr">
        <is>
          <t>FEAT</t>
        </is>
      </c>
      <c r="J105" s="45" t="n">
        <v>2.5</v>
      </c>
      <c r="K105" s="42" t="inlineStr">
        <is>
          <t>E12-S03</t>
        </is>
      </c>
      <c r="L105" s="42" t="n"/>
      <c r="M105" s="46" t="n"/>
      <c r="N105" s="47" t="n"/>
      <c r="O105" s="48" t="n"/>
      <c r="P105" s="48" t="n"/>
      <c r="Q105" s="49" t="n"/>
      <c r="R105" s="41" t="n">
        <v>4</v>
      </c>
      <c r="S105" s="50" t="inlineStr">
        <is>
          <t>As a statistician, I want CPCV with purging and embargo, so that label leakage does not make a bad strategy look good.</t>
        </is>
      </c>
      <c r="T105" s="50" t="inlineStr">
        <is>
          <t>1. Combinatorial purged cross-validation splitter
2. Purge training samples whose label windows overlap the test set
3. Embargo period after each test block
4. Per-fold performance consistency check</t>
        </is>
      </c>
      <c r="U105" s="50" t="inlineStr">
        <is>
          <t>• 🔴 A deliberately leaky strategy is caught by purging</t>
        </is>
      </c>
      <c r="V105" s="50" t="n"/>
      <c r="W105" s="51" t="n"/>
    </row>
    <row r="106" ht="30" customHeight="1">
      <c r="A106" s="40" t="inlineStr">
        <is>
          <t>E12-S07</t>
        </is>
      </c>
      <c r="B106" s="41" t="inlineStr">
        <is>
          <t>E12</t>
        </is>
      </c>
      <c r="C106" s="42" t="inlineStr">
        <is>
          <t>STRATEGY ENGINE</t>
        </is>
      </c>
      <c r="D106" s="42" t="inlineStr">
        <is>
          <t>Gauntlet G6/G7 — DSR and PBO</t>
        </is>
      </c>
      <c r="E106" s="42" t="inlineStr">
        <is>
          <t>New</t>
        </is>
      </c>
      <c r="F106" s="43" t="inlineStr">
        <is>
          <t>P0</t>
        </is>
      </c>
      <c r="G106" s="41" t="inlineStr">
        <is>
          <t>5</t>
        </is>
      </c>
      <c r="H106" s="53" t="inlineStr">
        <is>
          <t>Safety-critical</t>
        </is>
      </c>
      <c r="I106" s="41" t="inlineStr">
        <is>
          <t>FEAT</t>
        </is>
      </c>
      <c r="J106" s="45" t="n">
        <v>2.5</v>
      </c>
      <c r="K106" s="42" t="inlineStr">
        <is>
          <t>E12-S04, E12-S06</t>
        </is>
      </c>
      <c r="L106" s="42" t="n"/>
      <c r="M106" s="46" t="n"/>
      <c r="N106" s="47" t="n"/>
      <c r="O106" s="48" t="n"/>
      <c r="P106" s="48" t="n"/>
      <c r="Q106" s="49" t="n"/>
      <c r="R106" s="41" t="n">
        <v>4</v>
      </c>
      <c r="S106" s="50" t="inlineStr">
        <is>
          <t>As a statistician, I want Sharpe deflated for the number of trials and the probability of overfitting computed, so that a lucky backtest cannot reach live capital.</t>
        </is>
      </c>
      <c r="T106" s="50" t="inlineStr">
        <is>
          <t>1. Deflated Sharpe Ratio using the trial count, sample length, skew, kurtosis
2. PBO via combinatorially symmetric cross-validation
3. Reject on DSR confidence &lt; 0.95 or PBO &gt; 0.5
4. Persist both with the trial count used</t>
        </is>
      </c>
      <c r="U106" s="50" t="inlineStr">
        <is>
          <t>• 🔴 A strategy fitted to noise fails at least one of these
• Verified against a known-random strategy (should fail) and a known-real edge</t>
        </is>
      </c>
      <c r="V106" s="50" t="n"/>
      <c r="W106" s="51" t="n"/>
    </row>
    <row r="107" ht="30" customHeight="1">
      <c r="A107" s="40" t="inlineStr">
        <is>
          <t>E12-S08</t>
        </is>
      </c>
      <c r="B107" s="41" t="inlineStr">
        <is>
          <t>E12</t>
        </is>
      </c>
      <c r="C107" s="42" t="inlineStr">
        <is>
          <t>STRATEGY ENGINE</t>
        </is>
      </c>
      <c r="D107" s="42" t="inlineStr">
        <is>
          <t>Gauntlet G8–G12</t>
        </is>
      </c>
      <c r="E107" s="42" t="inlineStr">
        <is>
          <t>New</t>
        </is>
      </c>
      <c r="F107" s="55" t="inlineStr">
        <is>
          <t>P1</t>
        </is>
      </c>
      <c r="G107" s="41" t="inlineStr">
        <is>
          <t>5</t>
        </is>
      </c>
      <c r="H107" s="53" t="inlineStr">
        <is>
          <t>Safety-critical</t>
        </is>
      </c>
      <c r="I107" s="41" t="inlineStr">
        <is>
          <t>FEAT</t>
        </is>
      </c>
      <c r="J107" s="45" t="n">
        <v>2</v>
      </c>
      <c r="K107" s="42" t="inlineStr">
        <is>
          <t>E12-S07</t>
        </is>
      </c>
      <c r="L107" s="42" t="n"/>
      <c r="M107" s="46" t="n"/>
      <c r="N107" s="47" t="n"/>
      <c r="O107" s="48" t="n"/>
      <c r="P107" s="48" t="n"/>
      <c r="Q107" s="49" t="n"/>
      <c r="R107" s="41" t="n">
        <v>0</v>
      </c>
      <c r="S107" s="50" t="n"/>
      <c r="T107" s="50" t="n"/>
      <c r="U107" s="50" t="n"/>
      <c r="V107" s="50" t="inlineStr">
        <is>
          <t>Regime coverage · locked holdout (read once) · correlation to active · parameter sensitivity (±20%) · India tradability.</t>
        </is>
      </c>
      <c r="W107" s="51" t="n"/>
    </row>
    <row r="108" ht="30" customHeight="1">
      <c r="A108" s="40" t="inlineStr">
        <is>
          <t>E12-S09</t>
        </is>
      </c>
      <c r="B108" s="41" t="inlineStr">
        <is>
          <t>E12</t>
        </is>
      </c>
      <c r="C108" s="42" t="inlineStr">
        <is>
          <t>STRATEGY ENGINE</t>
        </is>
      </c>
      <c r="D108" s="42" t="inlineStr">
        <is>
          <t>Shadow mode</t>
        </is>
      </c>
      <c r="E108" s="42" t="inlineStr">
        <is>
          <t>New</t>
        </is>
      </c>
      <c r="F108" s="43" t="inlineStr">
        <is>
          <t>P0</t>
        </is>
      </c>
      <c r="G108" s="41" t="inlineStr">
        <is>
          <t>5</t>
        </is>
      </c>
      <c r="H108" s="52" t="inlineStr">
        <is>
          <t>Correctness-critical</t>
        </is>
      </c>
      <c r="I108" s="41" t="inlineStr">
        <is>
          <t>FEAT</t>
        </is>
      </c>
      <c r="J108" s="45" t="n">
        <v>1.5</v>
      </c>
      <c r="K108" s="42" t="inlineStr">
        <is>
          <t>E12-S02, E13-S01</t>
        </is>
      </c>
      <c r="L108" s="42" t="n"/>
      <c r="M108" s="46" t="n"/>
      <c r="N108" s="47" t="n"/>
      <c r="O108" s="48" t="n"/>
      <c r="P108" s="48" t="n"/>
      <c r="Q108" s="49" t="n"/>
      <c r="R108" s="41" t="n">
        <v>5</v>
      </c>
      <c r="S108" s="50" t="inlineStr">
        <is>
          <t>As a validator, I want strategies to record what they *would* have done, so that failures a backtest cannot show — signals at untradeable prices — surface before any capital is involved.</t>
        </is>
      </c>
      <c r="T108" s="50" t="inlineStr">
        <is>
          <t>1. Evaluate SHADOW strategies in the live loop
2. Record to `shadow_signal`, place no orders
3. EOD: evaluate hypothetical outcomes
4. Live-vs-backtest agreement metric
5. Promotion gate at ≥ 20 sessions, ≥ 80% agreement</t>
        </is>
      </c>
      <c r="U108" s="50" t="n"/>
      <c r="V108" s="50" t="n"/>
      <c r="W108" s="51" t="n"/>
    </row>
    <row r="109" ht="30" customHeight="1">
      <c r="A109" s="40" t="inlineStr">
        <is>
          <t>E12-S10</t>
        </is>
      </c>
      <c r="B109" s="41" t="inlineStr">
        <is>
          <t>E12</t>
        </is>
      </c>
      <c r="C109" s="42" t="inlineStr">
        <is>
          <t>STRATEGY ENGINE</t>
        </is>
      </c>
      <c r="D109" s="42" t="inlineStr">
        <is>
          <t>Degradation monitoring and auto-retirement</t>
        </is>
      </c>
      <c r="E109" s="42" t="inlineStr">
        <is>
          <t>New</t>
        </is>
      </c>
      <c r="F109" s="43" t="inlineStr">
        <is>
          <t>P0</t>
        </is>
      </c>
      <c r="G109" s="41" t="inlineStr">
        <is>
          <t>5</t>
        </is>
      </c>
      <c r="H109" s="53" t="inlineStr">
        <is>
          <t>Safety-critical</t>
        </is>
      </c>
      <c r="I109" s="41" t="inlineStr">
        <is>
          <t>FEAT</t>
        </is>
      </c>
      <c r="J109" s="45" t="n">
        <v>1.5</v>
      </c>
      <c r="K109" s="42" t="inlineStr">
        <is>
          <t>E12-S02</t>
        </is>
      </c>
      <c r="L109" s="42" t="n"/>
      <c r="M109" s="46" t="n"/>
      <c r="N109" s="47" t="n"/>
      <c r="O109" s="48" t="n"/>
      <c r="P109" s="48" t="n"/>
      <c r="Q109" s="49" t="n"/>
      <c r="R109" s="41" t="n">
        <v>6</v>
      </c>
      <c r="S109" s="50" t="inlineStr">
        <is>
          <t>As a trader, I want a decaying strategy demoted without asking me, so that a losing streak does not persist through inattention.</t>
        </is>
      </c>
      <c r="T109" s="50"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50" t="inlineStr">
        <is>
          <t>• 🔴 Demotion is automatic; promotion is never automatic</t>
        </is>
      </c>
      <c r="V109" s="50" t="n"/>
      <c r="W109" s="51" t="n"/>
    </row>
    <row r="110" ht="30" customHeight="1">
      <c r="A110" s="40" t="inlineStr">
        <is>
          <t>E12-S11</t>
        </is>
      </c>
      <c r="B110" s="41" t="inlineStr">
        <is>
          <t>E12</t>
        </is>
      </c>
      <c r="C110" s="42" t="inlineStr">
        <is>
          <t>STRATEGY ENGINE</t>
        </is>
      </c>
      <c r="D110" s="42" t="inlineStr">
        <is>
          <t>AI strategy generation — journal mode</t>
        </is>
      </c>
      <c r="E110" s="42" t="inlineStr">
        <is>
          <t>New</t>
        </is>
      </c>
      <c r="F110" s="54" t="inlineStr">
        <is>
          <t>P2</t>
        </is>
      </c>
      <c r="G110" s="41" t="inlineStr">
        <is>
          <t>9</t>
        </is>
      </c>
      <c r="H110" s="53" t="inlineStr">
        <is>
          <t>Safety-critical</t>
        </is>
      </c>
      <c r="I110" s="41" t="inlineStr">
        <is>
          <t>FEAT</t>
        </is>
      </c>
      <c r="J110" s="45" t="n">
        <v>2.5</v>
      </c>
      <c r="K110" s="42" t="inlineStr">
        <is>
          <t>E12-S07, E12-S10</t>
        </is>
      </c>
      <c r="L110" s="42" t="n"/>
      <c r="M110" s="46" t="n"/>
      <c r="N110" s="47" t="n"/>
      <c r="O110" s="48" t="n"/>
      <c r="P110" s="48" t="n"/>
      <c r="Q110" s="49" t="n"/>
      <c r="R110" s="41" t="n">
        <v>6</v>
      </c>
      <c r="S110" s="50" t="inlineStr">
        <is>
          <t>As a trader, I want the AI to propose strategies from my own trade history, so that the system learns from what actually happened rather than from patterns in a price series.</t>
        </is>
      </c>
      <c r="T110" s="50"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50" t="inlineStr">
        <is>
          <t>• 🔴 The AI cannot bypass any gauntlet check
• 🔴 A proposal without a substantive hypothesis is rejected at parse time</t>
        </is>
      </c>
      <c r="V110" s="50" t="n"/>
      <c r="W110" s="51" t="n"/>
    </row>
    <row r="111" ht="30" customHeight="1">
      <c r="A111" s="40" t="inlineStr">
        <is>
          <t>E12-S12</t>
        </is>
      </c>
      <c r="B111" s="41" t="inlineStr">
        <is>
          <t>E12</t>
        </is>
      </c>
      <c r="C111" s="42" t="inlineStr">
        <is>
          <t>STRATEGY ENGINE</t>
        </is>
      </c>
      <c r="D111" s="42" t="inlineStr">
        <is>
          <t>AI strategy generation — observation mode</t>
        </is>
      </c>
      <c r="E111" s="42" t="inlineStr">
        <is>
          <t>New</t>
        </is>
      </c>
      <c r="F111" s="54" t="inlineStr">
        <is>
          <t>P2</t>
        </is>
      </c>
      <c r="G111" s="41" t="inlineStr">
        <is>
          <t>9</t>
        </is>
      </c>
      <c r="H111" s="53" t="inlineStr">
        <is>
          <t>Safety-critical</t>
        </is>
      </c>
      <c r="I111" s="41" t="inlineStr">
        <is>
          <t>FEAT</t>
        </is>
      </c>
      <c r="J111" s="45" t="n">
        <v>2</v>
      </c>
      <c r="K111" s="42" t="inlineStr">
        <is>
          <t>E12-S11</t>
        </is>
      </c>
      <c r="L111" s="42" t="n"/>
      <c r="M111" s="46" t="n"/>
      <c r="N111" s="47" t="n"/>
      <c r="O111" s="48" t="n"/>
      <c r="P111" s="48" t="n"/>
      <c r="Q111" s="49" t="n"/>
      <c r="R111" s="41" t="n">
        <v>0</v>
      </c>
      <c r="S111" s="50" t="n"/>
      <c r="T111" s="50" t="n"/>
      <c r="U111" s="50" t="n"/>
      <c r="V111" s="50" t="inlineStr">
        <is>
          <t>Market-behaviour summary → strategy proposals. Same constraints as S11.</t>
        </is>
      </c>
      <c r="W111" s="51" t="n"/>
    </row>
    <row r="112" ht="30" customHeight="1">
      <c r="A112" s="40" t="inlineStr">
        <is>
          <t>E13-S01</t>
        </is>
      </c>
      <c r="B112" s="41" t="inlineStr">
        <is>
          <t>E13</t>
        </is>
      </c>
      <c r="C112" s="42" t="inlineStr">
        <is>
          <t>SIGNAL ENGINE</t>
        </is>
      </c>
      <c r="D112" s="42" t="inlineStr">
        <is>
          <t>Strategy evaluation loop</t>
        </is>
      </c>
      <c r="E112" s="42" t="inlineStr">
        <is>
          <t>New</t>
        </is>
      </c>
      <c r="F112" s="43" t="inlineStr">
        <is>
          <t>P0</t>
        </is>
      </c>
      <c r="G112" s="41" t="inlineStr">
        <is>
          <t>4</t>
        </is>
      </c>
      <c r="H112" s="53" t="inlineStr">
        <is>
          <t>Safety-critical</t>
        </is>
      </c>
      <c r="I112" s="41" t="inlineStr">
        <is>
          <t>FEAT</t>
        </is>
      </c>
      <c r="J112" s="45" t="n">
        <v>2</v>
      </c>
      <c r="K112" s="42" t="inlineStr">
        <is>
          <t>E06-S04, E12-S01</t>
        </is>
      </c>
      <c r="L112" s="42" t="n"/>
      <c r="M112" s="46" t="n"/>
      <c r="N112" s="47" t="n"/>
      <c r="O112" s="48" t="n"/>
      <c r="P112" s="48" t="n"/>
      <c r="Q112" s="49" t="n"/>
      <c r="R112" s="41" t="n">
        <v>5</v>
      </c>
      <c r="S112" s="50" t="n"/>
      <c r="T112" s="50" t="inlineStr">
        <is>
          <t>1. Consume final bars from the stream
2. Filter to the day's plan symbols
3. Gate on `all_ready`
4. Evaluate runnable strategies (regime-filtered)
5. Route by strategy state: ACTIVE → full path, PAPER → paper, SHADOW → record</t>
        </is>
      </c>
      <c r="U112" s="50" t="inlineStr">
        <is>
          <t>• 🔴 A symbol not in today's plan is never evaluated
• 🔴 A strategy in SHADOW state never produces an order</t>
        </is>
      </c>
      <c r="V112" s="50" t="n"/>
      <c r="W112" s="51" t="n"/>
    </row>
    <row r="113" ht="30" customHeight="1">
      <c r="A113" s="40" t="inlineStr">
        <is>
          <t>E13-S02</t>
        </is>
      </c>
      <c r="B113" s="41" t="inlineStr">
        <is>
          <t>E13</t>
        </is>
      </c>
      <c r="C113" s="42" t="inlineStr">
        <is>
          <t>SIGNAL ENGINE</t>
        </is>
      </c>
      <c r="D113" s="42" t="inlineStr">
        <is>
          <t>Regime-aware strategy selection</t>
        </is>
      </c>
      <c r="E113" s="42" t="inlineStr">
        <is>
          <t>New</t>
        </is>
      </c>
      <c r="F113" s="43" t="inlineStr">
        <is>
          <t>P0</t>
        </is>
      </c>
      <c r="G113" s="41" t="inlineStr">
        <is>
          <t>4</t>
        </is>
      </c>
      <c r="H113" s="52" t="inlineStr">
        <is>
          <t>Correctness-critical</t>
        </is>
      </c>
      <c r="I113" s="41" t="inlineStr">
        <is>
          <t>FEAT</t>
        </is>
      </c>
      <c r="J113" s="45" t="n">
        <v>1</v>
      </c>
      <c r="K113" s="42" t="inlineStr">
        <is>
          <t>E09-S06, E13-S01</t>
        </is>
      </c>
      <c r="L113" s="42" t="n"/>
      <c r="M113" s="46" t="n"/>
      <c r="N113" s="47" t="n"/>
      <c r="O113" s="48" t="n"/>
      <c r="P113" s="48" t="n"/>
      <c r="Q113" s="49" t="n"/>
      <c r="R113" s="41" t="n">
        <v>0</v>
      </c>
      <c r="S113" s="50" t="n"/>
      <c r="T113" s="50" t="n"/>
      <c r="U113" s="50" t="n"/>
      <c r="V113" s="50" t="inlineStr">
        <is>
          <t>Only evaluate strategies whose `applicability.regimes` includes the current regime.</t>
        </is>
      </c>
      <c r="W113" s="51" t="n"/>
    </row>
    <row r="114" ht="30" customHeight="1">
      <c r="A114" s="40" t="inlineStr">
        <is>
          <t>E13-S03</t>
        </is>
      </c>
      <c r="B114" s="41" t="inlineStr">
        <is>
          <t>E13</t>
        </is>
      </c>
      <c r="C114" s="42" t="inlineStr">
        <is>
          <t>SIGNAL ENGINE</t>
        </is>
      </c>
      <c r="D114" s="42" t="inlineStr">
        <is>
          <t>AI review integration</t>
        </is>
      </c>
      <c r="E114" s="42" t="inlineStr">
        <is>
          <t>New</t>
        </is>
      </c>
      <c r="F114" s="43" t="inlineStr">
        <is>
          <t>P0</t>
        </is>
      </c>
      <c r="G114" s="41" t="inlineStr">
        <is>
          <t>4</t>
        </is>
      </c>
      <c r="H114" s="53" t="inlineStr">
        <is>
          <t>Safety-critical</t>
        </is>
      </c>
      <c r="I114" s="41" t="inlineStr">
        <is>
          <t>FEAT</t>
        </is>
      </c>
      <c r="J114" s="45" t="n">
        <v>1.5</v>
      </c>
      <c r="K114" s="42" t="inlineStr">
        <is>
          <t>E10-S05, E13-S01</t>
        </is>
      </c>
      <c r="L114" s="42" t="n"/>
      <c r="M114" s="46" t="n"/>
      <c r="N114" s="47" t="n"/>
      <c r="O114" s="48" t="n"/>
      <c r="P114" s="48" t="n"/>
      <c r="Q114" s="49" t="n"/>
      <c r="R114" s="41" t="n">
        <v>5</v>
      </c>
      <c r="S114" s="50" t="n"/>
      <c r="T114" s="50" t="inlineStr">
        <is>
          <t>1. Call AI review only for triggers that fired
2. Confidence gate: below `min_to_act` → reject with reason
3. Verdict gate: VETO → reject with reason
4. Timeout → skip
5. Every decision to the audit log</t>
        </is>
      </c>
      <c r="U114" s="50" t="n"/>
      <c r="V114" s="50" t="n"/>
      <c r="W114" s="51" t="n"/>
    </row>
    <row r="115" ht="30" customHeight="1">
      <c r="A115" s="40" t="inlineStr">
        <is>
          <t>E13-S04</t>
        </is>
      </c>
      <c r="B115" s="41" t="inlineStr">
        <is>
          <t>E13</t>
        </is>
      </c>
      <c r="C115" s="42" t="inlineStr">
        <is>
          <t>SIGNAL ENGINE</t>
        </is>
      </c>
      <c r="D115" s="42" t="inlineStr">
        <is>
          <t>Recommendation emission</t>
        </is>
      </c>
      <c r="E115" s="42" t="inlineStr">
        <is>
          <t>New</t>
        </is>
      </c>
      <c r="F115" s="43" t="inlineStr">
        <is>
          <t>P0</t>
        </is>
      </c>
      <c r="G115" s="41" t="inlineStr">
        <is>
          <t>4</t>
        </is>
      </c>
      <c r="H115" s="53" t="inlineStr">
        <is>
          <t>Safety-critical</t>
        </is>
      </c>
      <c r="I115" s="41" t="inlineStr">
        <is>
          <t>FEAT</t>
        </is>
      </c>
      <c r="J115" s="45" t="n">
        <v>1</v>
      </c>
      <c r="K115" s="42" t="inlineStr">
        <is>
          <t>E13-S03</t>
        </is>
      </c>
      <c r="L115" s="42" t="n"/>
      <c r="M115" s="46" t="n"/>
      <c r="N115" s="47" t="n"/>
      <c r="O115" s="48" t="n"/>
      <c r="P115" s="48" t="n"/>
      <c r="Q115" s="49" t="n"/>
      <c r="R115" s="41" t="n">
        <v>3</v>
      </c>
      <c r="S115" s="50" t="n"/>
      <c r="T115" s="50" t="inlineStr">
        <is>
          <t>1. Build `Recommendation` from trigger + review
2. Publish to `stream:signals`
3. Correlation ID threading</t>
        </is>
      </c>
      <c r="U115" s="50" t="inlineStr">
        <is>
          <t>• 🔴 `Recommendation` carries no sizing information (enforced by the type)</t>
        </is>
      </c>
      <c r="V115" s="50" t="n"/>
      <c r="W115" s="51" t="n"/>
    </row>
    <row r="116" ht="30" customHeight="1">
      <c r="A116" s="40" t="inlineStr">
        <is>
          <t>E13-S05</t>
        </is>
      </c>
      <c r="B116" s="41" t="inlineStr">
        <is>
          <t>E13</t>
        </is>
      </c>
      <c r="C116" s="42" t="inlineStr">
        <is>
          <t>SIGNAL ENGINE</t>
        </is>
      </c>
      <c r="D116" s="42" t="inlineStr">
        <is>
          <t>Concurrency guards</t>
        </is>
      </c>
      <c r="E116" s="42" t="inlineStr">
        <is>
          <t>New</t>
        </is>
      </c>
      <c r="F116" s="43" t="inlineStr">
        <is>
          <t>P0</t>
        </is>
      </c>
      <c r="G116" s="41" t="inlineStr">
        <is>
          <t>4</t>
        </is>
      </c>
      <c r="H116" s="53" t="inlineStr">
        <is>
          <t>Safety-critical</t>
        </is>
      </c>
      <c r="I116" s="41" t="inlineStr">
        <is>
          <t>FEAT</t>
        </is>
      </c>
      <c r="J116" s="45" t="n">
        <v>1</v>
      </c>
      <c r="K116" s="42" t="inlineStr">
        <is>
          <t>E01-S03, E13-S01</t>
        </is>
      </c>
      <c r="L116" s="42" t="n"/>
      <c r="M116" s="46" t="n"/>
      <c r="N116" s="47" t="n"/>
      <c r="O116" s="48" t="n"/>
      <c r="P116" s="48" t="n"/>
      <c r="Q116" s="49" t="n"/>
      <c r="R116" s="41" t="n">
        <v>3</v>
      </c>
      <c r="S116" s="50" t="n"/>
      <c r="T116" s="50" t="inlineStr">
        <is>
          <t>1. `lock:symbol:{symbol}` before emitting
2. Prevent two strategies double-entering the same symbol
3. Lock TTL so a crash cannot deadlock</t>
        </is>
      </c>
      <c r="U116" s="50" t="n"/>
      <c r="V116" s="50" t="n"/>
      <c r="W116" s="51" t="n"/>
    </row>
    <row r="117" ht="30" customHeight="1">
      <c r="A117" s="40" t="inlineStr">
        <is>
          <t>E13-S06</t>
        </is>
      </c>
      <c r="B117" s="41" t="inlineStr">
        <is>
          <t>E13</t>
        </is>
      </c>
      <c r="C117" s="42" t="inlineStr">
        <is>
          <t>SIGNAL ENGINE</t>
        </is>
      </c>
      <c r="D117" s="42" t="inlineStr">
        <is>
          <t>Thesis invalidation monitoring</t>
        </is>
      </c>
      <c r="E117" s="42" t="inlineStr">
        <is>
          <t>New</t>
        </is>
      </c>
      <c r="F117" s="54" t="inlineStr">
        <is>
          <t>P2</t>
        </is>
      </c>
      <c r="G117" s="41" t="inlineStr">
        <is>
          <t>6</t>
        </is>
      </c>
      <c r="H117" s="52" t="inlineStr">
        <is>
          <t>Correctness-critical</t>
        </is>
      </c>
      <c r="I117" s="41" t="inlineStr">
        <is>
          <t>FEAT</t>
        </is>
      </c>
      <c r="J117" s="45" t="n">
        <v>1.5</v>
      </c>
      <c r="K117" s="42" t="inlineStr">
        <is>
          <t>E11-S06</t>
        </is>
      </c>
      <c r="L117" s="42" t="n"/>
      <c r="M117" s="46" t="n"/>
      <c r="N117" s="47" t="n"/>
      <c r="O117" s="48" t="n"/>
      <c r="P117" s="48" t="n"/>
      <c r="Q117" s="49" t="n"/>
      <c r="R117" s="41" t="n">
        <v>0</v>
      </c>
      <c r="S117" s="50" t="n"/>
      <c r="T117" s="50" t="n"/>
      <c r="U117" s="50" t="n"/>
      <c r="V117" s="50" t="inlineStr">
        <is>
          <t>AI flags when the day's premise has broken; system stops new entries.</t>
        </is>
      </c>
      <c r="W117" s="51" t="n"/>
    </row>
    <row r="118" ht="30" customHeight="1">
      <c r="A118" s="40" t="inlineStr">
        <is>
          <t>E14-S01</t>
        </is>
      </c>
      <c r="B118" s="41" t="inlineStr">
        <is>
          <t>E14</t>
        </is>
      </c>
      <c r="C118" s="42" t="inlineStr">
        <is>
          <t>RISK ENGINE</t>
        </is>
      </c>
      <c r="D118" s="42" t="inlineStr">
        <is>
          <t>Risk check framework</t>
        </is>
      </c>
      <c r="E118" s="42" t="inlineStr">
        <is>
          <t>New</t>
        </is>
      </c>
      <c r="F118" s="43" t="inlineStr">
        <is>
          <t>P0</t>
        </is>
      </c>
      <c r="G118" s="41" t="inlineStr">
        <is>
          <t>5</t>
        </is>
      </c>
      <c r="H118" s="53" t="inlineStr">
        <is>
          <t>Safety-critical</t>
        </is>
      </c>
      <c r="I118" s="41" t="inlineStr">
        <is>
          <t>FEAT</t>
        </is>
      </c>
      <c r="J118" s="45" t="n">
        <v>1.5</v>
      </c>
      <c r="K118" s="42" t="inlineStr">
        <is>
          <t>E13-S04</t>
        </is>
      </c>
      <c r="L118" s="42" t="n"/>
      <c r="M118" s="46" t="n"/>
      <c r="N118" s="47" t="n"/>
      <c r="O118" s="48" t="n"/>
      <c r="P118" s="48" t="n"/>
      <c r="Q118" s="49" t="n"/>
      <c r="R118" s="41" t="n">
        <v>4</v>
      </c>
      <c r="S118" s="50" t="n"/>
      <c r="T118" s="50" t="inlineStr">
        <is>
          <t>1. Ordered, fail-fast check pipeline
2. Each check returns pass/fail with a `RejectReason`
3. Every evaluation to the audit log
4. `signals_rejected_total{check}` metric</t>
        </is>
      </c>
      <c r="U118" s="50" t="inlineStr">
        <is>
          <t>• 🔴 No order path bypasses the pipeline
• Any rejection is explainable from the audit log</t>
        </is>
      </c>
      <c r="V118" s="50" t="n"/>
      <c r="W118" s="51" t="n"/>
    </row>
    <row r="119" ht="30" customHeight="1">
      <c r="A119" s="40" t="inlineStr">
        <is>
          <t>E14-S02</t>
        </is>
      </c>
      <c r="B119" s="41" t="inlineStr">
        <is>
          <t>E14</t>
        </is>
      </c>
      <c r="C119" s="42" t="inlineStr">
        <is>
          <t>RISK ENGINE</t>
        </is>
      </c>
      <c r="D119" s="42" t="inlineStr">
        <is>
          <t>Pre-condition checks (1–4)</t>
        </is>
      </c>
      <c r="E119" s="42" t="inlineStr">
        <is>
          <t>New</t>
        </is>
      </c>
      <c r="F119" s="43" t="inlineStr">
        <is>
          <t>P0</t>
        </is>
      </c>
      <c r="G119" s="41" t="inlineStr">
        <is>
          <t>5</t>
        </is>
      </c>
      <c r="H119" s="53" t="inlineStr">
        <is>
          <t>Safety-critical</t>
        </is>
      </c>
      <c r="I119" s="41" t="inlineStr">
        <is>
          <t>FEAT</t>
        </is>
      </c>
      <c r="J119" s="45" t="n">
        <v>1</v>
      </c>
      <c r="K119" s="42" t="inlineStr">
        <is>
          <t>E14-S01</t>
        </is>
      </c>
      <c r="L119" s="42" t="n"/>
      <c r="M119" s="46" t="n"/>
      <c r="N119" s="47" t="n"/>
      <c r="O119" s="48" t="n"/>
      <c r="P119" s="48" t="n"/>
      <c r="Q119" s="49" t="n"/>
      <c r="R119" s="41" t="n">
        <v>0</v>
      </c>
      <c r="S119" s="50" t="n"/>
      <c r="T119" s="50" t="n"/>
      <c r="U119" s="50" t="n"/>
      <c r="V119" s="50" t="inlineStr">
        <is>
          <t>Kill switch · health gate · trading window · no-trade window.</t>
        </is>
      </c>
      <c r="W119" s="51" t="n"/>
    </row>
    <row r="120" ht="30" customHeight="1">
      <c r="A120" s="40" t="inlineStr">
        <is>
          <t>E14-S03</t>
        </is>
      </c>
      <c r="B120" s="41" t="inlineStr">
        <is>
          <t>E14</t>
        </is>
      </c>
      <c r="C120" s="42" t="inlineStr">
        <is>
          <t>RISK ENGINE</t>
        </is>
      </c>
      <c r="D120" s="42" t="inlineStr">
        <is>
          <t>Symbol eligibility checks (5–7)</t>
        </is>
      </c>
      <c r="E120" s="42" t="inlineStr">
        <is>
          <t>New</t>
        </is>
      </c>
      <c r="F120" s="43" t="inlineStr">
        <is>
          <t>P0</t>
        </is>
      </c>
      <c r="G120" s="41" t="inlineStr">
        <is>
          <t>5</t>
        </is>
      </c>
      <c r="H120" s="53" t="inlineStr">
        <is>
          <t>Safety-critical</t>
        </is>
      </c>
      <c r="I120" s="41" t="inlineStr">
        <is>
          <t>FEAT</t>
        </is>
      </c>
      <c r="J120" s="45" t="n">
        <v>1</v>
      </c>
      <c r="K120" s="42" t="inlineStr">
        <is>
          <t>E14-S01, E04</t>
        </is>
      </c>
      <c r="L120" s="42" t="n"/>
      <c r="M120" s="46" t="n"/>
      <c r="N120" s="47" t="n"/>
      <c r="O120" s="48" t="n"/>
      <c r="P120" s="48" t="n"/>
      <c r="Q120" s="49" t="n"/>
      <c r="R120" s="41" t="n">
        <v>0</v>
      </c>
      <c r="S120" s="50" t="n"/>
      <c r="T120" s="50" t="n"/>
      <c r="U120" s="50" t="n"/>
      <c r="V120" s="50" t="inlineStr">
        <is>
          <t>Symbol tradable (re-verified at order time) · slot available · not already held.</t>
        </is>
      </c>
      <c r="W120" s="51" t="n"/>
    </row>
    <row r="121" ht="30" customHeight="1">
      <c r="A121" s="40" t="inlineStr">
        <is>
          <t>E14-S04</t>
        </is>
      </c>
      <c r="B121" s="41" t="inlineStr">
        <is>
          <t>E14</t>
        </is>
      </c>
      <c r="C121" s="42" t="inlineStr">
        <is>
          <t>RISK ENGINE</t>
        </is>
      </c>
      <c r="D121" s="42" t="inlineStr">
        <is>
          <t>Portfolio exposure checks (8–10)</t>
        </is>
      </c>
      <c r="E121" s="42" t="inlineStr">
        <is>
          <t>New</t>
        </is>
      </c>
      <c r="F121" s="43" t="inlineStr">
        <is>
          <t>P0</t>
        </is>
      </c>
      <c r="G121" s="41" t="inlineStr">
        <is>
          <t>5</t>
        </is>
      </c>
      <c r="H121" s="53" t="inlineStr">
        <is>
          <t>Safety-critical</t>
        </is>
      </c>
      <c r="I121" s="41" t="inlineStr">
        <is>
          <t>FEAT</t>
        </is>
      </c>
      <c r="J121" s="45" t="n">
        <v>2</v>
      </c>
      <c r="K121" s="42" t="inlineStr">
        <is>
          <t>E14-S01</t>
        </is>
      </c>
      <c r="L121" s="42" t="n"/>
      <c r="M121" s="46" t="n"/>
      <c r="N121" s="47" t="n"/>
      <c r="O121" s="48" t="n"/>
      <c r="P121" s="48" t="n"/>
      <c r="Q121" s="49" t="n"/>
      <c r="R121" s="41" t="n">
        <v>4</v>
      </c>
      <c r="S121" s="50" t="n"/>
      <c r="T121" s="50" t="inlineStr">
        <is>
          <t>1. Correlation guard — reject N correlated names
2. Rolling correlation matrix over the watchlist
3. Sector exposure cap
4. Net directional exposure cap</t>
        </is>
      </c>
      <c r="U121" s="50" t="inlineStr">
        <is>
          <t>• 🔴 Four PSU banks cannot occupy four slots</t>
        </is>
      </c>
      <c r="V121" s="50" t="n"/>
      <c r="W121" s="51" t="n"/>
    </row>
    <row r="122" ht="30" customHeight="1">
      <c r="A122" s="40" t="inlineStr">
        <is>
          <t>E14-S05</t>
        </is>
      </c>
      <c r="B122" s="41" t="inlineStr">
        <is>
          <t>E14</t>
        </is>
      </c>
      <c r="C122" s="42" t="inlineStr">
        <is>
          <t>RISK ENGINE</t>
        </is>
      </c>
      <c r="D122" s="42" t="inlineStr">
        <is>
          <t>Loss limit checks (11–12)</t>
        </is>
      </c>
      <c r="E122" s="42" t="inlineStr">
        <is>
          <t>New</t>
        </is>
      </c>
      <c r="F122" s="43" t="inlineStr">
        <is>
          <t>P0</t>
        </is>
      </c>
      <c r="G122" s="41" t="inlineStr">
        <is>
          <t>5</t>
        </is>
      </c>
      <c r="H122" s="53" t="inlineStr">
        <is>
          <t>Safety-critical</t>
        </is>
      </c>
      <c r="I122" s="41" t="inlineStr">
        <is>
          <t>FEAT</t>
        </is>
      </c>
      <c r="J122" s="45" t="n">
        <v>1</v>
      </c>
      <c r="K122" s="42" t="inlineStr">
        <is>
          <t>E14-S01</t>
        </is>
      </c>
      <c r="L122" s="42" t="n"/>
      <c r="M122" s="46" t="n"/>
      <c r="N122" s="47" t="n"/>
      <c r="O122" s="48" t="n"/>
      <c r="P122" s="48" t="n"/>
      <c r="Q122" s="49" t="n"/>
      <c r="R122" s="41" t="n">
        <v>0</v>
      </c>
      <c r="S122" s="50" t="n"/>
      <c r="T122" s="50" t="n"/>
      <c r="U122" s="50" t="n"/>
      <c r="V122" s="50" t="inlineStr">
        <is>
          <t>Daily loss limit → halt · consecutive loss limit → halt.</t>
        </is>
      </c>
      <c r="W122" s="51" t="n"/>
    </row>
    <row r="123" ht="30" customHeight="1">
      <c r="A123" s="40" t="inlineStr">
        <is>
          <t>E14-S06</t>
        </is>
      </c>
      <c r="B123" s="41" t="inlineStr">
        <is>
          <t>E14</t>
        </is>
      </c>
      <c r="C123" s="42" t="inlineStr">
        <is>
          <t>RISK ENGINE</t>
        </is>
      </c>
      <c r="D123" s="42" t="inlineStr">
        <is>
          <t>Margin and timing checks (13–14)</t>
        </is>
      </c>
      <c r="E123" s="42" t="inlineStr">
        <is>
          <t>New</t>
        </is>
      </c>
      <c r="F123" s="43" t="inlineStr">
        <is>
          <t>P0</t>
        </is>
      </c>
      <c r="G123" s="41" t="inlineStr">
        <is>
          <t>5</t>
        </is>
      </c>
      <c r="H123" s="53" t="inlineStr">
        <is>
          <t>Safety-critical</t>
        </is>
      </c>
      <c r="I123" s="41" t="inlineStr">
        <is>
          <t>FEAT</t>
        </is>
      </c>
      <c r="J123" s="45" t="n">
        <v>1</v>
      </c>
      <c r="K123" s="42" t="inlineStr">
        <is>
          <t>E02-S07</t>
        </is>
      </c>
      <c r="L123" s="42" t="n"/>
      <c r="M123" s="46" t="n"/>
      <c r="N123" s="47" t="n"/>
      <c r="O123" s="48" t="n"/>
      <c r="P123" s="48" t="n"/>
      <c r="Q123" s="49" t="n"/>
      <c r="R123" s="41" t="n">
        <v>2</v>
      </c>
      <c r="S123" s="50" t="n"/>
      <c r="T123" s="50" t="inlineStr">
        <is>
          <t>1. Live broker margin sufficient for the intended position
2. Enough runway before the per-stock square-off deadline</t>
        </is>
      </c>
      <c r="U123" s="50" t="n"/>
      <c r="V123" s="50" t="n"/>
      <c r="W123" s="51" t="n"/>
    </row>
    <row r="124" ht="30" customHeight="1">
      <c r="A124" s="40" t="inlineStr">
        <is>
          <t>E14-S07</t>
        </is>
      </c>
      <c r="B124" s="41" t="inlineStr">
        <is>
          <t>E14</t>
        </is>
      </c>
      <c r="C124" s="42" t="inlineStr">
        <is>
          <t>RISK ENGINE</t>
        </is>
      </c>
      <c r="D124" s="42" t="inlineStr">
        <is>
          <t>ATR-based position sizing</t>
        </is>
      </c>
      <c r="E124" s="42" t="inlineStr">
        <is>
          <t>New</t>
        </is>
      </c>
      <c r="F124" s="43" t="inlineStr">
        <is>
          <t>P0</t>
        </is>
      </c>
      <c r="G124" s="41" t="inlineStr">
        <is>
          <t>5</t>
        </is>
      </c>
      <c r="H124" s="53" t="inlineStr">
        <is>
          <t>Safety-critical</t>
        </is>
      </c>
      <c r="I124" s="41" t="inlineStr">
        <is>
          <t>FEAT</t>
        </is>
      </c>
      <c r="J124" s="45" t="n">
        <v>2.5</v>
      </c>
      <c r="K124" s="42" t="inlineStr">
        <is>
          <t>E14-S06</t>
        </is>
      </c>
      <c r="L124" s="42" t="n"/>
      <c r="M124" s="46" t="n"/>
      <c r="N124" s="47" t="n"/>
      <c r="O124" s="48" t="n"/>
      <c r="P124" s="48" t="n"/>
      <c r="Q124" s="49" t="n"/>
      <c r="R124" s="41" t="n">
        <v>7</v>
      </c>
      <c r="S124" s="50" t="inlineStr">
        <is>
          <t>As a trader, I want position size derived from volatility and risk budget, so that every trade risks the same rupee amount regardless of the stock's price.</t>
        </is>
      </c>
      <c r="T124" s="50"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50" t="inlineStr">
        <is>
          <t>• 🔴 Property test: risk never exceeds `risk_pct` for ANY generated input
• 🔴 A surprisingly small position is explainable from the binding constraint</t>
        </is>
      </c>
      <c r="V124" s="50" t="n"/>
      <c r="W124" s="51" t="n"/>
    </row>
    <row r="125" ht="30" customHeight="1">
      <c r="A125" s="40" t="inlineStr">
        <is>
          <t>E14-S08</t>
        </is>
      </c>
      <c r="B125" s="41" t="inlineStr">
        <is>
          <t>E14</t>
        </is>
      </c>
      <c r="C125" s="42" t="inlineStr">
        <is>
          <t>RISK ENGINE</t>
        </is>
      </c>
      <c r="D125" s="42" t="inlineStr">
        <is>
          <t>Slot management</t>
        </is>
      </c>
      <c r="E125" s="42" t="inlineStr">
        <is>
          <t>New</t>
        </is>
      </c>
      <c r="F125" s="43" t="inlineStr">
        <is>
          <t>P0</t>
        </is>
      </c>
      <c r="G125" s="41" t="inlineStr">
        <is>
          <t>5</t>
        </is>
      </c>
      <c r="H125" s="53" t="inlineStr">
        <is>
          <t>Safety-critical</t>
        </is>
      </c>
      <c r="I125" s="41" t="inlineStr">
        <is>
          <t>FEAT</t>
        </is>
      </c>
      <c r="J125" s="45" t="n">
        <v>1.5</v>
      </c>
      <c r="K125" s="42" t="inlineStr">
        <is>
          <t>E01-S03</t>
        </is>
      </c>
      <c r="L125" s="42" t="n"/>
      <c r="M125" s="46" t="n"/>
      <c r="N125" s="47" t="n"/>
      <c r="O125" s="48" t="n"/>
      <c r="P125" s="48" t="n"/>
      <c r="Q125" s="49" t="n"/>
      <c r="R125" s="41" t="n">
        <v>4</v>
      </c>
      <c r="S125" s="50" t="n"/>
      <c r="T125" s="50" t="inlineStr">
        <is>
          <t>1. Slot allocation with Redis lock + TTL
2. Priority queue when signals exceed free slots (score, then expectancy)
3. Slot recycling on position close
4. Leak detection: slot count vs actual positions</t>
        </is>
      </c>
      <c r="U125" s="50" t="inlineStr">
        <is>
          <t>• 🔴 Concurrent signals cannot over-allocate slots</t>
        </is>
      </c>
      <c r="V125" s="50" t="n"/>
      <c r="W125" s="51" t="n"/>
    </row>
    <row r="126" ht="30" customHeight="1">
      <c r="A126" s="40" t="inlineStr">
        <is>
          <t>E14-S09</t>
        </is>
      </c>
      <c r="B126" s="41" t="inlineStr">
        <is>
          <t>E14</t>
        </is>
      </c>
      <c r="C126" s="42" t="inlineStr">
        <is>
          <t>RISK ENGINE</t>
        </is>
      </c>
      <c r="D126" s="42" t="inlineStr">
        <is>
          <t>Kill switch</t>
        </is>
      </c>
      <c r="E126" s="42" t="inlineStr">
        <is>
          <t>New</t>
        </is>
      </c>
      <c r="F126" s="43" t="inlineStr">
        <is>
          <t>P0</t>
        </is>
      </c>
      <c r="G126" s="41" t="inlineStr">
        <is>
          <t>5</t>
        </is>
      </c>
      <c r="H126" s="53" t="inlineStr">
        <is>
          <t>Safety-critical</t>
        </is>
      </c>
      <c r="I126" s="41" t="inlineStr">
        <is>
          <t>SEC</t>
        </is>
      </c>
      <c r="J126" s="45" t="n">
        <v>1.5</v>
      </c>
      <c r="K126" s="42" t="inlineStr">
        <is>
          <t>E14-S01</t>
        </is>
      </c>
      <c r="L126" s="42" t="n"/>
      <c r="M126" s="46" t="n"/>
      <c r="N126" s="47" t="n"/>
      <c r="O126" s="48" t="n"/>
      <c r="P126" s="48" t="n"/>
      <c r="Q126" s="49" t="n"/>
      <c r="R126" s="41" t="n">
        <v>5</v>
      </c>
      <c r="S126" s="50" t="n"/>
      <c r="T126" s="50"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50" t="inlineStr">
        <is>
          <t>• 🔴 Triggered from a phone in under 10 seconds
• 🔴 Open positions are not blindly market-closed</t>
        </is>
      </c>
      <c r="V126" s="50" t="n"/>
      <c r="W126" s="51" t="n"/>
    </row>
    <row r="127" ht="30" customHeight="1">
      <c r="A127" s="40" t="inlineStr">
        <is>
          <t>E15-S01</t>
        </is>
      </c>
      <c r="B127" s="41" t="inlineStr">
        <is>
          <t>E15</t>
        </is>
      </c>
      <c r="C127" s="42" t="inlineStr">
        <is>
          <t>EXECUTION &amp; POSITIONS</t>
        </is>
      </c>
      <c r="D127" s="42" t="inlineStr">
        <is>
          <t>Order gateway</t>
        </is>
      </c>
      <c r="E127" s="42" t="inlineStr">
        <is>
          <t>New</t>
        </is>
      </c>
      <c r="F127" s="43" t="inlineStr">
        <is>
          <t>P0</t>
        </is>
      </c>
      <c r="G127" s="41" t="inlineStr">
        <is>
          <t>5</t>
        </is>
      </c>
      <c r="H127" s="53" t="inlineStr">
        <is>
          <t>Safety-critical</t>
        </is>
      </c>
      <c r="I127" s="41" t="inlineStr">
        <is>
          <t>FEAT</t>
        </is>
      </c>
      <c r="J127" s="45" t="n">
        <v>2</v>
      </c>
      <c r="K127" s="42" t="inlineStr">
        <is>
          <t>E02-S04, E14-S07</t>
        </is>
      </c>
      <c r="L127" s="42" t="n"/>
      <c r="M127" s="46" t="n"/>
      <c r="N127" s="47" t="n"/>
      <c r="O127" s="48" t="n"/>
      <c r="P127" s="48" t="n"/>
      <c r="Q127" s="49" t="n"/>
      <c r="R127" s="41" t="n">
        <v>5</v>
      </c>
      <c r="S127" s="50" t="n"/>
      <c r="T127" s="50" t="inlineStr">
        <is>
          <t>1. Build `OrderRequest` from `RiskDecision`
2. Attach Algo-ID and market protection
3. Round prices to tick size
4. Single-threaded serialised submission
5. Rate limiter integration</t>
        </is>
      </c>
      <c r="U127" s="50" t="n"/>
      <c r="V127" s="50" t="n"/>
      <c r="W127" s="51" t="n"/>
    </row>
    <row r="128" ht="30" customHeight="1">
      <c r="A128" s="40" t="inlineStr">
        <is>
          <t>E15-S02</t>
        </is>
      </c>
      <c r="B128" s="41" t="inlineStr">
        <is>
          <t>E15</t>
        </is>
      </c>
      <c r="C128" s="42" t="inlineStr">
        <is>
          <t>EXECUTION &amp; POSITIONS</t>
        </is>
      </c>
      <c r="D128" s="42" t="inlineStr">
        <is>
          <t>Idempotency</t>
        </is>
      </c>
      <c r="E128" s="42" t="inlineStr">
        <is>
          <t>New</t>
        </is>
      </c>
      <c r="F128" s="43" t="inlineStr">
        <is>
          <t>P0</t>
        </is>
      </c>
      <c r="G128" s="41" t="inlineStr">
        <is>
          <t>5</t>
        </is>
      </c>
      <c r="H128" s="53" t="inlineStr">
        <is>
          <t>Safety-critical</t>
        </is>
      </c>
      <c r="I128" s="41" t="inlineStr">
        <is>
          <t>SEC</t>
        </is>
      </c>
      <c r="J128" s="45" t="n">
        <v>1</v>
      </c>
      <c r="K128" s="42" t="inlineStr">
        <is>
          <t>E15-S01</t>
        </is>
      </c>
      <c r="L128" s="42" t="n"/>
      <c r="M128" s="46" t="n"/>
      <c r="N128" s="47" t="n"/>
      <c r="O128" s="48" t="n"/>
      <c r="P128" s="48" t="n"/>
      <c r="Q128" s="49" t="n"/>
      <c r="R128" s="41" t="n">
        <v>3</v>
      </c>
      <c r="S128" s="50" t="n"/>
      <c r="T128" s="50" t="inlineStr">
        <is>
          <t>1. `client_order_id = sha256(correlation|symbol|side|intent|date)[:32]`
2. Persist before submission
3. On ambiguous failure: query by client_order_id, never retry</t>
        </is>
      </c>
      <c r="U128" s="50" t="inlineStr">
        <is>
          <t>• 🔴 Chaos test: timeout + reconnect produces exactly one order</t>
        </is>
      </c>
      <c r="V128" s="50" t="n"/>
      <c r="W128" s="51" t="n"/>
    </row>
    <row r="129" ht="30" customHeight="1">
      <c r="A129" s="40" t="inlineStr">
        <is>
          <t>E15-S03</t>
        </is>
      </c>
      <c r="B129" s="41" t="inlineStr">
        <is>
          <t>E15</t>
        </is>
      </c>
      <c r="C129" s="42" t="inlineStr">
        <is>
          <t>EXECUTION &amp; POSITIONS</t>
        </is>
      </c>
      <c r="D129" s="42" t="inlineStr">
        <is>
          <t>Order state machine</t>
        </is>
      </c>
      <c r="E129" s="42" t="inlineStr">
        <is>
          <t>New</t>
        </is>
      </c>
      <c r="F129" s="43" t="inlineStr">
        <is>
          <t>P0</t>
        </is>
      </c>
      <c r="G129" s="41" t="inlineStr">
        <is>
          <t>5</t>
        </is>
      </c>
      <c r="H129" s="53" t="inlineStr">
        <is>
          <t>Safety-critical</t>
        </is>
      </c>
      <c r="I129" s="41" t="inlineStr">
        <is>
          <t>FEAT</t>
        </is>
      </c>
      <c r="J129" s="45" t="n">
        <v>1.5</v>
      </c>
      <c r="K129" s="42" t="inlineStr">
        <is>
          <t>E15-S01</t>
        </is>
      </c>
      <c r="L129" s="42" t="n"/>
      <c r="M129" s="46" t="n"/>
      <c r="N129" s="47" t="n"/>
      <c r="O129" s="48" t="n"/>
      <c r="P129" s="48" t="n"/>
      <c r="Q129" s="49" t="n"/>
      <c r="R129" s="41" t="n">
        <v>0</v>
      </c>
      <c r="S129" s="50" t="n"/>
      <c r="T129" s="50" t="n"/>
      <c r="U129" s="50" t="n"/>
      <c r="V129" s="50" t="inlineStr">
        <is>
          <t>Full lifecycle per LOW_LEVEL_ARCHITECTURE §8.2 with illegal transitions rejected.</t>
        </is>
      </c>
      <c r="W129" s="51" t="n"/>
    </row>
    <row r="130" ht="30" customHeight="1">
      <c r="A130" s="40" t="inlineStr">
        <is>
          <t>E15-S04</t>
        </is>
      </c>
      <c r="B130" s="41" t="inlineStr">
        <is>
          <t>E15</t>
        </is>
      </c>
      <c r="C130" s="42" t="inlineStr">
        <is>
          <t>EXECUTION &amp; POSITIONS</t>
        </is>
      </c>
      <c r="D130" s="42" t="inlineStr">
        <is>
          <t>Protective stop attachment</t>
        </is>
      </c>
      <c r="E130" s="42" t="inlineStr">
        <is>
          <t>New</t>
        </is>
      </c>
      <c r="F130" s="43" t="inlineStr">
        <is>
          <t>P0</t>
        </is>
      </c>
      <c r="G130" s="41" t="inlineStr">
        <is>
          <t>5</t>
        </is>
      </c>
      <c r="H130" s="53" t="inlineStr">
        <is>
          <t>Safety-critical</t>
        </is>
      </c>
      <c r="I130" s="41" t="inlineStr">
        <is>
          <t>FEAT</t>
        </is>
      </c>
      <c r="J130" s="45" t="n">
        <v>1.5</v>
      </c>
      <c r="K130" s="42" t="inlineStr">
        <is>
          <t>E15-S03</t>
        </is>
      </c>
      <c r="L130" s="42" t="n"/>
      <c r="M130" s="46" t="n"/>
      <c r="N130" s="47" t="n"/>
      <c r="O130" s="48" t="n"/>
      <c r="P130" s="48" t="n"/>
      <c r="Q130" s="49" t="n"/>
      <c r="R130" s="41" t="n">
        <v>4</v>
      </c>
      <c r="S130" s="50" t="inlineStr">
        <is>
          <t>As a trader, I want a stop placed immediately after entry fill, so that no position is ever naked.</t>
        </is>
      </c>
      <c r="T130" s="50" t="inlineStr">
        <is>
          <t>1. Place stop on entry fill confirmation
2. If stop placement fails → close position at market immediately
3. Verify stop is live before considering the position established
4. Alert on any stop failure</t>
        </is>
      </c>
      <c r="U130" s="50" t="inlineStr">
        <is>
          <t>• 🔴 A position without a live stop cannot persist for more than one cycle</t>
        </is>
      </c>
      <c r="V130" s="50" t="n"/>
      <c r="W130" s="51" t="n"/>
    </row>
    <row r="131" ht="30" customHeight="1">
      <c r="A131" s="40" t="inlineStr">
        <is>
          <t>E15-S05</t>
        </is>
      </c>
      <c r="B131" s="41" t="inlineStr">
        <is>
          <t>E15</t>
        </is>
      </c>
      <c r="C131" s="42" t="inlineStr">
        <is>
          <t>EXECUTION &amp; POSITIONS</t>
        </is>
      </c>
      <c r="D131" s="42" t="inlineStr">
        <is>
          <t>Position manager</t>
        </is>
      </c>
      <c r="E131" s="42" t="inlineStr">
        <is>
          <t>New</t>
        </is>
      </c>
      <c r="F131" s="43" t="inlineStr">
        <is>
          <t>P0</t>
        </is>
      </c>
      <c r="G131" s="41" t="inlineStr">
        <is>
          <t>5</t>
        </is>
      </c>
      <c r="H131" s="53" t="inlineStr">
        <is>
          <t>Safety-critical</t>
        </is>
      </c>
      <c r="I131" s="41" t="inlineStr">
        <is>
          <t>FEAT</t>
        </is>
      </c>
      <c r="J131" s="45" t="n">
        <v>2</v>
      </c>
      <c r="K131" s="42" t="inlineStr">
        <is>
          <t>E15-S04</t>
        </is>
      </c>
      <c r="L131" s="42" t="n"/>
      <c r="M131" s="46" t="n"/>
      <c r="N131" s="47" t="n"/>
      <c r="O131" s="48" t="n"/>
      <c r="P131" s="48" t="n"/>
      <c r="Q131" s="49" t="n"/>
      <c r="R131" s="41" t="n">
        <v>4</v>
      </c>
      <c r="S131" s="50" t="n"/>
      <c r="T131" s="50" t="inlineStr">
        <is>
          <t>1. Track open positions with live P&amp;L
2. MFE/MAE tracking for the journal
3. R-multiple computation
4. Position state in Redis for fast reads</t>
        </is>
      </c>
      <c r="U131" s="50" t="n"/>
      <c r="V131" s="50" t="n"/>
      <c r="W131" s="51" t="n"/>
    </row>
    <row r="132" ht="30" customHeight="1">
      <c r="A132" s="40" t="inlineStr">
        <is>
          <t>E15-S06</t>
        </is>
      </c>
      <c r="B132" s="41" t="inlineStr">
        <is>
          <t>E15</t>
        </is>
      </c>
      <c r="C132" s="42" t="inlineStr">
        <is>
          <t>EXECUTION &amp; POSITIONS</t>
        </is>
      </c>
      <c r="D132" s="42" t="inlineStr">
        <is>
          <t>Square-off timer</t>
        </is>
      </c>
      <c r="E132" s="42" t="inlineStr">
        <is>
          <t>New</t>
        </is>
      </c>
      <c r="F132" s="43" t="inlineStr">
        <is>
          <t>P0</t>
        </is>
      </c>
      <c r="G132" s="41" t="inlineStr">
        <is>
          <t>5</t>
        </is>
      </c>
      <c r="H132" s="53" t="inlineStr">
        <is>
          <t>Safety-critical</t>
        </is>
      </c>
      <c r="I132" s="41" t="inlineStr">
        <is>
          <t>FEAT</t>
        </is>
      </c>
      <c r="J132" s="45" t="n">
        <v>1.5</v>
      </c>
      <c r="K132" s="42" t="inlineStr">
        <is>
          <t>E15-S05, E04-S05</t>
        </is>
      </c>
      <c r="L132" s="42" t="n"/>
      <c r="M132" s="46" t="n"/>
      <c r="N132" s="47" t="n"/>
      <c r="O132" s="48" t="n"/>
      <c r="P132" s="48" t="n"/>
      <c r="Q132" s="49" t="n"/>
      <c r="R132" s="41" t="n">
        <v>5</v>
      </c>
      <c r="S132" s="50" t="inlineStr">
        <is>
          <t>As a trader, I want every intraday position closed on my schedule, so that the broker never force-closes at an arbitrary price.</t>
        </is>
      </c>
      <c r="T132" s="50" t="inlineStr">
        <is>
          <t>1. Compute per-stock deadline at position open
2. Store in `timer:squareoff` sorted set
3. Single polling loop for all positions
4. Market order with protection at deadline
5. Alert if a position remains after its deadline</t>
        </is>
      </c>
      <c r="U132" s="50" t="inlineStr">
        <is>
          <t>• 🔴 Property test: our deadline always precedes the broker's, every stock class
• 🔴 No position survives its deadline in a full-session replay</t>
        </is>
      </c>
      <c r="V132" s="50" t="n"/>
      <c r="W132" s="51" t="n"/>
    </row>
    <row r="133" ht="30" customHeight="1">
      <c r="A133" s="40" t="inlineStr">
        <is>
          <t>E15-S07</t>
        </is>
      </c>
      <c r="B133" s="41" t="inlineStr">
        <is>
          <t>E15</t>
        </is>
      </c>
      <c r="C133" s="42" t="inlineStr">
        <is>
          <t>EXECUTION &amp; POSITIONS</t>
        </is>
      </c>
      <c r="D133" s="42" t="inlineStr">
        <is>
          <t>Exit precedence</t>
        </is>
      </c>
      <c r="E133" s="42" t="inlineStr">
        <is>
          <t>New</t>
        </is>
      </c>
      <c r="F133" s="43" t="inlineStr">
        <is>
          <t>P0</t>
        </is>
      </c>
      <c r="G133" s="41" t="inlineStr">
        <is>
          <t>5</t>
        </is>
      </c>
      <c r="H133" s="53" t="inlineStr">
        <is>
          <t>Safety-critical</t>
        </is>
      </c>
      <c r="I133" s="41" t="inlineStr">
        <is>
          <t>FEAT</t>
        </is>
      </c>
      <c r="J133" s="45" t="n">
        <v>1</v>
      </c>
      <c r="K133" s="42" t="inlineStr">
        <is>
          <t>E15-S06</t>
        </is>
      </c>
      <c r="L133" s="42" t="n"/>
      <c r="M133" s="46" t="n"/>
      <c r="N133" s="47" t="n"/>
      <c r="O133" s="48" t="n"/>
      <c r="P133" s="48" t="n"/>
      <c r="Q133" s="49" t="n"/>
      <c r="R133" s="41" t="n">
        <v>0</v>
      </c>
      <c r="S133" s="50" t="n"/>
      <c r="T133" s="50" t="n"/>
      <c r="U133" s="50" t="n"/>
      <c r="V133" s="50" t="inlineStr">
        <is>
          <t>Order: kill switch → deadline → stop → target → trailing → thesis invalidation → manual.</t>
        </is>
      </c>
      <c r="W133" s="51" t="n"/>
    </row>
    <row r="134" ht="30" customHeight="1">
      <c r="A134" s="40" t="inlineStr">
        <is>
          <t>E15-S08</t>
        </is>
      </c>
      <c r="B134" s="41" t="inlineStr">
        <is>
          <t>E15</t>
        </is>
      </c>
      <c r="C134" s="42" t="inlineStr">
        <is>
          <t>EXECUTION &amp; POSITIONS</t>
        </is>
      </c>
      <c r="D134" s="42" t="inlineStr">
        <is>
          <t>Trailing stops and partial exits</t>
        </is>
      </c>
      <c r="E134" s="42" t="inlineStr">
        <is>
          <t>New</t>
        </is>
      </c>
      <c r="F134" s="55" t="inlineStr">
        <is>
          <t>P1</t>
        </is>
      </c>
      <c r="G134" s="41" t="inlineStr">
        <is>
          <t>6</t>
        </is>
      </c>
      <c r="H134" s="52" t="inlineStr">
        <is>
          <t>Correctness-critical</t>
        </is>
      </c>
      <c r="I134" s="41" t="inlineStr">
        <is>
          <t>FEAT</t>
        </is>
      </c>
      <c r="J134" s="45" t="n">
        <v>1.5</v>
      </c>
      <c r="K134" s="42" t="inlineStr">
        <is>
          <t>E15-S05</t>
        </is>
      </c>
      <c r="L134" s="42" t="n"/>
      <c r="M134" s="46" t="n"/>
      <c r="N134" s="47" t="n"/>
      <c r="O134" s="48" t="n"/>
      <c r="P134" s="48" t="n"/>
      <c r="Q134" s="49" t="n"/>
      <c r="R134" s="41" t="n">
        <v>0</v>
      </c>
      <c r="S134" s="50" t="n"/>
      <c r="T134" s="50" t="n"/>
      <c r="U134" s="50" t="n"/>
      <c r="V134" s="50" t="inlineStr">
        <is>
          <t>Activate trailing after N R; partial booking at configured levels.</t>
        </is>
      </c>
      <c r="W134" s="51" t="n"/>
    </row>
    <row r="135" ht="30" customHeight="1">
      <c r="A135" s="40" t="inlineStr">
        <is>
          <t>E15-S09</t>
        </is>
      </c>
      <c r="B135" s="41" t="inlineStr">
        <is>
          <t>E15</t>
        </is>
      </c>
      <c r="C135" s="42" t="inlineStr">
        <is>
          <t>EXECUTION &amp; POSITIONS</t>
        </is>
      </c>
      <c r="D135" s="42" t="inlineStr">
        <is>
          <t>Reconciliation loop</t>
        </is>
      </c>
      <c r="E135" s="42" t="inlineStr">
        <is>
          <t>New</t>
        </is>
      </c>
      <c r="F135" s="43" t="inlineStr">
        <is>
          <t>P0</t>
        </is>
      </c>
      <c r="G135" s="41" t="inlineStr">
        <is>
          <t>5</t>
        </is>
      </c>
      <c r="H135" s="53" t="inlineStr">
        <is>
          <t>Safety-critical</t>
        </is>
      </c>
      <c r="I135" s="41" t="inlineStr">
        <is>
          <t>SEC</t>
        </is>
      </c>
      <c r="J135" s="45" t="n">
        <v>2</v>
      </c>
      <c r="K135" s="42" t="inlineStr">
        <is>
          <t>E15-S03</t>
        </is>
      </c>
      <c r="L135" s="42" t="n"/>
      <c r="M135" s="46" t="n"/>
      <c r="N135" s="47" t="n"/>
      <c r="O135" s="48" t="n"/>
      <c r="P135" s="48" t="n"/>
      <c r="Q135" s="49" t="n"/>
      <c r="R135" s="41" t="n">
        <v>5</v>
      </c>
      <c r="S135" s="50" t="inlineStr">
        <is>
          <t>As an operator, I want local state continuously compared against the broker's, so that drift is detected rather than discovered.</t>
        </is>
      </c>
      <c r="T135" s="50" t="inlineStr">
        <is>
          <t>1. Every 30s during market hours, plus on every reconnect
2. Diff orders and positions
3. Broker state wins — it is the legal record
4. `RECONCILIATION_DRIFT` audit event per difference
5. Unknown position → kill switch + P0 alert immediately</t>
        </is>
      </c>
      <c r="U135" s="50" t="inlineStr">
        <is>
          <t>• 🔴 An unknown position halts the system within one reconciliation cycle</t>
        </is>
      </c>
      <c r="V135" s="50" t="n"/>
      <c r="W135" s="51" t="n"/>
    </row>
    <row r="136" ht="30" customHeight="1">
      <c r="A136" s="40" t="inlineStr">
        <is>
          <t>E15-S10</t>
        </is>
      </c>
      <c r="B136" s="41" t="inlineStr">
        <is>
          <t>E15</t>
        </is>
      </c>
      <c r="C136" s="42" t="inlineStr">
        <is>
          <t>EXECUTION &amp; POSITIONS</t>
        </is>
      </c>
      <c r="D136" s="42" t="inlineStr">
        <is>
          <t>Paper trading mode</t>
        </is>
      </c>
      <c r="E136" s="42" t="inlineStr">
        <is>
          <t>New</t>
        </is>
      </c>
      <c r="F136" s="43" t="inlineStr">
        <is>
          <t>P0</t>
        </is>
      </c>
      <c r="G136" s="41" t="inlineStr">
        <is>
          <t>5</t>
        </is>
      </c>
      <c r="H136" s="53" t="inlineStr">
        <is>
          <t>Safety-critical</t>
        </is>
      </c>
      <c r="I136" s="41" t="inlineStr">
        <is>
          <t>FEAT</t>
        </is>
      </c>
      <c r="J136" s="45" t="n">
        <v>1.5</v>
      </c>
      <c r="K136" s="42" t="inlineStr">
        <is>
          <t>E15-S01</t>
        </is>
      </c>
      <c r="L136" s="42" t="n"/>
      <c r="M136" s="46" t="n"/>
      <c r="N136" s="47" t="n"/>
      <c r="O136" s="48" t="n"/>
      <c r="P136" s="48" t="n"/>
      <c r="Q136" s="49" t="n"/>
      <c r="R136" s="41" t="n">
        <v>4</v>
      </c>
      <c r="S136" s="50" t="inlineStr">
        <is>
          <t>As a validator, I want paper trading to use the identical code path, so that what I validate is what will run live.</t>
        </is>
      </c>
      <c r="T136" s="50" t="inlineStr">
        <is>
          <t>1. Simulated broker with realistic fills, rejections, partial fills
2. Same risk engine, same order gateway, same position manager
3. Only the adapter differs
4. Simulated slippage and costs</t>
        </is>
      </c>
      <c r="U136" s="50" t="inlineStr">
        <is>
          <t>• 🔴 Switching paper→live changes exactly one dependency injection</t>
        </is>
      </c>
      <c r="V136" s="50" t="n"/>
      <c r="W136" s="51" t="n"/>
    </row>
    <row r="137" ht="30" customHeight="1">
      <c r="A137" s="40" t="inlineStr">
        <is>
          <t>E15-S11</t>
        </is>
      </c>
      <c r="B137" s="41" t="inlineStr">
        <is>
          <t>E15</t>
        </is>
      </c>
      <c r="C137" s="42" t="inlineStr">
        <is>
          <t>EXECUTION &amp; POSITIONS</t>
        </is>
      </c>
      <c r="D137" s="42" t="inlineStr">
        <is>
          <t>EOD reconciliation and journal</t>
        </is>
      </c>
      <c r="E137" s="42" t="inlineStr">
        <is>
          <t>New</t>
        </is>
      </c>
      <c r="F137" s="43" t="inlineStr">
        <is>
          <t>P0</t>
        </is>
      </c>
      <c r="G137" s="41" t="inlineStr">
        <is>
          <t>5</t>
        </is>
      </c>
      <c r="H137" s="52" t="inlineStr">
        <is>
          <t>Correctness-critical</t>
        </is>
      </c>
      <c r="I137" s="41" t="inlineStr">
        <is>
          <t>FEAT</t>
        </is>
      </c>
      <c r="J137" s="45" t="n">
        <v>1</v>
      </c>
      <c r="K137" s="42" t="inlineStr">
        <is>
          <t>E15-S09</t>
        </is>
      </c>
      <c r="L137" s="42" t="n"/>
      <c r="M137" s="46" t="n"/>
      <c r="N137" s="47" t="n"/>
      <c r="O137" s="48" t="n"/>
      <c r="P137" s="48" t="n"/>
      <c r="Q137" s="49" t="n"/>
      <c r="R137" s="41" t="n">
        <v>0</v>
      </c>
      <c r="S137" s="50" t="n"/>
      <c r="T137" s="50" t="n"/>
      <c r="U137" s="50" t="n"/>
      <c r="V137" s="50" t="inlineStr">
        <is>
          <t>Final reconciliation, journal entries with setup/regime/outcome attribution, daily statistics.</t>
        </is>
      </c>
      <c r="W137" s="51" t="n"/>
    </row>
    <row r="138" ht="30" customHeight="1">
      <c r="A138" s="40" t="inlineStr">
        <is>
          <t>E16-S01</t>
        </is>
      </c>
      <c r="B138" s="41" t="inlineStr">
        <is>
          <t>E16</t>
        </is>
      </c>
      <c r="C138" s="42" t="inlineStr">
        <is>
          <t>AUTONOMY &amp; APPROVAL</t>
        </is>
      </c>
      <c r="D138" s="42" t="inlineStr">
        <is>
          <t>Autonomy level management</t>
        </is>
      </c>
      <c r="E138" s="42" t="inlineStr">
        <is>
          <t>New</t>
        </is>
      </c>
      <c r="F138" s="43" t="inlineStr">
        <is>
          <t>P0</t>
        </is>
      </c>
      <c r="G138" s="41" t="inlineStr">
        <is>
          <t>5</t>
        </is>
      </c>
      <c r="H138" s="53" t="inlineStr">
        <is>
          <t>Safety-critical</t>
        </is>
      </c>
      <c r="I138" s="41" t="inlineStr">
        <is>
          <t>FEAT</t>
        </is>
      </c>
      <c r="J138" s="45" t="n">
        <v>1</v>
      </c>
      <c r="K138" s="42" t="inlineStr">
        <is>
          <t>E14-S01</t>
        </is>
      </c>
      <c r="L138" s="42" t="n"/>
      <c r="M138" s="46" t="n"/>
      <c r="N138" s="47" t="n"/>
      <c r="O138" s="48" t="n"/>
      <c r="P138" s="48" t="n"/>
      <c r="Q138" s="49" t="n"/>
      <c r="R138" s="41" t="n">
        <v>0</v>
      </c>
      <c r="S138" s="50" t="n"/>
      <c r="T138" s="50" t="n"/>
      <c r="U138" s="50" t="n"/>
      <c r="V138" s="50" t="inlineStr">
        <is>
          <t>L0–L4 levels controlling system behaviour; level change requires re-auth.</t>
        </is>
      </c>
      <c r="W138" s="51" t="n"/>
    </row>
    <row r="139" ht="30" customHeight="1">
      <c r="A139" s="40" t="inlineStr">
        <is>
          <t>E16-S02</t>
        </is>
      </c>
      <c r="B139" s="41" t="inlineStr">
        <is>
          <t>E16</t>
        </is>
      </c>
      <c r="C139" s="42" t="inlineStr">
        <is>
          <t>AUTONOMY &amp; APPROVAL</t>
        </is>
      </c>
      <c r="D139" s="42" t="inlineStr">
        <is>
          <t>Envelope evaluation</t>
        </is>
      </c>
      <c r="E139" s="42" t="inlineStr">
        <is>
          <t>New</t>
        </is>
      </c>
      <c r="F139" s="43" t="inlineStr">
        <is>
          <t>P0</t>
        </is>
      </c>
      <c r="G139" s="41" t="inlineStr">
        <is>
          <t>5</t>
        </is>
      </c>
      <c r="H139" s="53" t="inlineStr">
        <is>
          <t>Safety-critical</t>
        </is>
      </c>
      <c r="I139" s="41" t="inlineStr">
        <is>
          <t>FEAT</t>
        </is>
      </c>
      <c r="J139" s="45" t="n">
        <v>1.5</v>
      </c>
      <c r="K139" s="42" t="inlineStr">
        <is>
          <t>E16-S01</t>
        </is>
      </c>
      <c r="L139" s="42" t="n"/>
      <c r="M139" s="46" t="n"/>
      <c r="N139" s="47" t="n"/>
      <c r="O139" s="48" t="n"/>
      <c r="P139" s="48" t="n"/>
      <c r="Q139" s="49" t="n"/>
      <c r="R139" s="41" t="n">
        <v>3</v>
      </c>
      <c r="S139" s="50" t="n"/>
      <c r="T139" s="50" t="inlineStr">
        <is>
          <t>1. Evaluate each trade against the autonomy envelope
2. Inside → auto-execute; outside → escalate
3. Record which envelope condition triggered escalation</t>
        </is>
      </c>
      <c r="U139" s="50" t="n"/>
      <c r="V139" s="50" t="n"/>
      <c r="W139" s="51" t="n"/>
    </row>
    <row r="140" ht="30" customHeight="1">
      <c r="A140" s="40" t="inlineStr">
        <is>
          <t>E16-S03</t>
        </is>
      </c>
      <c r="B140" s="41" t="inlineStr">
        <is>
          <t>E16</t>
        </is>
      </c>
      <c r="C140" s="42" t="inlineStr">
        <is>
          <t>AUTONOMY &amp; APPROVAL</t>
        </is>
      </c>
      <c r="D140" s="42" t="inlineStr">
        <is>
          <t>Escalation and approval flow</t>
        </is>
      </c>
      <c r="E140" s="42" t="inlineStr">
        <is>
          <t>New</t>
        </is>
      </c>
      <c r="F140" s="43" t="inlineStr">
        <is>
          <t>P0</t>
        </is>
      </c>
      <c r="G140" s="41" t="inlineStr">
        <is>
          <t>5</t>
        </is>
      </c>
      <c r="H140" s="53" t="inlineStr">
        <is>
          <t>Safety-critical</t>
        </is>
      </c>
      <c r="I140" s="41" t="inlineStr">
        <is>
          <t>FEAT</t>
        </is>
      </c>
      <c r="J140" s="45" t="n">
        <v>2</v>
      </c>
      <c r="K140" s="42" t="inlineStr">
        <is>
          <t>E16-S02, E19-S03</t>
        </is>
      </c>
      <c r="L140" s="42" t="n"/>
      <c r="M140" s="46" t="n"/>
      <c r="N140" s="47" t="n"/>
      <c r="O140" s="48" t="n"/>
      <c r="P140" s="48" t="n"/>
      <c r="Q140" s="49" t="n"/>
      <c r="R140" s="41" t="n">
        <v>5</v>
      </c>
      <c r="S140" s="50" t="n"/>
      <c r="T140" s="50" t="inlineStr">
        <is>
          <t>1. Send approval request with full context
2. 60-second window
3. Timeout → skip the trade (never auto-approve)
4. Approve/reject handling
5. Audit the decision and who made it</t>
        </is>
      </c>
      <c r="U140" s="50" t="inlineStr">
        <is>
          <t>• 🔴 An unanswered approval request never results in a trade</t>
        </is>
      </c>
      <c r="V140" s="50" t="n"/>
      <c r="W140" s="51" t="n"/>
    </row>
    <row r="141" ht="30" customHeight="1">
      <c r="A141" s="40" t="inlineStr">
        <is>
          <t>E16-S04</t>
        </is>
      </c>
      <c r="B141" s="41" t="inlineStr">
        <is>
          <t>E16</t>
        </is>
      </c>
      <c r="C141" s="42" t="inlineStr">
        <is>
          <t>AUTONOMY &amp; APPROVAL</t>
        </is>
      </c>
      <c r="D141" s="42" t="inlineStr">
        <is>
          <t>Auto-demotion</t>
        </is>
      </c>
      <c r="E141" s="42" t="inlineStr">
        <is>
          <t>New</t>
        </is>
      </c>
      <c r="F141" s="43" t="inlineStr">
        <is>
          <t>P0</t>
        </is>
      </c>
      <c r="G141" s="41" t="inlineStr">
        <is>
          <t>5</t>
        </is>
      </c>
      <c r="H141" s="53" t="inlineStr">
        <is>
          <t>Safety-critical</t>
        </is>
      </c>
      <c r="I141" s="41" t="inlineStr">
        <is>
          <t>FEAT</t>
        </is>
      </c>
      <c r="J141" s="45" t="n">
        <v>1</v>
      </c>
      <c r="K141" s="42" t="inlineStr">
        <is>
          <t>E16-S01</t>
        </is>
      </c>
      <c r="L141" s="42" t="n"/>
      <c r="M141" s="46" t="n"/>
      <c r="N141" s="47" t="n"/>
      <c r="O141" s="48" t="n"/>
      <c r="P141" s="48" t="n"/>
      <c r="Q141" s="49" t="n"/>
      <c r="R141" s="41" t="n">
        <v>4</v>
      </c>
      <c r="S141" s="50" t="inlineStr">
        <is>
          <t>As a trader, I want the system to ask for more supervision when it is doing badly, so that autonomy is not retained through a losing streak.</t>
        </is>
      </c>
      <c r="T141" s="50" t="inlineStr">
        <is>
          <t>1. Triggers: daily loss %, consecutive losses, AI disagreement rate, 7-day win rate
2. Demote L3 → L2 automatically
3. Alert with the reason
4. Manual re-promotion only</t>
        </is>
      </c>
      <c r="U141" s="50" t="n"/>
      <c r="V141" s="50" t="n"/>
      <c r="W141" s="51" t="n"/>
    </row>
    <row r="142" ht="30" customHeight="1">
      <c r="A142" s="40" t="inlineStr">
        <is>
          <t>E16-S05</t>
        </is>
      </c>
      <c r="B142" s="41" t="inlineStr">
        <is>
          <t>E16</t>
        </is>
      </c>
      <c r="C142" s="42" t="inlineStr">
        <is>
          <t>AUTONOMY &amp; APPROVAL</t>
        </is>
      </c>
      <c r="D142" s="42" t="inlineStr">
        <is>
          <t>Escalation trigger conditions</t>
        </is>
      </c>
      <c r="E142" s="42" t="inlineStr">
        <is>
          <t>New</t>
        </is>
      </c>
      <c r="F142" s="43" t="inlineStr">
        <is>
          <t>P0</t>
        </is>
      </c>
      <c r="G142" s="41" t="inlineStr">
        <is>
          <t>5</t>
        </is>
      </c>
      <c r="H142" s="52" t="inlineStr">
        <is>
          <t>Correctness-critical</t>
        </is>
      </c>
      <c r="I142" s="41" t="inlineStr">
        <is>
          <t>FEAT</t>
        </is>
      </c>
      <c r="J142" s="45" t="n">
        <v>1</v>
      </c>
      <c r="K142" s="42" t="inlineStr">
        <is>
          <t>E16-S02</t>
        </is>
      </c>
      <c r="L142" s="42" t="n"/>
      <c r="M142" s="46" t="n"/>
      <c r="N142" s="47" t="n"/>
      <c r="O142" s="48" t="n"/>
      <c r="P142" s="48" t="n"/>
      <c r="Q142" s="49" t="n"/>
      <c r="R142" s="41" t="n">
        <v>0</v>
      </c>
      <c r="S142" s="50" t="n"/>
      <c r="T142" s="50" t="n"/>
      <c r="U142" s="50" t="n"/>
      <c r="V142" s="50" t="inlineStr">
        <is>
          <t>News unmatched to thesis · intraday regime change · correlation spike · broker reject streak · reconciliation drift.</t>
        </is>
      </c>
      <c r="W142" s="51" t="n"/>
    </row>
    <row r="143" ht="30" customHeight="1">
      <c r="A143" s="40" t="inlineStr">
        <is>
          <t>E16-S06</t>
        </is>
      </c>
      <c r="B143" s="41" t="inlineStr">
        <is>
          <t>E16</t>
        </is>
      </c>
      <c r="C143" s="42" t="inlineStr">
        <is>
          <t>AUTONOMY &amp; APPROVAL</t>
        </is>
      </c>
      <c r="D143" s="42" t="inlineStr">
        <is>
          <t>Autonomy audit trail</t>
        </is>
      </c>
      <c r="E143" s="42" t="inlineStr">
        <is>
          <t>New</t>
        </is>
      </c>
      <c r="F143" s="55" t="inlineStr">
        <is>
          <t>P1</t>
        </is>
      </c>
      <c r="G143" s="41" t="inlineStr">
        <is>
          <t>6</t>
        </is>
      </c>
      <c r="H143" s="44" t="inlineStr">
        <is>
          <t>Low</t>
        </is>
      </c>
      <c r="I143" s="41" t="inlineStr">
        <is>
          <t>FEAT</t>
        </is>
      </c>
      <c r="J143" s="45" t="n">
        <v>0.5</v>
      </c>
      <c r="K143" s="42" t="n"/>
      <c r="L143" s="42" t="n"/>
      <c r="M143" s="46" t="n"/>
      <c r="N143" s="47" t="n"/>
      <c r="O143" s="48" t="n"/>
      <c r="P143" s="48" t="n"/>
      <c r="Q143" s="49" t="n"/>
      <c r="R143" s="41" t="n">
        <v>0</v>
      </c>
      <c r="S143" s="50" t="n"/>
      <c r="T143" s="50" t="n"/>
      <c r="U143" s="50" t="n"/>
      <c r="V143" s="50" t="inlineStr">
        <is>
          <t>History of level changes, escalations, approvals, demotions.</t>
        </is>
      </c>
      <c r="W143" s="51" t="n"/>
    </row>
    <row r="144" ht="30" customHeight="1">
      <c r="A144" s="40" t="inlineStr">
        <is>
          <t>E17-S01</t>
        </is>
      </c>
      <c r="B144" s="41" t="inlineStr">
        <is>
          <t>E17</t>
        </is>
      </c>
      <c r="C144" s="42" t="inlineStr">
        <is>
          <t>DASHBOARD UI</t>
        </is>
      </c>
      <c r="D144" s="42" t="inlineStr">
        <is>
          <t>Application shell and authentication</t>
        </is>
      </c>
      <c r="E144" s="42" t="inlineStr">
        <is>
          <t>New</t>
        </is>
      </c>
      <c r="F144" s="43" t="inlineStr">
        <is>
          <t>P0</t>
        </is>
      </c>
      <c r="G144" s="41" t="inlineStr">
        <is>
          <t>4</t>
        </is>
      </c>
      <c r="H144" s="53" t="inlineStr">
        <is>
          <t>Safety-critical</t>
        </is>
      </c>
      <c r="I144" s="41" t="inlineStr">
        <is>
          <t>SEC</t>
        </is>
      </c>
      <c r="J144" s="45" t="n">
        <v>2</v>
      </c>
      <c r="K144" s="42" t="n"/>
      <c r="L144" s="42" t="n"/>
      <c r="M144" s="46" t="n"/>
      <c r="N144" s="47" t="n"/>
      <c r="O144" s="48" t="n"/>
      <c r="P144" s="48" t="n"/>
      <c r="Q144" s="49" t="n"/>
      <c r="R144" s="41" t="n">
        <v>7</v>
      </c>
      <c r="S144" s="50" t="n"/>
      <c r="T144" s="50"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50" t="inlineStr">
        <is>
          <t>• 🔴 External port scan shows the dashboard closed
• 🔴 No inline scripts; CSP violations logged</t>
        </is>
      </c>
      <c r="V144" s="50" t="n"/>
      <c r="W144" s="51" t="n"/>
    </row>
    <row r="145" ht="30" customHeight="1">
      <c r="A145" s="40" t="inlineStr">
        <is>
          <t>E17-S02</t>
        </is>
      </c>
      <c r="B145" s="41" t="inlineStr">
        <is>
          <t>E17</t>
        </is>
      </c>
      <c r="C145" s="42" t="inlineStr">
        <is>
          <t>DASHBOARD UI</t>
        </is>
      </c>
      <c r="D145" s="42" t="inlineStr">
        <is>
          <t>SSE live update channel</t>
        </is>
      </c>
      <c r="E145" s="42" t="inlineStr">
        <is>
          <t>New</t>
        </is>
      </c>
      <c r="F145" s="43" t="inlineStr">
        <is>
          <t>P0</t>
        </is>
      </c>
      <c r="G145" s="41" t="inlineStr">
        <is>
          <t>4</t>
        </is>
      </c>
      <c r="H145" s="52" t="inlineStr">
        <is>
          <t>Correctness-critical</t>
        </is>
      </c>
      <c r="I145" s="41" t="inlineStr">
        <is>
          <t>FEAT</t>
        </is>
      </c>
      <c r="J145" s="45" t="n">
        <v>1.5</v>
      </c>
      <c r="K145" s="42" t="inlineStr">
        <is>
          <t>E17-S01</t>
        </is>
      </c>
      <c r="L145" s="42" t="n"/>
      <c r="M145" s="46" t="n"/>
      <c r="N145" s="47" t="n"/>
      <c r="O145" s="48" t="n"/>
      <c r="P145" s="48" t="n"/>
      <c r="Q145" s="49" t="n"/>
      <c r="R145" s="41" t="n">
        <v>0</v>
      </c>
      <c r="S145" s="50" t="n"/>
      <c r="T145" s="50" t="n"/>
      <c r="U145" s="50" t="n"/>
      <c r="V145" s="50" t="inlineStr">
        <is>
          <t>Single stream for positions, P&amp;L, health, activity. Auto-reconnect with visible banner. Throttled to 4 Hz.</t>
        </is>
      </c>
      <c r="W145" s="51" t="n"/>
    </row>
    <row r="146" ht="30" customHeight="1">
      <c r="A146" s="40" t="inlineStr">
        <is>
          <t>E17-S03</t>
        </is>
      </c>
      <c r="B146" s="41" t="inlineStr">
        <is>
          <t>E17</t>
        </is>
      </c>
      <c r="C146" s="42" t="inlineStr">
        <is>
          <t>DASHBOARD UI</t>
        </is>
      </c>
      <c r="D146" s="42" t="inlineStr">
        <is>
          <t>Live dashboard</t>
        </is>
      </c>
      <c r="E146" s="42" t="inlineStr">
        <is>
          <t>New</t>
        </is>
      </c>
      <c r="F146" s="43" t="inlineStr">
        <is>
          <t>P0</t>
        </is>
      </c>
      <c r="G146" s="41" t="inlineStr">
        <is>
          <t>4</t>
        </is>
      </c>
      <c r="H146" s="52" t="inlineStr">
        <is>
          <t>Correctness-critical</t>
        </is>
      </c>
      <c r="I146" s="41" t="inlineStr">
        <is>
          <t>FEAT</t>
        </is>
      </c>
      <c r="J146" s="45" t="n">
        <v>2.5</v>
      </c>
      <c r="K146" s="42" t="inlineStr">
        <is>
          <t>E17-S02</t>
        </is>
      </c>
      <c r="L146" s="42" t="n"/>
      <c r="M146" s="46" t="n"/>
      <c r="N146" s="47" t="n"/>
      <c r="O146" s="48" t="n"/>
      <c r="P146" s="48" t="n"/>
      <c r="Q146" s="49" t="n"/>
      <c r="R146" s="41" t="n">
        <v>8</v>
      </c>
      <c r="S146" s="50" t="n"/>
      <c r="T146" s="50"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50" t="inlineStr">
        <is>
          <t>• "Is everything OK?" answerable in under 2 seconds
• Direction never encoded by colour alone (arrow + sign + colour)</t>
        </is>
      </c>
      <c r="V146" s="50" t="n"/>
      <c r="W146" s="51" t="n"/>
    </row>
    <row r="147" ht="30" customHeight="1">
      <c r="A147" s="40" t="inlineStr">
        <is>
          <t>E17-S04</t>
        </is>
      </c>
      <c r="B147" s="41" t="inlineStr">
        <is>
          <t>E17</t>
        </is>
      </c>
      <c r="C147" s="42" t="inlineStr">
        <is>
          <t>DASHBOARD UI</t>
        </is>
      </c>
      <c r="D147" s="42" t="inlineStr">
        <is>
          <t>Chart component</t>
        </is>
      </c>
      <c r="E147" s="42" t="inlineStr">
        <is>
          <t>New</t>
        </is>
      </c>
      <c r="F147" s="43" t="inlineStr">
        <is>
          <t>P0</t>
        </is>
      </c>
      <c r="G147" s="41" t="inlineStr">
        <is>
          <t>4</t>
        </is>
      </c>
      <c r="H147" s="52" t="inlineStr">
        <is>
          <t>Correctness-critical</t>
        </is>
      </c>
      <c r="I147" s="41" t="inlineStr">
        <is>
          <t>FEAT</t>
        </is>
      </c>
      <c r="J147" s="45" t="n">
        <v>2</v>
      </c>
      <c r="K147" s="42" t="inlineStr">
        <is>
          <t>E17-S02</t>
        </is>
      </c>
      <c r="L147" s="42" t="n"/>
      <c r="M147" s="46" t="n"/>
      <c r="N147" s="47" t="n"/>
      <c r="O147" s="48" t="n"/>
      <c r="P147" s="48" t="n"/>
      <c r="Q147" s="49" t="n"/>
      <c r="R147" s="41" t="n">
        <v>6</v>
      </c>
      <c r="S147" s="50" t="n"/>
      <c r="T147" s="50" t="inlineStr">
        <is>
          <t>1. `lightweight-charts` integration, self-hosted
2. Candlestick + volume subplot
3. EMA overlays, opening range band, S/R levels
4. Entry/stop/target markers
5. `series.update()` for streaming — never full re-render
6. Visible stale state when the feed lags</t>
        </is>
      </c>
      <c r="U147" s="50" t="n"/>
      <c r="V147" s="50" t="n"/>
      <c r="W147" s="51" t="n"/>
    </row>
    <row r="148" ht="30" customHeight="1">
      <c r="A148" s="40" t="inlineStr">
        <is>
          <t>E17-S05</t>
        </is>
      </c>
      <c r="B148" s="41" t="inlineStr">
        <is>
          <t>E17</t>
        </is>
      </c>
      <c r="C148" s="42" t="inlineStr">
        <is>
          <t>DASHBOARD UI</t>
        </is>
      </c>
      <c r="D148" s="42" t="inlineStr">
        <is>
          <t>Symbol detail view</t>
        </is>
      </c>
      <c r="E148" s="42" t="inlineStr">
        <is>
          <t>New</t>
        </is>
      </c>
      <c r="F148" s="55" t="inlineStr">
        <is>
          <t>P1</t>
        </is>
      </c>
      <c r="G148" s="41" t="inlineStr">
        <is>
          <t>4</t>
        </is>
      </c>
      <c r="H148" s="44" t="inlineStr">
        <is>
          <t>Low</t>
        </is>
      </c>
      <c r="I148" s="41" t="inlineStr">
        <is>
          <t>FEAT</t>
        </is>
      </c>
      <c r="J148" s="45" t="n">
        <v>2</v>
      </c>
      <c r="K148" s="42" t="inlineStr">
        <is>
          <t>E17-S04</t>
        </is>
      </c>
      <c r="L148" s="42" t="n"/>
      <c r="M148" s="46" t="n"/>
      <c r="N148" s="47" t="n"/>
      <c r="O148" s="48" t="n"/>
      <c r="P148" s="48" t="n"/>
      <c r="Q148" s="49" t="n"/>
      <c r="R148" s="41" t="n">
        <v>0</v>
      </c>
      <c r="S148" s="50" t="n"/>
      <c r="T148" s="50" t="n"/>
      <c r="U148" s="50" t="n"/>
      <c r="V148" s="50" t="inlineStr">
        <is>
          <t>Chart + multi-timeframe panel + AI assessment + news (with decayed older items) + position panel with manual actions.</t>
        </is>
      </c>
      <c r="W148" s="51" t="n"/>
    </row>
    <row r="149" ht="30" customHeight="1">
      <c r="A149" s="40" t="inlineStr">
        <is>
          <t>E17-S06</t>
        </is>
      </c>
      <c r="B149" s="41" t="inlineStr">
        <is>
          <t>E17</t>
        </is>
      </c>
      <c r="C149" s="42" t="inlineStr">
        <is>
          <t>DASHBOARD UI</t>
        </is>
      </c>
      <c r="D149" s="42" t="inlineStr">
        <is>
          <t>Daily plan view</t>
        </is>
      </c>
      <c r="E149" s="42" t="inlineStr">
        <is>
          <t>New</t>
        </is>
      </c>
      <c r="F149" s="55" t="inlineStr">
        <is>
          <t>P1</t>
        </is>
      </c>
      <c r="G149" s="41" t="inlineStr">
        <is>
          <t>4</t>
        </is>
      </c>
      <c r="H149" s="44" t="inlineStr">
        <is>
          <t>Low</t>
        </is>
      </c>
      <c r="I149" s="41" t="inlineStr">
        <is>
          <t>FEAT</t>
        </is>
      </c>
      <c r="J149" s="45" t="n">
        <v>1.5</v>
      </c>
      <c r="K149" s="42" t="inlineStr">
        <is>
          <t>E11-S08</t>
        </is>
      </c>
      <c r="L149" s="42" t="n"/>
      <c r="M149" s="46" t="n"/>
      <c r="N149" s="47" t="n"/>
      <c r="O149" s="48" t="n"/>
      <c r="P149" s="48" t="n"/>
      <c r="Q149" s="49" t="n"/>
      <c r="R149" s="41" t="n">
        <v>0</v>
      </c>
      <c r="S149" s="50" t="n"/>
      <c r="T149" s="50" t="n"/>
      <c r="U149" s="50" t="n"/>
      <c r="V149" s="50" t="inlineStr">
        <is>
          <t>Thesis, ranked candidates with score breakdown, expandable playbooks, gap-invalidated candidates kept visible with reason.</t>
        </is>
      </c>
      <c r="W149" s="51" t="n"/>
    </row>
    <row r="150" ht="30" customHeight="1">
      <c r="A150" s="40" t="inlineStr">
        <is>
          <t>E17-S07</t>
        </is>
      </c>
      <c r="B150" s="41" t="inlineStr">
        <is>
          <t>E17</t>
        </is>
      </c>
      <c r="C150" s="42" t="inlineStr">
        <is>
          <t>DASHBOARD UI</t>
        </is>
      </c>
      <c r="D150" s="42" t="inlineStr">
        <is>
          <t>Positions and orders view</t>
        </is>
      </c>
      <c r="E150" s="42" t="inlineStr">
        <is>
          <t>New</t>
        </is>
      </c>
      <c r="F150" s="55" t="inlineStr">
        <is>
          <t>P1</t>
        </is>
      </c>
      <c r="G150" s="41" t="inlineStr">
        <is>
          <t>4</t>
        </is>
      </c>
      <c r="H150" s="44" t="inlineStr">
        <is>
          <t>Low</t>
        </is>
      </c>
      <c r="I150" s="41" t="inlineStr">
        <is>
          <t>FEAT</t>
        </is>
      </c>
      <c r="J150" s="45" t="n">
        <v>1</v>
      </c>
      <c r="K150" s="42" t="n"/>
      <c r="L150" s="42" t="n"/>
      <c r="M150" s="46" t="n"/>
      <c r="N150" s="47" t="n"/>
      <c r="O150" s="48" t="n"/>
      <c r="P150" s="48" t="n"/>
      <c r="Q150" s="49" t="n"/>
      <c r="R150" s="41" t="n">
        <v>0</v>
      </c>
      <c r="S150" s="50" t="n"/>
      <c r="T150" s="50" t="n"/>
      <c r="U150" s="50" t="n"/>
      <c r="V150" s="50" t="n"/>
      <c r="W150" s="51" t="n"/>
    </row>
    <row r="151" ht="30" customHeight="1">
      <c r="A151" s="40" t="inlineStr">
        <is>
          <t>E17-S08</t>
        </is>
      </c>
      <c r="B151" s="41" t="inlineStr">
        <is>
          <t>E17</t>
        </is>
      </c>
      <c r="C151" s="42" t="inlineStr">
        <is>
          <t>DASHBOARD UI</t>
        </is>
      </c>
      <c r="D151" s="42" t="inlineStr">
        <is>
          <t>Data visualisation standards</t>
        </is>
      </c>
      <c r="E151" s="42" t="inlineStr">
        <is>
          <t>New</t>
        </is>
      </c>
      <c r="F151" s="55" t="inlineStr">
        <is>
          <t>P1</t>
        </is>
      </c>
      <c r="G151" s="41" t="inlineStr">
        <is>
          <t>6</t>
        </is>
      </c>
      <c r="H151" s="52" t="inlineStr">
        <is>
          <t>Correctness-critical</t>
        </is>
      </c>
      <c r="I151" s="41" t="inlineStr">
        <is>
          <t>FEAT</t>
        </is>
      </c>
      <c r="J151" s="45" t="n">
        <v>1</v>
      </c>
      <c r="K151" s="42" t="n"/>
      <c r="L151" s="42" t="n"/>
      <c r="M151" s="46" t="n"/>
      <c r="N151" s="47" t="n"/>
      <c r="O151" s="48" t="n"/>
      <c r="P151" s="48" t="n"/>
      <c r="Q151" s="49" t="n"/>
      <c r="R151" s="41" t="n">
        <v>5</v>
      </c>
      <c r="S151" s="50" t="n"/>
      <c r="T151" s="50" t="inlineStr">
        <is>
          <t>1. Palette validated for CVD in light and dark
2. Direction never colour-alone — arrow + sign + colour
3. P&amp;L as diverging scale with grey midpoint
4. No dual-axis charts anywhere
5. Status colours reserved, never reused as series colours</t>
        </is>
      </c>
      <c r="U151" s="50" t="n"/>
      <c r="V151" s="50" t="n"/>
      <c r="W151" s="51" t="n"/>
    </row>
    <row r="152" ht="30" customHeight="1">
      <c r="A152" s="40" t="inlineStr">
        <is>
          <t>E17-S09</t>
        </is>
      </c>
      <c r="B152" s="41" t="inlineStr">
        <is>
          <t>E17</t>
        </is>
      </c>
      <c r="C152" s="42" t="inlineStr">
        <is>
          <t>DASHBOARD UI</t>
        </is>
      </c>
      <c r="D152" s="42" t="inlineStr">
        <is>
          <t>Performance analytics</t>
        </is>
      </c>
      <c r="E152" s="42" t="inlineStr">
        <is>
          <t>New</t>
        </is>
      </c>
      <c r="F152" s="54" t="inlineStr">
        <is>
          <t>P2</t>
        </is>
      </c>
      <c r="G152" s="41" t="inlineStr">
        <is>
          <t>6</t>
        </is>
      </c>
      <c r="H152" s="44" t="inlineStr">
        <is>
          <t>Low</t>
        </is>
      </c>
      <c r="I152" s="41" t="inlineStr">
        <is>
          <t>FEAT</t>
        </is>
      </c>
      <c r="J152" s="45" t="n">
        <v>1.5</v>
      </c>
      <c r="K152" s="42" t="n"/>
      <c r="L152" s="42" t="n"/>
      <c r="M152" s="46" t="n"/>
      <c r="N152" s="47" t="n"/>
      <c r="O152" s="48" t="n"/>
      <c r="P152" s="48" t="n"/>
      <c r="Q152" s="49" t="n"/>
      <c r="R152" s="41" t="n">
        <v>0</v>
      </c>
      <c r="S152" s="50" t="n"/>
      <c r="T152" s="50" t="n"/>
      <c r="U152" s="50" t="n"/>
      <c r="V152" s="50" t="inlineStr">
        <is>
          <t>Equity curve, R-multiple distribution, win rate by setup and regime.</t>
        </is>
      </c>
      <c r="W152" s="51" t="n"/>
    </row>
    <row r="153" ht="30" customHeight="1">
      <c r="A153" s="40" t="inlineStr">
        <is>
          <t>E18-S01</t>
        </is>
      </c>
      <c r="B153" s="41" t="inlineStr">
        <is>
          <t>E18</t>
        </is>
      </c>
      <c r="C153" s="42" t="inlineStr">
        <is>
          <t>ADMIN UI</t>
        </is>
      </c>
      <c r="D153" s="42" t="inlineStr">
        <is>
          <t>Admin shell and compliance panel</t>
        </is>
      </c>
      <c r="E153" s="42" t="inlineStr">
        <is>
          <t>New</t>
        </is>
      </c>
      <c r="F153" s="55" t="inlineStr">
        <is>
          <t>P1</t>
        </is>
      </c>
      <c r="G153" s="41" t="inlineStr">
        <is>
          <t>6</t>
        </is>
      </c>
      <c r="H153" s="52" t="inlineStr">
        <is>
          <t>Correctness-critical</t>
        </is>
      </c>
      <c r="I153" s="41" t="inlineStr">
        <is>
          <t>FEAT</t>
        </is>
      </c>
      <c r="J153" s="45" t="n">
        <v>1.5</v>
      </c>
      <c r="K153" s="42" t="inlineStr">
        <is>
          <t>E17-S01</t>
        </is>
      </c>
      <c r="L153" s="42" t="n"/>
      <c r="M153" s="46" t="n"/>
      <c r="N153" s="47" t="n"/>
      <c r="O153" s="48" t="n"/>
      <c r="P153" s="48" t="n"/>
      <c r="Q153" s="49" t="n"/>
      <c r="R153" s="41" t="n">
        <v>0</v>
      </c>
      <c r="S153" s="50" t="n"/>
      <c r="T153" s="50" t="n"/>
      <c r="U153" s="50" t="n"/>
      <c r="V153" s="50" t="inlineStr">
        <is>
          <t>Live status of every compliance constraint; read-only.</t>
        </is>
      </c>
      <c r="W153" s="51" t="n"/>
    </row>
    <row r="154" ht="30" customHeight="1">
      <c r="A154" s="40" t="inlineStr">
        <is>
          <t>E18-S02</t>
        </is>
      </c>
      <c r="B154" s="41" t="inlineStr">
        <is>
          <t>E18</t>
        </is>
      </c>
      <c r="C154" s="42" t="inlineStr">
        <is>
          <t>ADMIN UI</t>
        </is>
      </c>
      <c r="D154" s="42" t="inlineStr">
        <is>
          <t>Configuration editor</t>
        </is>
      </c>
      <c r="E154" s="42" t="inlineStr">
        <is>
          <t>New</t>
        </is>
      </c>
      <c r="F154" s="55" t="inlineStr">
        <is>
          <t>P1</t>
        </is>
      </c>
      <c r="G154" s="41" t="inlineStr">
        <is>
          <t>6</t>
        </is>
      </c>
      <c r="H154" s="53" t="inlineStr">
        <is>
          <t>Safety-critical</t>
        </is>
      </c>
      <c r="I154" s="41" t="inlineStr">
        <is>
          <t>FEAT</t>
        </is>
      </c>
      <c r="J154" s="45" t="n">
        <v>2.5</v>
      </c>
      <c r="K154" s="42" t="inlineStr">
        <is>
          <t>E18-S01</t>
        </is>
      </c>
      <c r="L154" s="42" t="n"/>
      <c r="M154" s="46" t="n"/>
      <c r="N154" s="47" t="n"/>
      <c r="O154" s="48" t="n"/>
      <c r="P154" s="48" t="n"/>
      <c r="Q154" s="49" t="n"/>
      <c r="R154" s="41" t="n">
        <v>7</v>
      </c>
      <c r="S154" s="50" t="n"/>
      <c r="T154" s="50"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50" t="inlineStr">
        <is>
          <t>• 🔴 Hard bounds cannot be exceeded from the UI
• Every change is a reviewable commit</t>
        </is>
      </c>
      <c r="V154" s="50" t="n"/>
      <c r="W154" s="51" t="n"/>
    </row>
    <row r="155" ht="30" customHeight="1">
      <c r="A155" s="40" t="inlineStr">
        <is>
          <t>E18-S03</t>
        </is>
      </c>
      <c r="B155" s="41" t="inlineStr">
        <is>
          <t>E18</t>
        </is>
      </c>
      <c r="C155" s="42" t="inlineStr">
        <is>
          <t>ADMIN UI</t>
        </is>
      </c>
      <c r="D155" s="42" t="inlineStr">
        <is>
          <t>Universe and filter management</t>
        </is>
      </c>
      <c r="E155" s="42" t="inlineStr">
        <is>
          <t>New</t>
        </is>
      </c>
      <c r="F155" s="55" t="inlineStr">
        <is>
          <t>P1</t>
        </is>
      </c>
      <c r="G155" s="41" t="inlineStr">
        <is>
          <t>6</t>
        </is>
      </c>
      <c r="H155" s="44" t="inlineStr">
        <is>
          <t>Low</t>
        </is>
      </c>
      <c r="I155" s="41" t="inlineStr">
        <is>
          <t>FEAT</t>
        </is>
      </c>
      <c r="J155" s="45" t="n">
        <v>1.5</v>
      </c>
      <c r="K155" s="42" t="n"/>
      <c r="L155" s="42" t="n"/>
      <c r="M155" s="46" t="n"/>
      <c r="N155" s="47" t="n"/>
      <c r="O155" s="48" t="n"/>
      <c r="P155" s="48" t="n"/>
      <c r="Q155" s="49" t="n"/>
      <c r="R155" s="41" t="n">
        <v>0</v>
      </c>
      <c r="S155" s="50" t="n"/>
      <c r="T155" s="50" t="n"/>
      <c r="U155" s="50" t="n"/>
      <c r="V155" s="50" t="inlineStr">
        <is>
          <t>Filter config with live preview of survivors per filter; weight editor enforcing sum to 1.0.</t>
        </is>
      </c>
      <c r="W155" s="51" t="n"/>
    </row>
    <row r="156" ht="30" customHeight="1">
      <c r="A156" s="40" t="inlineStr">
        <is>
          <t>E18-S04</t>
        </is>
      </c>
      <c r="B156" s="41" t="inlineStr">
        <is>
          <t>E18</t>
        </is>
      </c>
      <c r="C156" s="42" t="inlineStr">
        <is>
          <t>ADMIN UI</t>
        </is>
      </c>
      <c r="D156" s="42" t="inlineStr">
        <is>
          <t>Strategy management</t>
        </is>
      </c>
      <c r="E156" s="42" t="inlineStr">
        <is>
          <t>New</t>
        </is>
      </c>
      <c r="F156" s="55" t="inlineStr">
        <is>
          <t>P1</t>
        </is>
      </c>
      <c r="G156" s="41" t="inlineStr">
        <is>
          <t>6</t>
        </is>
      </c>
      <c r="H156" s="53" t="inlineStr">
        <is>
          <t>Safety-critical</t>
        </is>
      </c>
      <c r="I156" s="41" t="inlineStr">
        <is>
          <t>FEAT</t>
        </is>
      </c>
      <c r="J156" s="45" t="n">
        <v>2.5</v>
      </c>
      <c r="K156" s="42" t="inlineStr">
        <is>
          <t>E12-S02</t>
        </is>
      </c>
      <c r="L156" s="42" t="n"/>
      <c r="M156" s="46" t="n"/>
      <c r="N156" s="47" t="n"/>
      <c r="O156" s="48" t="n"/>
      <c r="P156" s="48" t="n"/>
      <c r="Q156" s="49" t="n"/>
      <c r="R156" s="41" t="n">
        <v>5</v>
      </c>
      <c r="S156" s="50" t="n"/>
      <c r="T156" s="50"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50" t="inlineStr">
        <is>
          <t>• 🔴 Promotion to ACTIVE requires deliberate, high-friction confirmation</t>
        </is>
      </c>
      <c r="V156" s="50" t="n"/>
      <c r="W156" s="51" t="n"/>
    </row>
    <row r="157" ht="30" customHeight="1">
      <c r="A157" s="40" t="inlineStr">
        <is>
          <t>E18-S05</t>
        </is>
      </c>
      <c r="B157" s="41" t="inlineStr">
        <is>
          <t>E18</t>
        </is>
      </c>
      <c r="C157" s="42" t="inlineStr">
        <is>
          <t>ADMIN UI</t>
        </is>
      </c>
      <c r="D157" s="42" t="inlineStr">
        <is>
          <t>Risk limits editor</t>
        </is>
      </c>
      <c r="E157" s="42" t="inlineStr">
        <is>
          <t>New</t>
        </is>
      </c>
      <c r="F157" s="55" t="inlineStr">
        <is>
          <t>P1</t>
        </is>
      </c>
      <c r="G157" s="41" t="inlineStr">
        <is>
          <t>6</t>
        </is>
      </c>
      <c r="H157" s="53" t="inlineStr">
        <is>
          <t>Safety-critical</t>
        </is>
      </c>
      <c r="I157" s="41" t="inlineStr">
        <is>
          <t>FEAT</t>
        </is>
      </c>
      <c r="J157" s="45" t="n">
        <v>1.5</v>
      </c>
      <c r="K157" s="42" t="inlineStr">
        <is>
          <t>E18-S02</t>
        </is>
      </c>
      <c r="L157" s="42" t="n"/>
      <c r="M157" s="46" t="n"/>
      <c r="N157" s="47" t="n"/>
      <c r="O157" s="48" t="n"/>
      <c r="P157" s="48" t="n"/>
      <c r="Q157" s="49" t="n"/>
      <c r="R157" s="41" t="n">
        <v>0</v>
      </c>
      <c r="S157" s="50" t="n"/>
      <c r="T157" s="50" t="n"/>
      <c r="U157" s="50" t="n"/>
      <c r="V157" s="50" t="inlineStr">
        <is>
          <t>With impact preview from backtest where available.</t>
        </is>
      </c>
      <c r="W157" s="51" t="n"/>
    </row>
    <row r="158" ht="30" customHeight="1">
      <c r="A158" s="40" t="inlineStr">
        <is>
          <t>E18-S06</t>
        </is>
      </c>
      <c r="B158" s="41" t="inlineStr">
        <is>
          <t>E18</t>
        </is>
      </c>
      <c r="C158" s="42" t="inlineStr">
        <is>
          <t>ADMIN UI</t>
        </is>
      </c>
      <c r="D158" s="42" t="inlineStr">
        <is>
          <t>AI settings and budget</t>
        </is>
      </c>
      <c r="E158" s="42" t="inlineStr">
        <is>
          <t>New</t>
        </is>
      </c>
      <c r="F158" s="55" t="inlineStr">
        <is>
          <t>P1</t>
        </is>
      </c>
      <c r="G158" s="41" t="inlineStr">
        <is>
          <t>6</t>
        </is>
      </c>
      <c r="H158" s="44" t="inlineStr">
        <is>
          <t>Low</t>
        </is>
      </c>
      <c r="I158" s="41" t="inlineStr">
        <is>
          <t>FEAT</t>
        </is>
      </c>
      <c r="J158" s="45" t="n">
        <v>1</v>
      </c>
      <c r="K158" s="42" t="n"/>
      <c r="L158" s="42" t="n"/>
      <c r="M158" s="46" t="n"/>
      <c r="N158" s="47" t="n"/>
      <c r="O158" s="48" t="n"/>
      <c r="P158" s="48" t="n"/>
      <c r="Q158" s="49" t="n"/>
      <c r="R158" s="41" t="n">
        <v>0</v>
      </c>
      <c r="S158" s="50" t="n"/>
      <c r="T158" s="50" t="n"/>
      <c r="U158" s="50" t="n"/>
      <c r="V158" s="50" t="inlineStr">
        <is>
          <t>Model selection, thresholds, live spend gauge, cache hit rate.</t>
        </is>
      </c>
      <c r="W158" s="51" t="n"/>
    </row>
    <row r="159" ht="30" customHeight="1">
      <c r="A159" s="40" t="inlineStr">
        <is>
          <t>E18-S07</t>
        </is>
      </c>
      <c r="B159" s="41" t="inlineStr">
        <is>
          <t>E18</t>
        </is>
      </c>
      <c r="C159" s="42" t="inlineStr">
        <is>
          <t>ADMIN UI</t>
        </is>
      </c>
      <c r="D159" s="42" t="inlineStr">
        <is>
          <t>News sources and injection monitor</t>
        </is>
      </c>
      <c r="E159" s="42" t="inlineStr">
        <is>
          <t>New</t>
        </is>
      </c>
      <c r="F159" s="55" t="inlineStr">
        <is>
          <t>P1</t>
        </is>
      </c>
      <c r="G159" s="41" t="inlineStr">
        <is>
          <t>6</t>
        </is>
      </c>
      <c r="H159" s="53" t="inlineStr">
        <is>
          <t>Safety-critical</t>
        </is>
      </c>
      <c r="I159" s="41" t="inlineStr">
        <is>
          <t>SEC</t>
        </is>
      </c>
      <c r="J159" s="45" t="n">
        <v>1</v>
      </c>
      <c r="K159" s="42" t="inlineStr">
        <is>
          <t>E08-S03</t>
        </is>
      </c>
      <c r="L159" s="42" t="n"/>
      <c r="M159" s="46" t="n"/>
      <c r="N159" s="47" t="n"/>
      <c r="O159" s="48" t="n"/>
      <c r="P159" s="48" t="n"/>
      <c r="Q159" s="49" t="n"/>
      <c r="R159" s="41" t="n">
        <v>4</v>
      </c>
      <c r="S159" s="50" t="n"/>
      <c r="T159" s="50" t="inlineStr">
        <is>
          <t>1. Provider allowlist management
2. Decay half-life configuration
3. Sanitiser hit counts by source with samples
4. A source with rising hits is a source to drop</t>
        </is>
      </c>
      <c r="U159" s="50" t="n"/>
      <c r="V159" s="50" t="n"/>
      <c r="W159" s="51" t="n"/>
    </row>
    <row r="160" ht="30" customHeight="1">
      <c r="A160" s="40" t="inlineStr">
        <is>
          <t>E18-S08</t>
        </is>
      </c>
      <c r="B160" s="41" t="inlineStr">
        <is>
          <t>E18</t>
        </is>
      </c>
      <c r="C160" s="42" t="inlineStr">
        <is>
          <t>ADMIN UI</t>
        </is>
      </c>
      <c r="D160" s="42" t="inlineStr">
        <is>
          <t>Audit log explorer</t>
        </is>
      </c>
      <c r="E160" s="42" t="inlineStr">
        <is>
          <t>New</t>
        </is>
      </c>
      <c r="F160" s="55" t="inlineStr">
        <is>
          <t>P1</t>
        </is>
      </c>
      <c r="G160" s="41" t="inlineStr">
        <is>
          <t>6</t>
        </is>
      </c>
      <c r="H160" s="52" t="inlineStr">
        <is>
          <t>Correctness-critical</t>
        </is>
      </c>
      <c r="I160" s="41" t="inlineStr">
        <is>
          <t>FEAT</t>
        </is>
      </c>
      <c r="J160" s="45" t="n">
        <v>1.5</v>
      </c>
      <c r="K160" s="42" t="inlineStr">
        <is>
          <t>E01-S05</t>
        </is>
      </c>
      <c r="L160" s="42" t="n"/>
      <c r="M160" s="46" t="n"/>
      <c r="N160" s="47" t="n"/>
      <c r="O160" s="48" t="n"/>
      <c r="P160" s="48" t="n"/>
      <c r="Q160" s="49" t="n"/>
      <c r="R160" s="41" t="n">
        <v>0</v>
      </c>
      <c r="S160" s="50" t="n"/>
      <c r="T160" s="50" t="n"/>
      <c r="U160" s="50" t="n"/>
      <c r="V160" s="50" t="inlineStr">
        <is>
          <t>Search by correlation ID; full trade life from candidacy to exit with every stage, latency, and rejection reason.</t>
        </is>
      </c>
      <c r="W160" s="51" t="n"/>
    </row>
    <row r="161" ht="30" customHeight="1">
      <c r="A161" s="40" t="inlineStr">
        <is>
          <t>E19-S01</t>
        </is>
      </c>
      <c r="B161" s="41" t="inlineStr">
        <is>
          <t>E19</t>
        </is>
      </c>
      <c r="C161" s="42" t="inlineStr">
        <is>
          <t>NOTIFICATIONS</t>
        </is>
      </c>
      <c r="D161" s="42" t="inlineStr">
        <is>
          <t>Telegram bot foundation</t>
        </is>
      </c>
      <c r="E161" s="42" t="inlineStr">
        <is>
          <t>New</t>
        </is>
      </c>
      <c r="F161" s="43" t="inlineStr">
        <is>
          <t>P0</t>
        </is>
      </c>
      <c r="G161" s="41" t="inlineStr">
        <is>
          <t>3</t>
        </is>
      </c>
      <c r="H161" s="53" t="inlineStr">
        <is>
          <t>Safety-critical</t>
        </is>
      </c>
      <c r="I161" s="41" t="inlineStr">
        <is>
          <t>SEC</t>
        </is>
      </c>
      <c r="J161" s="45" t="n">
        <v>1.5</v>
      </c>
      <c r="K161" s="42" t="n"/>
      <c r="L161" s="42" t="n"/>
      <c r="M161" s="46" t="n"/>
      <c r="N161" s="47" t="n"/>
      <c r="O161" s="48" t="n"/>
      <c r="P161" s="48" t="n"/>
      <c r="Q161" s="49" t="n"/>
      <c r="R161" s="41" t="n">
        <v>4</v>
      </c>
      <c r="S161" s="50" t="n"/>
      <c r="T161" s="50" t="inlineStr">
        <is>
          <t>1. Bot setup with token from secrets
2. Respond only to one hard-configured chat ID — ignore and log all others
3. Single recipient enforced (config validation already does this)
4. Message templating</t>
        </is>
      </c>
      <c r="U161" s="50" t="inlineStr">
        <is>
          <t>• 🔴 A message from any other chat ID is ignored and logged</t>
        </is>
      </c>
      <c r="V161" s="50" t="n"/>
      <c r="W161" s="51" t="n"/>
    </row>
    <row r="162" ht="30" customHeight="1">
      <c r="A162" s="40" t="inlineStr">
        <is>
          <t>E19-S02</t>
        </is>
      </c>
      <c r="B162" s="41" t="inlineStr">
        <is>
          <t>E19</t>
        </is>
      </c>
      <c r="C162" s="42" t="inlineStr">
        <is>
          <t>NOTIFICATIONS</t>
        </is>
      </c>
      <c r="D162" s="42" t="inlineStr">
        <is>
          <t>Pre-market briefing delivery</t>
        </is>
      </c>
      <c r="E162" s="42" t="inlineStr">
        <is>
          <t>New</t>
        </is>
      </c>
      <c r="F162" s="43" t="inlineStr">
        <is>
          <t>P0</t>
        </is>
      </c>
      <c r="G162" s="41" t="inlineStr">
        <is>
          <t>3</t>
        </is>
      </c>
      <c r="H162" s="44" t="inlineStr">
        <is>
          <t>Low</t>
        </is>
      </c>
      <c r="I162" s="41" t="inlineStr">
        <is>
          <t>FEAT</t>
        </is>
      </c>
      <c r="J162" s="45" t="n">
        <v>1</v>
      </c>
      <c r="K162" s="42" t="inlineStr">
        <is>
          <t>E11-S08, E19-S01</t>
        </is>
      </c>
      <c r="L162" s="42" t="n"/>
      <c r="M162" s="46" t="n"/>
      <c r="N162" s="47" t="n"/>
      <c r="O162" s="48" t="n"/>
      <c r="P162" s="48" t="n"/>
      <c r="Q162" s="49" t="n"/>
      <c r="R162" s="41" t="n">
        <v>0</v>
      </c>
      <c r="S162" s="50" t="n"/>
      <c r="T162" s="50" t="n"/>
      <c r="U162" s="50" t="n"/>
      <c r="V162" s="50" t="n"/>
      <c r="W162" s="51" t="n"/>
    </row>
    <row r="163" ht="30" customHeight="1">
      <c r="A163" s="40" t="inlineStr">
        <is>
          <t>E19-S03</t>
        </is>
      </c>
      <c r="B163" s="41" t="inlineStr">
        <is>
          <t>E19</t>
        </is>
      </c>
      <c r="C163" s="42" t="inlineStr">
        <is>
          <t>NOTIFICATIONS</t>
        </is>
      </c>
      <c r="D163" s="42" t="inlineStr">
        <is>
          <t>Trade alerts and approval buttons</t>
        </is>
      </c>
      <c r="E163" s="42" t="inlineStr">
        <is>
          <t>New</t>
        </is>
      </c>
      <c r="F163" s="43" t="inlineStr">
        <is>
          <t>P0</t>
        </is>
      </c>
      <c r="G163" s="41" t="inlineStr">
        <is>
          <t>4</t>
        </is>
      </c>
      <c r="H163" s="53" t="inlineStr">
        <is>
          <t>Safety-critical</t>
        </is>
      </c>
      <c r="I163" s="41" t="inlineStr">
        <is>
          <t>FEAT</t>
        </is>
      </c>
      <c r="J163" s="45" t="n">
        <v>1.5</v>
      </c>
      <c r="K163" s="42" t="inlineStr">
        <is>
          <t>E19-S01</t>
        </is>
      </c>
      <c r="L163" s="42" t="n"/>
      <c r="M163" s="46" t="n"/>
      <c r="N163" s="47" t="n"/>
      <c r="O163" s="48" t="n"/>
      <c r="P163" s="48" t="n"/>
      <c r="Q163" s="49" t="n"/>
      <c r="R163" s="41" t="n">
        <v>4</v>
      </c>
      <c r="S163" s="50" t="n"/>
      <c r="T163" s="50" t="inlineStr">
        <is>
          <t>1. Trade opened/closed alerts with rationale
2. Approval requests with inline buttons and countdown
3. Expiry → skip (never auto-approve)
4. No sensitive data — no account numbers, no absolute capital</t>
        </is>
      </c>
      <c r="U163" s="50" t="n"/>
      <c r="V163" s="50" t="n"/>
      <c r="W163" s="51" t="n"/>
    </row>
    <row r="164" ht="30" customHeight="1">
      <c r="A164" s="40" t="inlineStr">
        <is>
          <t>E19-S04</t>
        </is>
      </c>
      <c r="B164" s="41" t="inlineStr">
        <is>
          <t>E19</t>
        </is>
      </c>
      <c r="C164" s="42" t="inlineStr">
        <is>
          <t>NOTIFICATIONS</t>
        </is>
      </c>
      <c r="D164" s="42" t="inlineStr">
        <is>
          <t>Command handlers</t>
        </is>
      </c>
      <c r="E164" s="42" t="inlineStr">
        <is>
          <t>New</t>
        </is>
      </c>
      <c r="F164" s="43" t="inlineStr">
        <is>
          <t>P0</t>
        </is>
      </c>
      <c r="G164" s="41" t="inlineStr">
        <is>
          <t>4</t>
        </is>
      </c>
      <c r="H164" s="53" t="inlineStr">
        <is>
          <t>Safety-critical</t>
        </is>
      </c>
      <c r="I164" s="41" t="inlineStr">
        <is>
          <t>FEAT</t>
        </is>
      </c>
      <c r="J164" s="45" t="n">
        <v>1.5</v>
      </c>
      <c r="K164" s="42" t="inlineStr">
        <is>
          <t>E19-S01</t>
        </is>
      </c>
      <c r="L164" s="42" t="n"/>
      <c r="M164" s="46" t="n"/>
      <c r="N164" s="47" t="n"/>
      <c r="O164" s="48" t="n"/>
      <c r="P164" s="48" t="n"/>
      <c r="Q164" s="49" t="n"/>
      <c r="R164" s="41" t="n">
        <v>0</v>
      </c>
      <c r="S164" s="50" t="n"/>
      <c r="T164" s="50" t="n"/>
      <c r="U164" s="50" t="n"/>
      <c r="V164" s="50" t="inlineStr">
        <is>
          <t>`/status` `/positions` `/plan` `/pause` `/resume` `/kill` `/close` `/closeall` `/why` `/health`. Destructive commands require confirmation; `/kill` and `/closeall` require two steps.</t>
        </is>
      </c>
      <c r="W164" s="51" t="n"/>
    </row>
    <row r="165" ht="30" customHeight="1">
      <c r="A165" s="40" t="inlineStr">
        <is>
          <t>E19-S05</t>
        </is>
      </c>
      <c r="B165" s="41" t="inlineStr">
        <is>
          <t>E19</t>
        </is>
      </c>
      <c r="C165" s="42" t="inlineStr">
        <is>
          <t>NOTIFICATIONS</t>
        </is>
      </c>
      <c r="D165" s="42" t="inlineStr">
        <is>
          <t>Alert budgets and batching</t>
        </is>
      </c>
      <c r="E165" s="42" t="inlineStr">
        <is>
          <t>New</t>
        </is>
      </c>
      <c r="F165" s="55" t="inlineStr">
        <is>
          <t>P1</t>
        </is>
      </c>
      <c r="G165" s="41" t="inlineStr">
        <is>
          <t>4</t>
        </is>
      </c>
      <c r="H165" s="44" t="inlineStr">
        <is>
          <t>Low</t>
        </is>
      </c>
      <c r="I165" s="41" t="inlineStr">
        <is>
          <t>FEAT</t>
        </is>
      </c>
      <c r="J165" s="45" t="n">
        <v>0.5</v>
      </c>
      <c r="K165" s="42" t="inlineStr">
        <is>
          <t>E19-S03</t>
        </is>
      </c>
      <c r="L165" s="42" t="n"/>
      <c r="M165" s="46" t="n"/>
      <c r="N165" s="47" t="n"/>
      <c r="O165" s="48" t="n"/>
      <c r="P165" s="48" t="n"/>
      <c r="Q165" s="49" t="n"/>
      <c r="R165" s="41" t="n">
        <v>0</v>
      </c>
      <c r="S165" s="50" t="n"/>
      <c r="T165" s="50" t="n"/>
      <c r="U165" s="50" t="n"/>
      <c r="V165" s="50" t="inlineStr">
        <is>
          <t>P0 immediate · P1 ≤3/day · P2 ≤6/day batched into a digest beyond budget.</t>
        </is>
      </c>
      <c r="W165" s="51" t="n"/>
    </row>
    <row r="166" ht="30" customHeight="1">
      <c r="A166" s="40" t="inlineStr">
        <is>
          <t>E19-S06</t>
        </is>
      </c>
      <c r="B166" s="41" t="inlineStr">
        <is>
          <t>E19</t>
        </is>
      </c>
      <c r="C166" s="42" t="inlineStr">
        <is>
          <t>NOTIFICATIONS</t>
        </is>
      </c>
      <c r="D166" s="42" t="inlineStr">
        <is>
          <t>Email fallback</t>
        </is>
      </c>
      <c r="E166" s="42" t="inlineStr">
        <is>
          <t>New</t>
        </is>
      </c>
      <c r="F166" s="54" t="inlineStr">
        <is>
          <t>P2</t>
        </is>
      </c>
      <c r="G166" s="41" t="inlineStr">
        <is>
          <t>6</t>
        </is>
      </c>
      <c r="H166" s="44" t="inlineStr">
        <is>
          <t>Low</t>
        </is>
      </c>
      <c r="I166" s="41" t="inlineStr">
        <is>
          <t>FEAT</t>
        </is>
      </c>
      <c r="J166" s="45" t="n">
        <v>0.5</v>
      </c>
      <c r="K166" s="42" t="n"/>
      <c r="L166" s="42" t="n"/>
      <c r="M166" s="46" t="n"/>
      <c r="N166" s="47" t="n"/>
      <c r="O166" s="48" t="n"/>
      <c r="P166" s="48" t="n"/>
      <c r="Q166" s="49" t="n"/>
      <c r="R166" s="41" t="n">
        <v>0</v>
      </c>
      <c r="S166" s="50" t="n"/>
      <c r="T166" s="50" t="n"/>
      <c r="U166" s="50" t="n"/>
      <c r="V166" s="50" t="n"/>
      <c r="W166" s="51" t="n"/>
    </row>
    <row r="167" ht="30" customHeight="1">
      <c r="A167" s="40" t="inlineStr">
        <is>
          <t>E20-S01</t>
        </is>
      </c>
      <c r="B167" s="41" t="inlineStr">
        <is>
          <t>E20</t>
        </is>
      </c>
      <c r="C167" s="42" t="inlineStr">
        <is>
          <t>OBSERVABILITY</t>
        </is>
      </c>
      <c r="D167" s="42" t="inlineStr">
        <is>
          <t>Metrics instrumentation</t>
        </is>
      </c>
      <c r="E167" s="42" t="inlineStr">
        <is>
          <t>New</t>
        </is>
      </c>
      <c r="F167" s="55" t="inlineStr">
        <is>
          <t>P1</t>
        </is>
      </c>
      <c r="G167" s="41" t="inlineStr">
        <is>
          <t>6</t>
        </is>
      </c>
      <c r="H167" s="52" t="inlineStr">
        <is>
          <t>Correctness-critical</t>
        </is>
      </c>
      <c r="I167" s="41" t="inlineStr">
        <is>
          <t>OPS</t>
        </is>
      </c>
      <c r="J167" s="45" t="n">
        <v>1.5</v>
      </c>
      <c r="K167" s="42" t="n"/>
      <c r="L167" s="42" t="n"/>
      <c r="M167" s="46" t="n"/>
      <c r="N167" s="47" t="n"/>
      <c r="O167" s="48" t="n"/>
      <c r="P167" s="48" t="n"/>
      <c r="Q167" s="49" t="n"/>
      <c r="R167" s="41" t="n">
        <v>0</v>
      </c>
      <c r="S167" s="50" t="n"/>
      <c r="T167" s="50" t="n"/>
      <c r="U167" s="50" t="n"/>
      <c r="V167" s="50" t="inlineStr">
        <is>
          <t>Latency histograms per stage · data quality counters · AI metrics including cache hit ratio · trading counters · risk gauges · health.</t>
        </is>
      </c>
      <c r="W167" s="51" t="n"/>
    </row>
    <row r="168" ht="30" customHeight="1">
      <c r="A168" s="40" t="inlineStr">
        <is>
          <t>E20-S02</t>
        </is>
      </c>
      <c r="B168" s="41" t="inlineStr">
        <is>
          <t>E20</t>
        </is>
      </c>
      <c r="C168" s="42" t="inlineStr">
        <is>
          <t>OBSERVABILITY</t>
        </is>
      </c>
      <c r="D168" s="42" t="inlineStr">
        <is>
          <t>Latency profiler and adaptive interval</t>
        </is>
      </c>
      <c r="E168" s="42" t="inlineStr">
        <is>
          <t>New</t>
        </is>
      </c>
      <c r="F168" s="55" t="inlineStr">
        <is>
          <t>P1</t>
        </is>
      </c>
      <c r="G168" s="41" t="inlineStr">
        <is>
          <t>6</t>
        </is>
      </c>
      <c r="H168" s="53" t="inlineStr">
        <is>
          <t>Safety-critical</t>
        </is>
      </c>
      <c r="I168" s="41" t="inlineStr">
        <is>
          <t>FEAT</t>
        </is>
      </c>
      <c r="J168" s="45" t="n">
        <v>2</v>
      </c>
      <c r="K168" s="42" t="inlineStr">
        <is>
          <t>E20-S01</t>
        </is>
      </c>
      <c r="L168" s="42" t="n"/>
      <c r="M168" s="46" t="n"/>
      <c r="N168" s="47" t="n"/>
      <c r="O168" s="48" t="n"/>
      <c r="P168" s="48" t="n"/>
      <c r="Q168" s="49" t="n"/>
      <c r="R168" s="41" t="n">
        <v>5</v>
      </c>
      <c r="S168" s="50" t="inlineStr">
        <is>
          <t>As a system, I want my trading interval derived from measured latency, so that I never act on analysis I have not finished.</t>
        </is>
      </c>
      <c r="T168" s="50" t="inlineStr">
        <is>
          <t>1. Record per-stage latency in a rolling window
2. Compute p95 of the full pipeline
3. Apply headroom multiplier
4. Round up to the nearest supported interval
5. Recalibrate daily; publish to `control:interval`</t>
        </is>
      </c>
      <c r="U168" s="50" t="inlineStr">
        <is>
          <t>• 🔴 Degraded latency automatically steps the interval down, never up</t>
        </is>
      </c>
      <c r="V168" s="50" t="n"/>
      <c r="W168" s="51" t="n"/>
    </row>
    <row r="169" ht="30" customHeight="1">
      <c r="A169" s="40" t="inlineStr">
        <is>
          <t>E20-S03</t>
        </is>
      </c>
      <c r="B169" s="41" t="inlineStr">
        <is>
          <t>E20</t>
        </is>
      </c>
      <c r="C169" s="42" t="inlineStr">
        <is>
          <t>OBSERVABILITY</t>
        </is>
      </c>
      <c r="D169" s="42" t="inlineStr">
        <is>
          <t>Grafana dashboards</t>
        </is>
      </c>
      <c r="E169" s="42" t="inlineStr">
        <is>
          <t>New</t>
        </is>
      </c>
      <c r="F169" s="55" t="inlineStr">
        <is>
          <t>P1</t>
        </is>
      </c>
      <c r="G169" s="41" t="inlineStr">
        <is>
          <t>6</t>
        </is>
      </c>
      <c r="H169" s="44" t="inlineStr">
        <is>
          <t>Low</t>
        </is>
      </c>
      <c r="I169" s="41" t="inlineStr">
        <is>
          <t>OPS</t>
        </is>
      </c>
      <c r="J169" s="45" t="n">
        <v>1.5</v>
      </c>
      <c r="K169" s="42" t="inlineStr">
        <is>
          <t>E20-S01</t>
        </is>
      </c>
      <c r="L169" s="42" t="n"/>
      <c r="M169" s="46" t="n"/>
      <c r="N169" s="47" t="n"/>
      <c r="O169" s="48" t="n"/>
      <c r="P169" s="48" t="n"/>
      <c r="Q169" s="49" t="n"/>
      <c r="R169" s="41" t="n">
        <v>0</v>
      </c>
      <c r="S169" s="50" t="n"/>
      <c r="T169" s="50" t="n"/>
      <c r="U169" s="50" t="n"/>
      <c r="V169" s="50" t="n"/>
      <c r="W169" s="51" t="n"/>
    </row>
    <row r="170" ht="30" customHeight="1">
      <c r="A170" s="40" t="inlineStr">
        <is>
          <t>E20-S04</t>
        </is>
      </c>
      <c r="B170" s="41" t="inlineStr">
        <is>
          <t>E20</t>
        </is>
      </c>
      <c r="C170" s="42" t="inlineStr">
        <is>
          <t>OBSERVABILITY</t>
        </is>
      </c>
      <c r="D170" s="42" t="inlineStr">
        <is>
          <t>Alerting rules</t>
        </is>
      </c>
      <c r="E170" s="42" t="inlineStr">
        <is>
          <t>New</t>
        </is>
      </c>
      <c r="F170" s="55" t="inlineStr">
        <is>
          <t>P1</t>
        </is>
      </c>
      <c r="G170" s="41" t="inlineStr">
        <is>
          <t>6</t>
        </is>
      </c>
      <c r="H170" s="52" t="inlineStr">
        <is>
          <t>Correctness-critical</t>
        </is>
      </c>
      <c r="I170" s="41" t="inlineStr">
        <is>
          <t>OPS</t>
        </is>
      </c>
      <c r="J170" s="45" t="n">
        <v>1</v>
      </c>
      <c r="K170" s="42" t="inlineStr">
        <is>
          <t>E20-S01</t>
        </is>
      </c>
      <c r="L170" s="42" t="n"/>
      <c r="M170" s="46" t="n"/>
      <c r="N170" s="47" t="n"/>
      <c r="O170" s="48" t="n"/>
      <c r="P170" s="48" t="n"/>
      <c r="Q170" s="49" t="n"/>
      <c r="R170" s="41" t="n">
        <v>0</v>
      </c>
      <c r="S170" s="50" t="n"/>
      <c r="T170" s="50" t="n"/>
      <c r="U170" s="50" t="n"/>
      <c r="V170" s="50" t="inlineStr">
        <is>
          <t>P0/P1/P2/P3 routing per the priority scheme.</t>
        </is>
      </c>
      <c r="W170" s="51" t="n"/>
    </row>
    <row r="171" ht="30" customHeight="1">
      <c r="A171" s="40" t="inlineStr">
        <is>
          <t>E20-S05</t>
        </is>
      </c>
      <c r="B171" s="41" t="inlineStr">
        <is>
          <t>E20</t>
        </is>
      </c>
      <c r="C171" s="42" t="inlineStr">
        <is>
          <t>OBSERVABILITY</t>
        </is>
      </c>
      <c r="D171" s="42" t="inlineStr">
        <is>
          <t>Health check framework</t>
        </is>
      </c>
      <c r="E171" s="42" t="inlineStr">
        <is>
          <t>New</t>
        </is>
      </c>
      <c r="F171" s="43" t="inlineStr">
        <is>
          <t>P0</t>
        </is>
      </c>
      <c r="G171" s="41" t="inlineStr">
        <is>
          <t>5</t>
        </is>
      </c>
      <c r="H171" s="53" t="inlineStr">
        <is>
          <t>Safety-critical</t>
        </is>
      </c>
      <c r="I171" s="41" t="inlineStr">
        <is>
          <t>OPS</t>
        </is>
      </c>
      <c r="J171" s="45" t="n">
        <v>1</v>
      </c>
      <c r="K171" s="42" t="n"/>
      <c r="L171" s="42" t="n"/>
      <c r="M171" s="46" t="n"/>
      <c r="N171" s="47" t="n"/>
      <c r="O171" s="48" t="n"/>
      <c r="P171" s="48" t="n"/>
      <c r="Q171" s="49" t="n"/>
      <c r="R171" s="41" t="n">
        <v>0</v>
      </c>
      <c r="S171" s="50" t="n"/>
      <c r="T171" s="50" t="n"/>
      <c r="U171" s="50" t="n"/>
      <c r="V171" s="50" t="inlineStr">
        <is>
          <t>Per-service `/health`; heartbeat to Redis with TTL; aggregated health gate that blocks trading when any critical service is unhealthy.</t>
        </is>
      </c>
      <c r="W171" s="51" t="n"/>
    </row>
    <row r="172" ht="30" customHeight="1">
      <c r="A172" s="40" t="inlineStr">
        <is>
          <t>E20-S06</t>
        </is>
      </c>
      <c r="B172" s="41" t="inlineStr">
        <is>
          <t>E20</t>
        </is>
      </c>
      <c r="C172" s="42" t="inlineStr">
        <is>
          <t>OBSERVABILITY</t>
        </is>
      </c>
      <c r="D172" s="42" t="inlineStr">
        <is>
          <t>Structured logging rollout</t>
        </is>
      </c>
      <c r="E172" s="42" t="inlineStr">
        <is>
          <t>New</t>
        </is>
      </c>
      <c r="F172" s="55" t="inlineStr">
        <is>
          <t>P1</t>
        </is>
      </c>
      <c r="G172" s="41" t="inlineStr">
        <is>
          <t>6</t>
        </is>
      </c>
      <c r="H172" s="44" t="inlineStr">
        <is>
          <t>Low</t>
        </is>
      </c>
      <c r="I172" s="41" t="inlineStr">
        <is>
          <t>OPS</t>
        </is>
      </c>
      <c r="J172" s="45" t="n">
        <v>0.5</v>
      </c>
      <c r="K172" s="42" t="n"/>
      <c r="L172" s="42" t="n"/>
      <c r="M172" s="46" t="n"/>
      <c r="N172" s="47" t="n"/>
      <c r="O172" s="48" t="n"/>
      <c r="P172" s="48" t="n"/>
      <c r="Q172" s="49" t="n"/>
      <c r="R172" s="41" t="n">
        <v>0</v>
      </c>
      <c r="S172" s="50" t="n"/>
      <c r="T172" s="50" t="n"/>
      <c r="U172" s="50" t="n"/>
      <c r="V172" s="50" t="inlineStr">
        <is>
          <t>Correlation ID binding across all services.</t>
        </is>
      </c>
      <c r="W172" s="51" t="n"/>
    </row>
    <row r="173" ht="30" customHeight="1">
      <c r="A173" s="40" t="inlineStr">
        <is>
          <t>E21-S01</t>
        </is>
      </c>
      <c r="B173" s="41" t="inlineStr">
        <is>
          <t>E21</t>
        </is>
      </c>
      <c r="C173" s="42" t="inlineStr">
        <is>
          <t>COMPLIANCE &amp; TAX</t>
        </is>
      </c>
      <c r="D173" s="42" t="inlineStr">
        <is>
          <t>Algo-ID attachment</t>
        </is>
      </c>
      <c r="E173" s="42" t="inlineStr">
        <is>
          <t>New</t>
        </is>
      </c>
      <c r="F173" s="43" t="inlineStr">
        <is>
          <t>P0</t>
        </is>
      </c>
      <c r="G173" s="41" t="inlineStr">
        <is>
          <t>5</t>
        </is>
      </c>
      <c r="H173" s="53" t="inlineStr">
        <is>
          <t>Safety-critical</t>
        </is>
      </c>
      <c r="I173" s="41" t="inlineStr">
        <is>
          <t>SEC</t>
        </is>
      </c>
      <c r="J173" s="45" t="n">
        <v>0.5</v>
      </c>
      <c r="K173" s="42" t="n"/>
      <c r="L173" s="42" t="inlineStr">
        <is>
          <t>blocked on B1</t>
        </is>
      </c>
      <c r="M173" s="46" t="n"/>
      <c r="N173" s="47" t="n"/>
      <c r="O173" s="48" t="n"/>
      <c r="P173" s="48" t="n"/>
      <c r="Q173" s="49" t="n"/>
      <c r="R173" s="41" t="n">
        <v>0</v>
      </c>
      <c r="S173" s="50" t="n"/>
      <c r="T173" s="50" t="n"/>
      <c r="U173" s="50" t="n"/>
      <c r="V173" s="50" t="inlineStr">
        <is>
          <t>Attach per the confirmed mechanic; verify present on every order.</t>
        </is>
      </c>
      <c r="W173" s="51" t="n"/>
    </row>
    <row r="174" ht="30" customHeight="1">
      <c r="A174" s="40" t="inlineStr">
        <is>
          <t>E21-S02</t>
        </is>
      </c>
      <c r="B174" s="41" t="inlineStr">
        <is>
          <t>E21</t>
        </is>
      </c>
      <c r="C174" s="42" t="inlineStr">
        <is>
          <t>COMPLIANCE &amp; TAX</t>
        </is>
      </c>
      <c r="D174" s="42" t="inlineStr">
        <is>
          <t>Static IP verification at startup</t>
        </is>
      </c>
      <c r="E174" s="42" t="inlineStr">
        <is>
          <t>New</t>
        </is>
      </c>
      <c r="F174" s="43" t="inlineStr">
        <is>
          <t>P0</t>
        </is>
      </c>
      <c r="G174" s="41" t="inlineStr">
        <is>
          <t>5</t>
        </is>
      </c>
      <c r="H174" s="53" t="inlineStr">
        <is>
          <t>Safety-critical</t>
        </is>
      </c>
      <c r="I174" s="41" t="inlineStr">
        <is>
          <t>SEC</t>
        </is>
      </c>
      <c r="J174" s="45" t="n">
        <v>0.5</v>
      </c>
      <c r="K174" s="42" t="n"/>
      <c r="L174" s="42" t="n"/>
      <c r="M174" s="46" t="n"/>
      <c r="N174" s="47" t="n"/>
      <c r="O174" s="48" t="n"/>
      <c r="P174" s="48" t="n"/>
      <c r="Q174" s="49" t="n"/>
      <c r="R174" s="41" t="n">
        <v>0</v>
      </c>
      <c r="S174" s="50" t="n"/>
      <c r="T174" s="50" t="n"/>
      <c r="U174" s="50" t="n"/>
      <c r="V174" s="50" t="inlineStr">
        <is>
          <t>Compare actual egress IP against config; refuse to start on mismatch in live mode.</t>
        </is>
      </c>
      <c r="W174" s="51" t="n"/>
    </row>
    <row r="175" ht="30" customHeight="1">
      <c r="A175" s="40" t="inlineStr">
        <is>
          <t>E21-S03</t>
        </is>
      </c>
      <c r="B175" s="41" t="inlineStr">
        <is>
          <t>E21</t>
        </is>
      </c>
      <c r="C175" s="42" t="inlineStr">
        <is>
          <t>COMPLIANCE &amp; TAX</t>
        </is>
      </c>
      <c r="D175" s="42" t="inlineStr">
        <is>
          <t>Charge-level fill accounting</t>
        </is>
      </c>
      <c r="E175" s="42" t="inlineStr">
        <is>
          <t>New</t>
        </is>
      </c>
      <c r="F175" s="43" t="inlineStr">
        <is>
          <t>P0</t>
        </is>
      </c>
      <c r="G175" s="41" t="inlineStr">
        <is>
          <t>6</t>
        </is>
      </c>
      <c r="H175" s="53" t="inlineStr">
        <is>
          <t>Safety-critical</t>
        </is>
      </c>
      <c r="I175" s="41" t="inlineStr">
        <is>
          <t>FEAT</t>
        </is>
      </c>
      <c r="J175" s="45" t="n">
        <v>2</v>
      </c>
      <c r="K175" s="42" t="inlineStr">
        <is>
          <t>E15-S03</t>
        </is>
      </c>
      <c r="L175" s="42" t="n"/>
      <c r="M175" s="46" t="n"/>
      <c r="N175" s="47" t="n"/>
      <c r="O175" s="48" t="n"/>
      <c r="P175" s="48" t="n"/>
      <c r="Q175" s="49" t="n"/>
      <c r="R175" s="41" t="n">
        <v>3</v>
      </c>
      <c r="S175" s="50" t="inlineStr">
        <is>
          <t>As a taxpayer, I want every charge recorded separately, so that year-end reconstruction from contract notes is unnecessary.</t>
        </is>
      </c>
      <c r="T175" s="50" t="inlineStr">
        <is>
          <t>1. Record STT, brokerage, GST, exchange charges, stamp duty, SEBI fees per fill
2. Reconcile against the broker contract note
3. Alert on divergence</t>
        </is>
      </c>
      <c r="U175" s="50" t="inlineStr">
        <is>
          <t>• 🔴 Charges match a real contract note to the paisa</t>
        </is>
      </c>
      <c r="V175" s="50" t="n"/>
      <c r="W175" s="51" t="n"/>
    </row>
    <row r="176" ht="30" customHeight="1">
      <c r="A176" s="40" t="inlineStr">
        <is>
          <t>E21-S04</t>
        </is>
      </c>
      <c r="B176" s="41" t="inlineStr">
        <is>
          <t>E21</t>
        </is>
      </c>
      <c r="C176" s="42" t="inlineStr">
        <is>
          <t>COMPLIANCE &amp; TAX</t>
        </is>
      </c>
      <c r="D176" s="42" t="inlineStr">
        <is>
          <t>Intraday turnover computation</t>
        </is>
      </c>
      <c r="E176" s="42" t="inlineStr">
        <is>
          <t>New</t>
        </is>
      </c>
      <c r="F176" s="43" t="inlineStr">
        <is>
          <t>P0</t>
        </is>
      </c>
      <c r="G176" s="41" t="inlineStr">
        <is>
          <t>6</t>
        </is>
      </c>
      <c r="H176" s="53" t="inlineStr">
        <is>
          <t>Safety-critical</t>
        </is>
      </c>
      <c r="I176" s="41" t="inlineStr">
        <is>
          <t>FEAT</t>
        </is>
      </c>
      <c r="J176" s="45" t="n">
        <v>1</v>
      </c>
      <c r="K176" s="42" t="inlineStr">
        <is>
          <t>E21-S03</t>
        </is>
      </c>
      <c r="L176" s="42" t="n"/>
      <c r="M176" s="46" t="n"/>
      <c r="N176" s="47" t="n"/>
      <c r="O176" s="48" t="n"/>
      <c r="P176" s="48" t="n"/>
      <c r="Q176" s="49" t="n"/>
      <c r="R176" s="41" t="n">
        <v>0</v>
      </c>
      <c r="S176" s="50" t="inlineStr">
        <is>
          <t>As a taxpayer, I want turnover computed as the **absolute sum of profits and losses**, so that the ITR-3 figure is correct.</t>
        </is>
      </c>
      <c r="T176" s="50" t="n"/>
      <c r="U176" s="50" t="inlineStr">
        <is>
          <t>• 🔴 ₹2,000 profit + ₹1,500 loss = ₹3,500 turnover (verified on test data)</t>
        </is>
      </c>
      <c r="V176" s="50" t="n"/>
      <c r="W176" s="51" t="n"/>
    </row>
    <row r="177" ht="30" customHeight="1">
      <c r="A177" s="40" t="inlineStr">
        <is>
          <t>E21-S05</t>
        </is>
      </c>
      <c r="B177" s="41" t="inlineStr">
        <is>
          <t>E21</t>
        </is>
      </c>
      <c r="C177" s="42" t="inlineStr">
        <is>
          <t>COMPLIANCE &amp; TAX</t>
        </is>
      </c>
      <c r="D177" s="42" t="inlineStr">
        <is>
          <t>Business expense register</t>
        </is>
      </c>
      <c r="E177" s="42" t="inlineStr">
        <is>
          <t>New</t>
        </is>
      </c>
      <c r="F177" s="55" t="inlineStr">
        <is>
          <t>P1</t>
        </is>
      </c>
      <c r="G177" s="41" t="inlineStr">
        <is>
          <t>6</t>
        </is>
      </c>
      <c r="H177" s="44" t="inlineStr">
        <is>
          <t>Low</t>
        </is>
      </c>
      <c r="I177" s="41" t="inlineStr">
        <is>
          <t>FEAT</t>
        </is>
      </c>
      <c r="J177" s="45" t="n">
        <v>1</v>
      </c>
      <c r="K177" s="42" t="n"/>
      <c r="L177" s="42" t="n"/>
      <c r="M177" s="46" t="n"/>
      <c r="N177" s="47" t="n"/>
      <c r="O177" s="48" t="n"/>
      <c r="P177" s="48" t="n"/>
      <c r="Q177" s="49" t="n"/>
      <c r="R177" s="41" t="n">
        <v>0</v>
      </c>
      <c r="S177" s="50" t="n"/>
      <c r="T177" s="50" t="n"/>
      <c r="U177" s="50" t="n"/>
      <c r="V177" s="50" t="inlineStr">
        <is>
          <t>Categorised entry for VPS, API spend, data subscriptions — all deductible.</t>
        </is>
      </c>
      <c r="W177" s="51" t="n"/>
    </row>
    <row r="178" ht="30" customHeight="1">
      <c r="A178" s="40" t="inlineStr">
        <is>
          <t>E21-S06</t>
        </is>
      </c>
      <c r="B178" s="41" t="inlineStr">
        <is>
          <t>E21</t>
        </is>
      </c>
      <c r="C178" s="42" t="inlineStr">
        <is>
          <t>COMPLIANCE &amp; TAX</t>
        </is>
      </c>
      <c r="D178" s="42" t="inlineStr">
        <is>
          <t>Tax report generator</t>
        </is>
      </c>
      <c r="E178" s="42" t="inlineStr">
        <is>
          <t>New</t>
        </is>
      </c>
      <c r="F178" s="55" t="inlineStr">
        <is>
          <t>P1</t>
        </is>
      </c>
      <c r="G178" s="41" t="inlineStr">
        <is>
          <t>6</t>
        </is>
      </c>
      <c r="H178" s="52" t="inlineStr">
        <is>
          <t>Correctness-critical</t>
        </is>
      </c>
      <c r="I178" s="41" t="inlineStr">
        <is>
          <t>FEAT</t>
        </is>
      </c>
      <c r="J178" s="45" t="n">
        <v>2</v>
      </c>
      <c r="K178" s="42" t="inlineStr">
        <is>
          <t>E21-S04, E21-S05</t>
        </is>
      </c>
      <c r="L178" s="42" t="n"/>
      <c r="M178" s="46" t="n"/>
      <c r="N178" s="47" t="n"/>
      <c r="O178" s="48" t="n"/>
      <c r="P178" s="48" t="n"/>
      <c r="Q178" s="49" t="n"/>
      <c r="R178" s="41" t="n">
        <v>0</v>
      </c>
      <c r="S178" s="50" t="n"/>
      <c r="T178" s="50" t="n"/>
      <c r="U178" s="50" t="n"/>
      <c r="V178" s="50" t="inlineStr">
        <is>
          <t>Speculative turnover, gross profit/loss, net income, itemised expenses, carry-forward position, financial-year selection, export.</t>
        </is>
      </c>
      <c r="W178" s="51" t="n"/>
    </row>
    <row r="179" ht="30" customHeight="1">
      <c r="A179" s="40" t="inlineStr">
        <is>
          <t>E21-S07</t>
        </is>
      </c>
      <c r="B179" s="41" t="inlineStr">
        <is>
          <t>E21</t>
        </is>
      </c>
      <c r="C179" s="42" t="inlineStr">
        <is>
          <t>COMPLIANCE &amp; TAX</t>
        </is>
      </c>
      <c r="D179" s="42" t="inlineStr">
        <is>
          <t>Compliance status panel</t>
        </is>
      </c>
      <c r="E179" s="42" t="inlineStr">
        <is>
          <t>New</t>
        </is>
      </c>
      <c r="F179" s="55" t="inlineStr">
        <is>
          <t>P1</t>
        </is>
      </c>
      <c r="G179" s="41" t="inlineStr">
        <is>
          <t>6</t>
        </is>
      </c>
      <c r="H179" s="44" t="inlineStr">
        <is>
          <t>Low</t>
        </is>
      </c>
      <c r="I179" s="41" t="inlineStr">
        <is>
          <t>FEAT</t>
        </is>
      </c>
      <c r="J179" s="45" t="n">
        <v>1</v>
      </c>
      <c r="K179" s="42" t="inlineStr">
        <is>
          <t>E18-S01</t>
        </is>
      </c>
      <c r="L179" s="42" t="n"/>
      <c r="M179" s="46" t="n"/>
      <c r="N179" s="47" t="n"/>
      <c r="O179" s="48" t="n"/>
      <c r="P179" s="48" t="n"/>
      <c r="Q179" s="49" t="n"/>
      <c r="R179" s="41" t="n">
        <v>0</v>
      </c>
      <c r="S179" s="50" t="n"/>
      <c r="T179" s="50" t="n"/>
      <c r="U179" s="50" t="n"/>
      <c r="V179" s="50" t="inlineStr">
        <is>
          <t>Live status of every constraint with a pre-live readiness summary.</t>
        </is>
      </c>
      <c r="W179" s="51" t="n"/>
    </row>
    <row r="180" ht="30" customHeight="1">
      <c r="A180" s="40" t="inlineStr">
        <is>
          <t>E21-S08</t>
        </is>
      </c>
      <c r="B180" s="41" t="inlineStr">
        <is>
          <t>E21</t>
        </is>
      </c>
      <c r="C180" s="42" t="inlineStr">
        <is>
          <t>COMPLIANCE &amp; TAX</t>
        </is>
      </c>
      <c r="D180" s="42" t="inlineStr">
        <is>
          <t>Audit chain verification utility</t>
        </is>
      </c>
      <c r="E180" s="42" t="inlineStr">
        <is>
          <t>New</t>
        </is>
      </c>
      <c r="F180" s="55" t="inlineStr">
        <is>
          <t>P1</t>
        </is>
      </c>
      <c r="G180" s="41" t="inlineStr">
        <is>
          <t>6</t>
        </is>
      </c>
      <c r="H180" s="53" t="inlineStr">
        <is>
          <t>Safety-critical</t>
        </is>
      </c>
      <c r="I180" s="41" t="inlineStr">
        <is>
          <t>SEC</t>
        </is>
      </c>
      <c r="J180" s="45" t="n">
        <v>1</v>
      </c>
      <c r="K180" s="42" t="inlineStr">
        <is>
          <t>E01-S05</t>
        </is>
      </c>
      <c r="L180" s="42" t="n"/>
      <c r="M180" s="46" t="n"/>
      <c r="N180" s="47" t="n"/>
      <c r="O180" s="48" t="n"/>
      <c r="P180" s="48" t="n"/>
      <c r="Q180" s="49" t="n"/>
      <c r="R180" s="41" t="n">
        <v>0</v>
      </c>
      <c r="S180" s="50" t="n"/>
      <c r="T180" s="50" t="n"/>
      <c r="U180" s="50" t="n"/>
      <c r="V180" s="50" t="inlineStr">
        <is>
          <t>Verify the hash chain end to end; detect any retroactive modification.</t>
        </is>
      </c>
      <c r="W180" s="51" t="n"/>
    </row>
    <row r="181" ht="30" customHeight="1">
      <c r="A181" s="40" t="inlineStr">
        <is>
          <t>E22-S01</t>
        </is>
      </c>
      <c r="B181" s="41" t="inlineStr">
        <is>
          <t>E22</t>
        </is>
      </c>
      <c r="C181" s="42" t="inlineStr">
        <is>
          <t>TESTING &amp; VALIDATION</t>
        </is>
      </c>
      <c r="D181" s="42" t="inlineStr">
        <is>
          <t>Property-based risk engine tests</t>
        </is>
      </c>
      <c r="E181" s="42" t="inlineStr">
        <is>
          <t>New</t>
        </is>
      </c>
      <c r="F181" s="43" t="inlineStr">
        <is>
          <t>P0</t>
        </is>
      </c>
      <c r="G181" s="41" t="inlineStr">
        <is>
          <t>5</t>
        </is>
      </c>
      <c r="H181" s="53" t="inlineStr">
        <is>
          <t>Safety-critical</t>
        </is>
      </c>
      <c r="I181" s="41" t="inlineStr">
        <is>
          <t>TEST</t>
        </is>
      </c>
      <c r="J181" s="45" t="n">
        <v>2</v>
      </c>
      <c r="K181" s="42" t="inlineStr">
        <is>
          <t>E14-S07</t>
        </is>
      </c>
      <c r="L181" s="42" t="n"/>
      <c r="M181" s="46" t="n"/>
      <c r="N181" s="47" t="n"/>
      <c r="O181" s="48" t="n"/>
      <c r="P181" s="48" t="n"/>
      <c r="Q181" s="49" t="n"/>
      <c r="R181" s="41" t="n">
        <v>5</v>
      </c>
      <c r="S181" s="50" t="n"/>
      <c r="T181" s="50" t="inlineStr">
        <is>
          <t>1. Position size never exceeds configured risk, for any input
2. Never exceeds slot count
3. Approved order always has a stop
4. Square-off always precedes broker deadline
5. Sizing clamps are monotonic</t>
        </is>
      </c>
      <c r="U181" s="50" t="n"/>
      <c r="V181" s="50" t="n"/>
      <c r="W181" s="51" t="n"/>
    </row>
    <row r="182" ht="30" customHeight="1">
      <c r="A182" s="40" t="inlineStr">
        <is>
          <t>E22-S02</t>
        </is>
      </c>
      <c r="B182" s="41" t="inlineStr">
        <is>
          <t>E22</t>
        </is>
      </c>
      <c r="C182" s="42" t="inlineStr">
        <is>
          <t>TESTING &amp; VALIDATION</t>
        </is>
      </c>
      <c r="D182" s="42" t="inlineStr">
        <is>
          <t>Integration test suite</t>
        </is>
      </c>
      <c r="E182" s="42" t="inlineStr">
        <is>
          <t>New</t>
        </is>
      </c>
      <c r="F182" s="55" t="inlineStr">
        <is>
          <t>P1</t>
        </is>
      </c>
      <c r="G182" s="41" t="inlineStr">
        <is>
          <t>7</t>
        </is>
      </c>
      <c r="H182" s="52" t="inlineStr">
        <is>
          <t>Correctness-critical</t>
        </is>
      </c>
      <c r="I182" s="41" t="inlineStr">
        <is>
          <t>TEST</t>
        </is>
      </c>
      <c r="J182" s="45" t="n">
        <v>2</v>
      </c>
      <c r="K182" s="42" t="n"/>
      <c r="L182" s="42" t="n"/>
      <c r="M182" s="46" t="n"/>
      <c r="N182" s="47" t="n"/>
      <c r="O182" s="48" t="n"/>
      <c r="P182" s="48" t="n"/>
      <c r="Q182" s="49" t="n"/>
      <c r="R182" s="41" t="n">
        <v>0</v>
      </c>
      <c r="S182" s="50" t="n"/>
      <c r="T182" s="50" t="n"/>
      <c r="U182" s="50" t="n"/>
      <c r="V182" s="50" t="inlineStr">
        <is>
          <t>Testcontainers for Redis and Postgres; every inter-service contract exercised.</t>
        </is>
      </c>
      <c r="W182" s="51" t="n"/>
    </row>
    <row r="183" ht="30" customHeight="1">
      <c r="A183" s="40" t="inlineStr">
        <is>
          <t>E22-S03</t>
        </is>
      </c>
      <c r="B183" s="41" t="inlineStr">
        <is>
          <t>E22</t>
        </is>
      </c>
      <c r="C183" s="42" t="inlineStr">
        <is>
          <t>TESTING &amp; VALIDATION</t>
        </is>
      </c>
      <c r="D183" s="42" t="inlineStr">
        <is>
          <t>Replay harness</t>
        </is>
      </c>
      <c r="E183" s="42" t="inlineStr">
        <is>
          <t>New</t>
        </is>
      </c>
      <c r="F183" s="55" t="inlineStr">
        <is>
          <t>P1</t>
        </is>
      </c>
      <c r="G183" s="41" t="inlineStr">
        <is>
          <t>7</t>
        </is>
      </c>
      <c r="H183" s="52" t="inlineStr">
        <is>
          <t>Correctness-critical</t>
        </is>
      </c>
      <c r="I183" s="41" t="inlineStr">
        <is>
          <t>TEST</t>
        </is>
      </c>
      <c r="J183" s="45" t="n">
        <v>2.5</v>
      </c>
      <c r="K183" s="42" t="inlineStr">
        <is>
          <t>E03-S06</t>
        </is>
      </c>
      <c r="L183" s="42" t="n"/>
      <c r="M183" s="46" t="n"/>
      <c r="N183" s="47" t="n"/>
      <c r="O183" s="48" t="n"/>
      <c r="P183" s="48" t="n"/>
      <c r="Q183" s="49" t="n"/>
      <c r="R183" s="41" t="n">
        <v>0</v>
      </c>
      <c r="S183" s="50" t="n"/>
      <c r="T183" s="50" t="n"/>
      <c r="U183" s="50" t="n"/>
      <c r="V183" s="50" t="inlineStr">
        <is>
          <t>Replay a recorded session through the full pipeline; assert deterministic outputs; regression on every change.</t>
        </is>
      </c>
      <c r="W183" s="51" t="n"/>
    </row>
    <row r="184" ht="30" customHeight="1">
      <c r="A184" s="40" t="inlineStr">
        <is>
          <t>E22-S04</t>
        </is>
      </c>
      <c r="B184" s="41" t="inlineStr">
        <is>
          <t>E22</t>
        </is>
      </c>
      <c r="C184" s="42" t="inlineStr">
        <is>
          <t>TESTING &amp; VALIDATION</t>
        </is>
      </c>
      <c r="D184" s="42" t="inlineStr">
        <is>
          <t>Chaos test suite</t>
        </is>
      </c>
      <c r="E184" s="42" t="inlineStr">
        <is>
          <t>New</t>
        </is>
      </c>
      <c r="F184" s="43" t="inlineStr">
        <is>
          <t>P0</t>
        </is>
      </c>
      <c r="G184" s="41" t="inlineStr">
        <is>
          <t>7</t>
        </is>
      </c>
      <c r="H184" s="53" t="inlineStr">
        <is>
          <t>Safety-critical</t>
        </is>
      </c>
      <c r="I184" s="41" t="inlineStr">
        <is>
          <t>TEST</t>
        </is>
      </c>
      <c r="J184" s="45" t="n">
        <v>2.5</v>
      </c>
      <c r="K184" s="42" t="n"/>
      <c r="L184" s="42" t="n"/>
      <c r="M184" s="46" t="n"/>
      <c r="N184" s="47" t="n"/>
      <c r="O184" s="48" t="n"/>
      <c r="P184" s="48" t="n"/>
      <c r="Q184" s="49" t="n"/>
      <c r="R184" s="41" t="n">
        <v>0</v>
      </c>
      <c r="S184" s="50" t="n"/>
      <c r="T184" s="50" t="n"/>
      <c r="U184" s="50" t="inlineStr">
        <is>
          <t>• 🔴 Every scenario fails closed; none opens new risk</t>
        </is>
      </c>
      <c r="V184" s="50" t="inlineStr">
        <is>
          <t>All nine scenarios from LOW_LEVEL_ARCHITECTURE §12.3 — kill each service, Redis restart, WebSocket drop, AI outage, broker 500, clock jump, disk full, duplicate tick flood.</t>
        </is>
      </c>
      <c r="W184" s="51" t="n"/>
    </row>
    <row r="185" ht="30" customHeight="1">
      <c r="A185" s="40" t="inlineStr">
        <is>
          <t>E22-S05</t>
        </is>
      </c>
      <c r="B185" s="41" t="inlineStr">
        <is>
          <t>E22</t>
        </is>
      </c>
      <c r="C185" s="42" t="inlineStr">
        <is>
          <t>TESTING &amp; VALIDATION</t>
        </is>
      </c>
      <c r="D185" s="42" t="inlineStr">
        <is>
          <t>Contract tests</t>
        </is>
      </c>
      <c r="E185" s="42" t="inlineStr">
        <is>
          <t>New</t>
        </is>
      </c>
      <c r="F185" s="55" t="inlineStr">
        <is>
          <t>P1</t>
        </is>
      </c>
      <c r="G185" s="41" t="inlineStr">
        <is>
          <t>7</t>
        </is>
      </c>
      <c r="H185" s="44" t="inlineStr">
        <is>
          <t>Low</t>
        </is>
      </c>
      <c r="I185" s="41" t="inlineStr">
        <is>
          <t>TEST</t>
        </is>
      </c>
      <c r="J185" s="45" t="n">
        <v>1</v>
      </c>
      <c r="K185" s="42" t="n"/>
      <c r="L185" s="42" t="n"/>
      <c r="M185" s="46" t="n"/>
      <c r="N185" s="47" t="n"/>
      <c r="O185" s="48" t="n"/>
      <c r="P185" s="48" t="n"/>
      <c r="Q185" s="49" t="n"/>
      <c r="R185" s="41" t="n">
        <v>0</v>
      </c>
      <c r="S185" s="50" t="n"/>
      <c r="T185" s="50" t="n"/>
      <c r="U185" s="50" t="n"/>
      <c r="V185" s="50" t="inlineStr">
        <is>
          <t>Recorded fixtures for broker and AI APIs; detect upstream shape drift.</t>
        </is>
      </c>
      <c r="W185" s="51" t="n"/>
    </row>
    <row r="186" ht="30" customHeight="1">
      <c r="A186" s="40" t="inlineStr">
        <is>
          <t>E22-S06</t>
        </is>
      </c>
      <c r="B186" s="41" t="inlineStr">
        <is>
          <t>E22</t>
        </is>
      </c>
      <c r="C186" s="42" t="inlineStr">
        <is>
          <t>TESTING &amp; VALIDATION</t>
        </is>
      </c>
      <c r="D186" s="42" t="inlineStr">
        <is>
          <t>Prompt injection corpus</t>
        </is>
      </c>
      <c r="E186" s="42" t="inlineStr">
        <is>
          <t>New</t>
        </is>
      </c>
      <c r="F186" s="43" t="inlineStr">
        <is>
          <t>P0</t>
        </is>
      </c>
      <c r="G186" s="41" t="inlineStr">
        <is>
          <t>7</t>
        </is>
      </c>
      <c r="H186" s="53" t="inlineStr">
        <is>
          <t>Safety-critical</t>
        </is>
      </c>
      <c r="I186" s="41" t="inlineStr">
        <is>
          <t>TEST</t>
        </is>
      </c>
      <c r="J186" s="45" t="n">
        <v>1.5</v>
      </c>
      <c r="K186" s="42" t="inlineStr">
        <is>
          <t>E08-S03</t>
        </is>
      </c>
      <c r="L186" s="42" t="n"/>
      <c r="M186" s="46" t="n"/>
      <c r="N186" s="47" t="n"/>
      <c r="O186" s="48" t="n"/>
      <c r="P186" s="48" t="n"/>
      <c r="Q186" s="49" t="n"/>
      <c r="R186" s="41" t="n">
        <v>0</v>
      </c>
      <c r="S186" s="50" t="n"/>
      <c r="T186" s="50" t="n"/>
      <c r="U186" s="50" t="n"/>
      <c r="V186" s="50" t="inlineStr">
        <is>
          <t>Adversarial news snippets: instruction override, role confusion, delimiter escape, Unicode obfuscation, nested encoding. Runs in CI because prompt changes can silently reopen a closed hole.</t>
        </is>
      </c>
      <c r="W186" s="51" t="n"/>
    </row>
    <row r="187" ht="30" customHeight="1">
      <c r="A187" s="40" t="inlineStr">
        <is>
          <t>E22-S07</t>
        </is>
      </c>
      <c r="B187" s="41" t="inlineStr">
        <is>
          <t>E22</t>
        </is>
      </c>
      <c r="C187" s="42" t="inlineStr">
        <is>
          <t>TESTING &amp; VALIDATION</t>
        </is>
      </c>
      <c r="D187" s="42" t="inlineStr">
        <is>
          <t>Coverage enforcement</t>
        </is>
      </c>
      <c r="E187" s="42" t="inlineStr">
        <is>
          <t>New</t>
        </is>
      </c>
      <c r="F187" s="43" t="inlineStr">
        <is>
          <t>P0</t>
        </is>
      </c>
      <c r="G187" s="41" t="inlineStr">
        <is>
          <t>7</t>
        </is>
      </c>
      <c r="H187" s="52" t="inlineStr">
        <is>
          <t>Correctness-critical</t>
        </is>
      </c>
      <c r="I187" s="41" t="inlineStr">
        <is>
          <t>TEST</t>
        </is>
      </c>
      <c r="J187" s="45" t="n">
        <v>0.5</v>
      </c>
      <c r="K187" s="42" t="n"/>
      <c r="L187" s="42" t="n"/>
      <c r="M187" s="46" t="n"/>
      <c r="N187" s="47" t="n"/>
      <c r="O187" s="48" t="n"/>
      <c r="P187" s="48" t="n"/>
      <c r="Q187" s="49" t="n"/>
      <c r="R187" s="41" t="n">
        <v>0</v>
      </c>
      <c r="S187" s="50" t="n"/>
      <c r="T187" s="50" t="n"/>
      <c r="U187" s="50" t="n"/>
      <c r="V187" s="50" t="inlineStr">
        <is>
          <t>100% line coverage gate on `execution/risk_engine.py` and `execution/sizer.py`.</t>
        </is>
      </c>
      <c r="W187" s="51" t="n"/>
    </row>
    <row r="188" ht="30" customHeight="1">
      <c r="A188" s="40" t="inlineStr">
        <is>
          <t>E22-S08</t>
        </is>
      </c>
      <c r="B188" s="41" t="inlineStr">
        <is>
          <t>E22</t>
        </is>
      </c>
      <c r="C188" s="42" t="inlineStr">
        <is>
          <t>TESTING &amp; VALIDATION</t>
        </is>
      </c>
      <c r="D188" s="42" t="inlineStr">
        <is>
          <t>Load and soak testing</t>
        </is>
      </c>
      <c r="E188" s="42" t="inlineStr">
        <is>
          <t>New</t>
        </is>
      </c>
      <c r="F188" s="54" t="inlineStr">
        <is>
          <t>P2</t>
        </is>
      </c>
      <c r="G188" s="41" t="inlineStr">
        <is>
          <t>7</t>
        </is>
      </c>
      <c r="H188" s="44" t="inlineStr">
        <is>
          <t>Low</t>
        </is>
      </c>
      <c r="I188" s="41" t="inlineStr">
        <is>
          <t>TEST</t>
        </is>
      </c>
      <c r="J188" s="45" t="n">
        <v>1</v>
      </c>
      <c r="K188" s="42" t="n"/>
      <c r="L188" s="42" t="n"/>
      <c r="M188" s="46" t="n"/>
      <c r="N188" s="47" t="n"/>
      <c r="O188" s="48" t="n"/>
      <c r="P188" s="48" t="n"/>
      <c r="Q188" s="49" t="n"/>
      <c r="R188" s="41" t="n">
        <v>0</v>
      </c>
      <c r="S188" s="50" t="n"/>
      <c r="T188" s="50" t="n"/>
      <c r="U188" s="50" t="n"/>
      <c r="V188" s="50" t="inlineStr">
        <is>
          <t>Full universe tick rates; multi-day soak for memory leaks.</t>
        </is>
      </c>
      <c r="W188" s="51" t="n"/>
    </row>
    <row r="189" ht="30" customHeight="1">
      <c r="A189" s="40" t="inlineStr">
        <is>
          <t>E23-S01</t>
        </is>
      </c>
      <c r="B189" s="41" t="inlineStr">
        <is>
          <t>E23</t>
        </is>
      </c>
      <c r="C189" s="42" t="inlineStr">
        <is>
          <t>DEPLOYMENT &amp; OPS</t>
        </is>
      </c>
      <c r="D189" s="42" t="inlineStr">
        <is>
          <t>VPS provisioning and hardening</t>
        </is>
      </c>
      <c r="E189" s="42" t="inlineStr">
        <is>
          <t>New</t>
        </is>
      </c>
      <c r="F189" s="43" t="inlineStr">
        <is>
          <t>P0</t>
        </is>
      </c>
      <c r="G189" s="41" t="inlineStr">
        <is>
          <t>7</t>
        </is>
      </c>
      <c r="H189" s="53" t="inlineStr">
        <is>
          <t>Safety-critical</t>
        </is>
      </c>
      <c r="I189" s="41" t="inlineStr">
        <is>
          <t>OPS</t>
        </is>
      </c>
      <c r="J189" s="45" t="n">
        <v>1.5</v>
      </c>
      <c r="K189" s="42" t="n"/>
      <c r="L189" s="42" t="n"/>
      <c r="M189" s="46" t="n"/>
      <c r="N189" s="47" t="n"/>
      <c r="O189" s="48" t="n"/>
      <c r="P189" s="48" t="n"/>
      <c r="Q189" s="49" t="n"/>
      <c r="R189" s="41" t="n">
        <v>0</v>
      </c>
      <c r="S189" s="50" t="n"/>
      <c r="T189" s="50" t="n"/>
      <c r="U189" s="50" t="n"/>
      <c r="V189" s="50" t="inlineStr">
        <is>
          <t>India-region host · static IP · firewall default-deny · SSH key-only, root disabled, fail2ban · unattended security upgrades outside market hours.</t>
        </is>
      </c>
      <c r="W189" s="51" t="n"/>
    </row>
    <row r="190" ht="30" customHeight="1">
      <c r="A190" s="40" t="inlineStr">
        <is>
          <t>E23-S02</t>
        </is>
      </c>
      <c r="B190" s="41" t="inlineStr">
        <is>
          <t>E23</t>
        </is>
      </c>
      <c r="C190" s="42" t="inlineStr">
        <is>
          <t>DEPLOYMENT &amp; OPS</t>
        </is>
      </c>
      <c r="D190" s="42" t="inlineStr">
        <is>
          <t>Static IP whitelisting</t>
        </is>
      </c>
      <c r="E190" s="42" t="inlineStr">
        <is>
          <t>New</t>
        </is>
      </c>
      <c r="F190" s="43" t="inlineStr">
        <is>
          <t>P0</t>
        </is>
      </c>
      <c r="G190" s="41" t="inlineStr">
        <is>
          <t>7</t>
        </is>
      </c>
      <c r="H190" s="53" t="inlineStr">
        <is>
          <t>Safety-critical</t>
        </is>
      </c>
      <c r="I190" s="41" t="inlineStr">
        <is>
          <t>SEC</t>
        </is>
      </c>
      <c r="J190" s="45" t="n">
        <v>0.5</v>
      </c>
      <c r="K190" s="42" t="inlineStr">
        <is>
          <t>E23-S01</t>
        </is>
      </c>
      <c r="L190" s="42" t="n"/>
      <c r="M190" s="46" t="n"/>
      <c r="N190" s="47" t="n"/>
      <c r="O190" s="48" t="n"/>
      <c r="P190" s="48" t="n"/>
      <c r="Q190" s="49" t="n"/>
      <c r="R190" s="41" t="n">
        <v>0</v>
      </c>
      <c r="S190" s="50" t="n"/>
      <c r="T190" s="50" t="n"/>
      <c r="U190" s="50" t="n"/>
      <c r="V190" s="50" t="inlineStr">
        <is>
          <t>Register at `developers.kite.trade`; verify orders succeed from the whitelisted IP and fail from elsewhere.</t>
        </is>
      </c>
      <c r="W190" s="51" t="n"/>
    </row>
    <row r="191" ht="30" customHeight="1">
      <c r="A191" s="40" t="inlineStr">
        <is>
          <t>E23-S03</t>
        </is>
      </c>
      <c r="B191" s="41" t="inlineStr">
        <is>
          <t>E23</t>
        </is>
      </c>
      <c r="C191" s="42" t="inlineStr">
        <is>
          <t>DEPLOYMENT &amp; OPS</t>
        </is>
      </c>
      <c r="D191" s="42" t="inlineStr">
        <is>
          <t>Docker Compose deployment</t>
        </is>
      </c>
      <c r="E191" s="42" t="inlineStr">
        <is>
          <t>New</t>
        </is>
      </c>
      <c r="F191" s="43" t="inlineStr">
        <is>
          <t>P0</t>
        </is>
      </c>
      <c r="G191" s="41" t="inlineStr">
        <is>
          <t>7</t>
        </is>
      </c>
      <c r="H191" s="53" t="inlineStr">
        <is>
          <t>Safety-critical</t>
        </is>
      </c>
      <c r="I191" s="41" t="inlineStr">
        <is>
          <t>OPS</t>
        </is>
      </c>
      <c r="J191" s="45" t="n">
        <v>1.5</v>
      </c>
      <c r="K191" s="42" t="inlineStr">
        <is>
          <t>E23-S01</t>
        </is>
      </c>
      <c r="L191" s="42" t="n"/>
      <c r="M191" s="46" t="n"/>
      <c r="N191" s="47" t="n"/>
      <c r="O191" s="48" t="n"/>
      <c r="P191" s="48" t="n"/>
      <c r="Q191" s="49" t="n"/>
      <c r="R191" s="41" t="n">
        <v>5</v>
      </c>
      <c r="S191" s="50" t="n"/>
      <c r="T191" s="50" t="inlineStr">
        <is>
          <t>1. First actual run of the topology
2. Verify `core` network has no internet access
3. Verify egress allowlists hold
4. Startup ordering and health gates
5. Resource limits tuned</t>
        </is>
      </c>
      <c r="U191" s="50" t="inlineStr">
        <is>
          <t>• 🔴 A container on `core` cannot reach the internet (verified by attempt)</t>
        </is>
      </c>
      <c r="V191" s="50" t="n"/>
      <c r="W191" s="51" t="n"/>
    </row>
    <row r="192" ht="30" customHeight="1">
      <c r="A192" s="40" t="inlineStr">
        <is>
          <t>E23-S04</t>
        </is>
      </c>
      <c r="B192" s="41" t="inlineStr">
        <is>
          <t>E23</t>
        </is>
      </c>
      <c r="C192" s="42" t="inlineStr">
        <is>
          <t>DEPLOYMENT &amp; OPS</t>
        </is>
      </c>
      <c r="D192" s="42" t="inlineStr">
        <is>
          <t>Backup and restore</t>
        </is>
      </c>
      <c r="E192" s="42" t="inlineStr">
        <is>
          <t>New</t>
        </is>
      </c>
      <c r="F192" s="43" t="inlineStr">
        <is>
          <t>P0</t>
        </is>
      </c>
      <c r="G192" s="41" t="inlineStr">
        <is>
          <t>7</t>
        </is>
      </c>
      <c r="H192" s="53" t="inlineStr">
        <is>
          <t>Safety-critical</t>
        </is>
      </c>
      <c r="I192" s="41" t="inlineStr">
        <is>
          <t>OPS</t>
        </is>
      </c>
      <c r="J192" s="45" t="n">
        <v>1</v>
      </c>
      <c r="K192" s="42" t="n"/>
      <c r="L192" s="42" t="n"/>
      <c r="M192" s="46" t="n"/>
      <c r="N192" s="47" t="n"/>
      <c r="O192" s="48" t="n"/>
      <c r="P192" s="48" t="n"/>
      <c r="Q192" s="49" t="n"/>
      <c r="R192" s="41" t="n">
        <v>0</v>
      </c>
      <c r="S192" s="50" t="n"/>
      <c r="T192" s="50" t="n"/>
      <c r="U192" s="50" t="n"/>
      <c r="V192" s="50" t="inlineStr">
        <is>
          <t>Nightly DB dump + config + audit export to off-host storage with separate credentials. Restore drill required.</t>
        </is>
      </c>
      <c r="W192" s="51" t="n"/>
    </row>
    <row r="193" ht="30" customHeight="1">
      <c r="A193" s="40" t="inlineStr">
        <is>
          <t>E23-S05</t>
        </is>
      </c>
      <c r="B193" s="41" t="inlineStr">
        <is>
          <t>E23</t>
        </is>
      </c>
      <c r="C193" s="42" t="inlineStr">
        <is>
          <t>DEPLOYMENT &amp; OPS</t>
        </is>
      </c>
      <c r="D193" s="42" t="inlineStr">
        <is>
          <t>CI pipeline</t>
        </is>
      </c>
      <c r="E193" s="42" t="inlineStr">
        <is>
          <t>New</t>
        </is>
      </c>
      <c r="F193" s="55" t="inlineStr">
        <is>
          <t>P1</t>
        </is>
      </c>
      <c r="G193" s="41" t="inlineStr">
        <is>
          <t>7</t>
        </is>
      </c>
      <c r="H193" s="44" t="inlineStr">
        <is>
          <t>Low</t>
        </is>
      </c>
      <c r="I193" s="41" t="inlineStr">
        <is>
          <t>OPS</t>
        </is>
      </c>
      <c r="J193" s="45" t="n">
        <v>1</v>
      </c>
      <c r="K193" s="42" t="n"/>
      <c r="L193" s="42" t="n"/>
      <c r="M193" s="46" t="n"/>
      <c r="N193" s="47" t="n"/>
      <c r="O193" s="48" t="n"/>
      <c r="P193" s="48" t="n"/>
      <c r="Q193" s="49" t="n"/>
      <c r="R193" s="41" t="n">
        <v>0</v>
      </c>
      <c r="S193" s="50" t="n"/>
      <c r="T193" s="50" t="n"/>
      <c r="U193" s="50" t="n"/>
      <c r="V193" s="50" t="inlineStr">
        <is>
          <t>`make check` on every PR; gitleaks; pip-audit; safety-invariant tests as a required check on `QA` and `PROD`.</t>
        </is>
      </c>
      <c r="W193" s="51" t="n"/>
    </row>
    <row r="194">
      <c r="A194" s="40" t="inlineStr">
        <is>
          <t>E23-S06</t>
        </is>
      </c>
      <c r="B194" s="41" t="inlineStr">
        <is>
          <t>E23</t>
        </is>
      </c>
      <c r="C194" s="42" t="inlineStr">
        <is>
          <t>DEPLOYMENT &amp; OPS</t>
        </is>
      </c>
      <c r="D194" s="42" t="inlineStr">
        <is>
          <t>Runbooks</t>
        </is>
      </c>
      <c r="E194" s="42" t="inlineStr">
        <is>
          <t>New</t>
        </is>
      </c>
      <c r="F194" s="55" t="inlineStr">
        <is>
          <t>P1</t>
        </is>
      </c>
      <c r="G194" s="41" t="inlineStr">
        <is>
          <t>7</t>
        </is>
      </c>
      <c r="H194" s="52" t="inlineStr">
        <is>
          <t>Correctness-critical</t>
        </is>
      </c>
      <c r="I194" s="41" t="inlineStr">
        <is>
          <t>DOC</t>
        </is>
      </c>
      <c r="J194" s="45" t="n">
        <v>1.5</v>
      </c>
      <c r="K194" s="42" t="n"/>
      <c r="L194" s="42" t="n"/>
      <c r="M194" s="46" t="n"/>
      <c r="N194" s="47" t="n"/>
      <c r="O194" s="48" t="n"/>
      <c r="P194" s="48" t="n"/>
      <c r="Q194" s="49" t="n"/>
      <c r="R194" s="41" t="n">
        <v>0</v>
      </c>
      <c r="S194" s="50" t="n"/>
      <c r="T194" s="50" t="n"/>
      <c r="U194" s="50" t="n"/>
      <c r="V194" s="50" t="inlineStr">
        <is>
          <t>Auth failure · feed loss · broker outage · unknown position · kill switch triggered · restore from backup · daily operational checklist.</t>
        </is>
      </c>
      <c r="W194" s="51" t="n"/>
    </row>
    <row r="195">
      <c r="A195" s="40" t="inlineStr">
        <is>
          <t>E23-S07</t>
        </is>
      </c>
      <c r="B195" s="41" t="inlineStr">
        <is>
          <t>E23</t>
        </is>
      </c>
      <c r="C195" s="42" t="inlineStr">
        <is>
          <t>DEPLOYMENT &amp; OPS</t>
        </is>
      </c>
      <c r="D195" s="42" t="inlineStr">
        <is>
          <t>Secrets backend migration</t>
        </is>
      </c>
      <c r="E195" s="42" t="inlineStr">
        <is>
          <t>New</t>
        </is>
      </c>
      <c r="F195" s="54" t="inlineStr">
        <is>
          <t>P2</t>
        </is>
      </c>
      <c r="G195" s="41" t="inlineStr">
        <is>
          <t>8</t>
        </is>
      </c>
      <c r="H195" s="53" t="inlineStr">
        <is>
          <t>Safety-critical</t>
        </is>
      </c>
      <c r="I195" s="41" t="inlineStr">
        <is>
          <t>SEC</t>
        </is>
      </c>
      <c r="J195" s="45" t="n">
        <v>1</v>
      </c>
      <c r="K195" s="42" t="n"/>
      <c r="L195" s="42" t="n"/>
      <c r="M195" s="46" t="n"/>
      <c r="N195" s="47" t="n"/>
      <c r="O195" s="48" t="n"/>
      <c r="P195" s="48" t="n"/>
      <c r="Q195" s="49" t="n"/>
      <c r="R195" s="41" t="n">
        <v>0</v>
      </c>
      <c r="S195" s="50" t="n"/>
      <c r="T195" s="50" t="n"/>
      <c r="U195" s="50" t="n"/>
      <c r="V195" s="50"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51" t="n"/>
    </row>
  </sheetData>
  <autoFilter ref="A4:W195"/>
  <conditionalFormatting sqref="A5:D195">
    <cfRule type="expression" priority="16" dxfId="42">
      <formula>OR($E5="Removed",$E5="Closed")</formula>
    </cfRule>
  </conditionalFormatting>
  <conditionalFormatting sqref="E5:E195">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5"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5"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zoomScaleNormal="100" workbookViewId="0">
      <pane ySplit="4" topLeftCell="A5" activePane="bottomLeft" state="frozen"/>
      <selection pane="bottomLeft" activeCell="F10" sqref="F10"/>
    </sheetView>
  </sheetViews>
  <sheetFormatPr baseColWidth="8" defaultColWidth="8.6640625" defaultRowHeight="14.4"/>
  <cols>
    <col width="8" customWidth="1" min="1" max="1"/>
    <col width="42" customWidth="1" min="2" max="2"/>
    <col width="26" customWidth="1" min="3" max="3"/>
    <col width="44" customWidth="1" min="4" max="4"/>
    <col width="23" customWidth="1" min="5" max="5"/>
    <col width="14" customWidth="1" min="6" max="6"/>
    <col width="13" customWidth="1" min="7" max="7"/>
    <col width="34" customWidth="1" min="8" max="8"/>
  </cols>
  <sheetData>
    <row r="1" ht="17.4" customHeight="1">
      <c r="A1" s="38" t="inlineStr">
        <is>
          <t>CROSS-CUTTING BLOCKERS</t>
        </is>
      </c>
    </row>
    <row r="2">
      <c r="A2" s="4" t="inlineStr">
        <is>
          <t>These gate multiple epics and are not code. Resolve first.</t>
        </is>
      </c>
    </row>
    <row r="4" ht="30" customHeight="1">
      <c r="A4" s="39" t="inlineStr">
        <is>
          <t>ID</t>
        </is>
      </c>
      <c r="B4" s="39" t="inlineStr">
        <is>
          <t>Blocker</t>
        </is>
      </c>
      <c r="C4" s="39" t="inlineStr">
        <is>
          <t>Blocks</t>
        </is>
      </c>
      <c r="D4" s="39" t="inlineStr">
        <is>
          <t>Action Required</t>
        </is>
      </c>
      <c r="E4" s="39" t="inlineStr">
        <is>
          <t>Status</t>
        </is>
      </c>
      <c r="F4" s="39" t="inlineStr">
        <is>
          <t>Owner</t>
        </is>
      </c>
      <c r="G4" s="39" t="inlineStr">
        <is>
          <t>Target Date</t>
        </is>
      </c>
      <c r="H4" s="39" t="inlineStr">
        <is>
          <t>Resolution Notes</t>
        </is>
      </c>
    </row>
    <row r="5" ht="30" customHeight="1">
      <c r="A5" s="40" t="inlineStr">
        <is>
          <t>B1</t>
        </is>
      </c>
      <c r="B5" s="50" t="inlineStr">
        <is>
          <t>Algo-ID attachment mechanic unconfirmed</t>
        </is>
      </c>
      <c r="C5" s="50" t="inlineStr">
        <is>
          <t>E02-S04, E21-S01</t>
        </is>
      </c>
      <c r="D5" s="50" t="inlineStr">
        <is>
          <t>Ask Zerodha: tag field or broker-injected?</t>
        </is>
      </c>
      <c r="E5" s="42" t="inlineStr">
        <is>
          <t>Active</t>
        </is>
      </c>
      <c r="F5" s="46" t="inlineStr">
        <is>
          <t>Self</t>
        </is>
      </c>
      <c r="G5" s="48" t="n"/>
      <c r="H5" s="51"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c r="A6" s="40" t="inlineStr">
        <is>
          <t>B2</t>
        </is>
      </c>
      <c r="B6" s="50" t="inlineStr">
        <is>
          <t>pykiteconnect lacks market_protection</t>
        </is>
      </c>
      <c r="C6" s="50" t="inlineStr">
        <is>
          <t>E02-S04, E15-S01</t>
        </is>
      </c>
      <c r="D6" s="50" t="inlineStr">
        <is>
          <t>Install from git main, or wait for release</t>
        </is>
      </c>
      <c r="E6" s="42" t="inlineStr">
        <is>
          <t>Closed</t>
        </is>
      </c>
      <c r="F6" s="46" t="inlineStr">
        <is>
          <t>Self</t>
        </is>
      </c>
      <c r="G6" s="48" t="n"/>
      <c r="H6" s="51"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c r="A7" s="40" t="inlineStr">
        <is>
          <t>B3</t>
        </is>
      </c>
      <c r="B7" s="50" t="inlineStr">
        <is>
          <t>NSE holiday list incomplete</t>
        </is>
      </c>
      <c r="C7" s="50" t="inlineStr">
        <is>
          <t>E04-S07, all scheduling</t>
        </is>
      </c>
      <c r="D7" s="50" t="inlineStr">
        <is>
          <t>Transcribe the circular</t>
        </is>
      </c>
      <c r="E7" s="42" t="inlineStr">
        <is>
          <t>Active</t>
        </is>
      </c>
      <c r="F7" s="46" t="inlineStr">
        <is>
          <t>Self</t>
        </is>
      </c>
      <c r="G7" s="48" t="n"/>
      <c r="H7" s="51"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c r="A8" s="40" t="inlineStr">
        <is>
          <t>B4</t>
        </is>
      </c>
      <c r="B8" s="50" t="inlineStr">
        <is>
          <t>Historical data pricing unconfirmed</t>
        </is>
      </c>
      <c r="C8" s="50" t="inlineStr">
        <is>
          <t>E03-S03 budget</t>
        </is>
      </c>
      <c r="D8" s="50" t="inlineStr">
        <is>
          <t>Ask Zerodha</t>
        </is>
      </c>
      <c r="E8" s="42" t="inlineStr">
        <is>
          <t>Active</t>
        </is>
      </c>
      <c r="F8" s="46" t="inlineStr">
        <is>
          <t>Self</t>
        </is>
      </c>
      <c r="G8" s="48" t="n"/>
      <c r="H8" s="51"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c r="A9" s="40" t="inlineStr">
        <is>
          <t>B5</t>
        </is>
      </c>
      <c r="B9" s="50" t="inlineStr">
        <is>
          <t>Daily login mechanism untested</t>
        </is>
      </c>
      <c r="C9" s="50" t="inlineStr">
        <is>
          <t>E02-S01</t>
        </is>
      </c>
      <c r="D9" s="50" t="inlineStr">
        <is>
          <t>Prototype the phone→callback flow</t>
        </is>
      </c>
      <c r="E9" s="42" t="inlineStr">
        <is>
          <t>New</t>
        </is>
      </c>
      <c r="F9" s="46" t="inlineStr">
        <is>
          <t>Self</t>
        </is>
      </c>
      <c r="G9" s="48" t="n"/>
      <c r="H9" s="51"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c r="A10" s="40" t="inlineStr">
        <is>
          <t>B6</t>
        </is>
      </c>
      <c r="B10" s="50" t="inlineStr">
        <is>
          <t>Static IP not procured</t>
        </is>
      </c>
      <c r="C10" s="50" t="inlineStr">
        <is>
          <t>E23-S02, all live trading</t>
        </is>
      </c>
      <c r="D10" s="50" t="inlineStr">
        <is>
          <t>Select provider, procure</t>
        </is>
      </c>
      <c r="E10" s="42" t="inlineStr">
        <is>
          <t>Active</t>
        </is>
      </c>
      <c r="F10" s="46" t="inlineStr">
        <is>
          <t>Self</t>
        </is>
      </c>
      <c r="G10" s="48" t="n"/>
      <c r="H10" s="51"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c r="A11" s="40" t="inlineStr">
        <is>
          <t>B7</t>
        </is>
      </c>
      <c r="B11" s="50" t="inlineStr">
        <is>
          <t>kiteconnect pins a vulnerable autobahn (CVE-2020-35678)</t>
        </is>
      </c>
      <c r="C11" s="50" t="inlineStr">
        <is>
          <t>E02-S03 WebSocket ticker, all live market data</t>
        </is>
      </c>
      <c r="D11" s="50" t="inlineStr">
        <is>
          <t>Confirm exposure at E02; ask Zerodha to bump the pin</t>
        </is>
      </c>
      <c r="E11" s="42" t="inlineStr">
        <is>
          <t>On Hold</t>
        </is>
      </c>
      <c r="F11" s="46" t="inlineStr">
        <is>
          <t>Self</t>
        </is>
      </c>
      <c r="G11" s="48" t="inlineStr">
        <is>
          <t>None</t>
        </is>
      </c>
      <c r="H11" s="51"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min="1" max="1"/>
    <col width="34" customWidth="1" min="2" max="2"/>
    <col width="50" customWidth="1" min="3" max="3"/>
    <col width="23" customWidth="1" min="4" max="4"/>
    <col width="12" customWidth="1" min="5" max="6"/>
    <col width="34" customWidth="1" min="7" max="7"/>
  </cols>
  <sheetData>
    <row r="1" ht="17.4" customHeight="1">
      <c r="A1" s="38" t="inlineStr">
        <is>
          <t>SUGGESTED SPRINT SEQUENCE</t>
        </is>
      </c>
    </row>
    <row r="2">
      <c r="A2" s="4" t="inlineStr">
        <is>
          <t>Two-week sprints, solo. Each ends with something demonstrable.</t>
        </is>
      </c>
    </row>
    <row r="4" ht="30" customHeight="1">
      <c r="A4" s="39" t="inlineStr">
        <is>
          <t>Sprint</t>
        </is>
      </c>
      <c r="B4" s="39" t="inlineStr">
        <is>
          <t>Focus</t>
        </is>
      </c>
      <c r="C4" s="39" t="inlineStr">
        <is>
          <t>Key Deliverable</t>
        </is>
      </c>
      <c r="D4" s="39" t="inlineStr">
        <is>
          <t>Status</t>
        </is>
      </c>
      <c r="E4" s="39" t="inlineStr">
        <is>
          <t>Start Date</t>
        </is>
      </c>
      <c r="F4" s="39" t="inlineStr">
        <is>
          <t>End Date</t>
        </is>
      </c>
      <c r="G4" s="39" t="inlineStr">
        <is>
          <t>Notes</t>
        </is>
      </c>
    </row>
    <row r="5">
      <c r="A5" s="56" t="inlineStr">
        <is>
          <t>1</t>
        </is>
      </c>
      <c r="B5" s="50" t="inlineStr">
        <is>
          <t>E01-S01..S04 + S07/S08 (re-scoped) + B1/B3/B4/B6</t>
        </is>
      </c>
      <c r="C5" s="50" t="inlineStr">
        <is>
          <t>Schema, repositories, Redis, streams live; merge gate green; blockers actioned</t>
        </is>
      </c>
      <c r="D5" s="42" t="inlineStr">
        <is>
          <t>Active</t>
        </is>
      </c>
      <c r="E5" s="48" t="n">
        <v>46240</v>
      </c>
      <c r="F5" s="48" t="n">
        <v>46244</v>
      </c>
      <c r="G5" s="51"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c r="A6" s="56" t="inlineStr">
        <is>
          <t>2</t>
        </is>
      </c>
      <c r="B6" s="50" t="inlineStr">
        <is>
          <t>E01-S05 (deferred in) + E03 + E04</t>
        </is>
      </c>
      <c r="C6" s="50" t="inlineStr">
        <is>
          <t>Audit chain verified; historical data flowing, hazard lists daily</t>
        </is>
      </c>
      <c r="D6" s="42" t="inlineStr">
        <is>
          <t>New</t>
        </is>
      </c>
      <c r="E6" s="48" t="n"/>
      <c r="F6" s="48" t="n"/>
      <c r="G6" s="51"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6" t="inlineStr">
        <is>
          <t>3</t>
        </is>
      </c>
      <c r="B7" s="50" t="inlineStr">
        <is>
          <t>E02-S01..S03, E05-S01..S05</t>
        </is>
      </c>
      <c r="C7" s="50" t="inlineStr">
        <is>
          <t>Live ticks arriving and cleaned</t>
        </is>
      </c>
      <c r="D7" s="42" t="inlineStr">
        <is>
          <t>New</t>
        </is>
      </c>
      <c r="E7" s="48" t="n"/>
      <c r="F7" s="48" t="n"/>
      <c r="G7" s="51" t="n"/>
    </row>
    <row r="8">
      <c r="A8" s="56" t="inlineStr">
        <is>
          <t>4</t>
        </is>
      </c>
      <c r="B8" s="50" t="inlineStr">
        <is>
          <t>E05-S06..S08, E06-S01..S03</t>
        </is>
      </c>
      <c r="C8" s="50" t="inlineStr">
        <is>
          <t>Bars building, indicators warm</t>
        </is>
      </c>
      <c r="D8" s="42" t="inlineStr">
        <is>
          <t>New</t>
        </is>
      </c>
      <c r="E8" s="48" t="n"/>
      <c r="F8" s="48" t="n"/>
      <c r="G8" s="51" t="n"/>
    </row>
    <row r="9">
      <c r="A9" s="56" t="inlineStr">
        <is>
          <t>5</t>
        </is>
      </c>
      <c r="B9" s="50" t="inlineStr">
        <is>
          <t>E06-S04..S07, E07</t>
        </is>
      </c>
      <c r="C9" s="50" t="inlineStr">
        <is>
          <t>Ranked watchlist every morning</t>
        </is>
      </c>
      <c r="D9" s="42" t="inlineStr">
        <is>
          <t>New</t>
        </is>
      </c>
      <c r="E9" s="48" t="n"/>
      <c r="F9" s="48" t="n"/>
      <c r="G9" s="51" t="n"/>
    </row>
    <row r="10">
      <c r="A10" s="56" t="inlineStr">
        <is>
          <t>6</t>
        </is>
      </c>
      <c r="B10" s="50" t="inlineStr">
        <is>
          <t>E09, E19-S01..S02</t>
        </is>
      </c>
      <c r="C10" s="50" t="inlineStr">
        <is>
          <t>Macro context + Telegram working</t>
        </is>
      </c>
      <c r="D10" s="42" t="inlineStr">
        <is>
          <t>New</t>
        </is>
      </c>
      <c r="E10" s="48" t="n"/>
      <c r="F10" s="48" t="n"/>
      <c r="G10" s="51" t="n"/>
    </row>
    <row r="11">
      <c r="A11" s="56" t="inlineStr">
        <is>
          <t>7</t>
        </is>
      </c>
      <c r="B11" s="50" t="inlineStr">
        <is>
          <t>E08, E10-S01..S04</t>
        </is>
      </c>
      <c r="C11" s="50" t="inlineStr">
        <is>
          <t>News scored, AI layer live</t>
        </is>
      </c>
      <c r="D11" s="42" t="inlineStr">
        <is>
          <t>New</t>
        </is>
      </c>
      <c r="E11" s="48" t="n"/>
      <c r="F11" s="48" t="n"/>
      <c r="G11" s="51" t="n"/>
    </row>
    <row r="12">
      <c r="A12" s="57" t="inlineStr">
        <is>
          <t>8</t>
        </is>
      </c>
      <c r="B12" s="58" t="inlineStr">
        <is>
          <t>E11</t>
        </is>
      </c>
      <c r="C12" s="58" t="inlineStr">
        <is>
          <t>Pre-market plan by 09:15 — the inflection point</t>
        </is>
      </c>
      <c r="D12" s="42" t="inlineStr">
        <is>
          <t>New</t>
        </is>
      </c>
      <c r="E12" s="48" t="n"/>
      <c r="F12" s="48" t="n"/>
      <c r="G12" s="51" t="n"/>
    </row>
    <row r="13">
      <c r="A13" s="56" t="inlineStr">
        <is>
          <t>9</t>
        </is>
      </c>
      <c r="B13" s="50" t="inlineStr">
        <is>
          <t>E10-S05, E13, E17-S01..S03</t>
        </is>
      </c>
      <c r="C13" s="50" t="inlineStr">
        <is>
          <t>Live signals with rationale, dashboard</t>
        </is>
      </c>
      <c r="D13" s="42" t="inlineStr">
        <is>
          <t>New</t>
        </is>
      </c>
      <c r="E13" s="48" t="n"/>
      <c r="F13" s="48" t="n"/>
      <c r="G13" s="51" t="n"/>
    </row>
    <row r="14">
      <c r="A14" s="56" t="inlineStr">
        <is>
          <t>10</t>
        </is>
      </c>
      <c r="B14" s="50" t="inlineStr">
        <is>
          <t>E14</t>
        </is>
      </c>
      <c r="C14" s="50" t="inlineStr">
        <is>
          <t>Risk engine complete, property-tested</t>
        </is>
      </c>
      <c r="D14" s="42" t="inlineStr">
        <is>
          <t>New</t>
        </is>
      </c>
      <c r="E14" s="48" t="n"/>
      <c r="F14" s="48" t="n"/>
      <c r="G14" s="51" t="n"/>
    </row>
    <row r="15">
      <c r="A15" s="56" t="inlineStr">
        <is>
          <t>11</t>
        </is>
      </c>
      <c r="B15" s="50" t="inlineStr">
        <is>
          <t>E15-S01..S07</t>
        </is>
      </c>
      <c r="C15" s="50" t="inlineStr">
        <is>
          <t>Order execution on paper</t>
        </is>
      </c>
      <c r="D15" s="42" t="inlineStr">
        <is>
          <t>New</t>
        </is>
      </c>
      <c r="E15" s="48" t="n"/>
      <c r="F15" s="48" t="n"/>
      <c r="G15" s="51" t="n"/>
    </row>
    <row r="16">
      <c r="A16" s="56" t="inlineStr">
        <is>
          <t>12</t>
        </is>
      </c>
      <c r="B16" s="50" t="inlineStr">
        <is>
          <t>E15-S08..S11, E16</t>
        </is>
      </c>
      <c r="C16" s="50" t="inlineStr">
        <is>
          <t>Position management, autonomy, approval</t>
        </is>
      </c>
      <c r="D16" s="42" t="inlineStr">
        <is>
          <t>New</t>
        </is>
      </c>
      <c r="E16" s="48" t="n"/>
      <c r="F16" s="48" t="n"/>
      <c r="G16" s="51" t="n"/>
    </row>
    <row r="17">
      <c r="A17" s="56" t="inlineStr">
        <is>
          <t>13</t>
        </is>
      </c>
      <c r="B17" s="50" t="inlineStr">
        <is>
          <t>E12-S01..S08</t>
        </is>
      </c>
      <c r="C17" s="50" t="inlineStr">
        <is>
          <t>Strategy registry + validation gauntlet</t>
        </is>
      </c>
      <c r="D17" s="42" t="inlineStr">
        <is>
          <t>New</t>
        </is>
      </c>
      <c r="E17" s="48" t="n"/>
      <c r="F17" s="48" t="n"/>
      <c r="G17" s="51" t="n"/>
    </row>
    <row r="18">
      <c r="A18" s="56" t="inlineStr">
        <is>
          <t>14</t>
        </is>
      </c>
      <c r="B18" s="50" t="inlineStr">
        <is>
          <t>E12-S09..S10, E20</t>
        </is>
      </c>
      <c r="C18" s="50" t="inlineStr">
        <is>
          <t>Shadow mode, observability</t>
        </is>
      </c>
      <c r="D18" s="42" t="inlineStr">
        <is>
          <t>New</t>
        </is>
      </c>
      <c r="E18" s="48" t="n"/>
      <c r="F18" s="48" t="n"/>
      <c r="G18" s="51" t="n"/>
    </row>
    <row r="19">
      <c r="A19" s="56" t="inlineStr">
        <is>
          <t>15</t>
        </is>
      </c>
      <c r="B19" s="50" t="inlineStr">
        <is>
          <t>E17-S04..S09, E18</t>
        </is>
      </c>
      <c r="C19" s="50" t="inlineStr">
        <is>
          <t>UI complete</t>
        </is>
      </c>
      <c r="D19" s="42" t="inlineStr">
        <is>
          <t>New</t>
        </is>
      </c>
      <c r="E19" s="48" t="n"/>
      <c r="F19" s="48" t="n"/>
      <c r="G19" s="51" t="n"/>
    </row>
    <row r="20">
      <c r="A20" s="56" t="inlineStr">
        <is>
          <t>16</t>
        </is>
      </c>
      <c r="B20" s="50" t="inlineStr">
        <is>
          <t>E21, E22-S01..S04</t>
        </is>
      </c>
      <c r="C20" s="50" t="inlineStr">
        <is>
          <t>Compliance, tax, chaos tests</t>
        </is>
      </c>
      <c r="D20" s="42" t="inlineStr">
        <is>
          <t>New</t>
        </is>
      </c>
      <c r="E20" s="48" t="n"/>
      <c r="F20" s="48" t="n"/>
      <c r="G20" s="51" t="n"/>
    </row>
    <row r="21">
      <c r="A21" s="56" t="inlineStr">
        <is>
          <t>17</t>
        </is>
      </c>
      <c r="B21" s="50" t="inlineStr">
        <is>
          <t>E22-S05..S08, E23</t>
        </is>
      </c>
      <c r="C21" s="50" t="inlineStr">
        <is>
          <t>Hardening, deployment</t>
        </is>
      </c>
      <c r="D21" s="42" t="inlineStr">
        <is>
          <t>New</t>
        </is>
      </c>
      <c r="E21" s="48" t="n"/>
      <c r="F21" s="48" t="n"/>
      <c r="G21" s="51" t="n"/>
    </row>
    <row r="22">
      <c r="A22" s="56" t="inlineStr">
        <is>
          <t>18</t>
        </is>
      </c>
      <c r="B22" s="50" t="inlineStr">
        <is>
          <t>Paper trading</t>
        </is>
      </c>
      <c r="C22" s="50" t="inlineStr">
        <is>
          <t>Multi-week validation across regimes</t>
        </is>
      </c>
      <c r="D22" s="42" t="inlineStr">
        <is>
          <t>New</t>
        </is>
      </c>
      <c r="E22" s="48" t="n"/>
      <c r="F22" s="48" t="n"/>
      <c r="G22" s="51" t="n"/>
    </row>
    <row r="23">
      <c r="A23" s="56" t="inlineStr">
        <is>
          <t>19+</t>
        </is>
      </c>
      <c r="B23" s="50" t="inlineStr">
        <is>
          <t>PRE_LIVE_CHECKLIST</t>
        </is>
      </c>
      <c r="C23" s="50" t="inlineStr">
        <is>
          <t>Approval mode, small live size</t>
        </is>
      </c>
      <c r="D23" s="42" t="inlineStr">
        <is>
          <t>New</t>
        </is>
      </c>
      <c r="E23" s="48" t="n"/>
      <c r="F23" s="48" t="n"/>
      <c r="G23" s="51"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min="1" max="1"/>
    <col width="92" customWidth="1" min="2" max="2"/>
  </cols>
  <sheetData>
    <row r="1" ht="17.4" customHeight="1">
      <c r="A1" s="38" t="inlineStr">
        <is>
          <t>REFERENCE &amp; LEGEND</t>
        </is>
      </c>
    </row>
    <row r="2">
      <c r="A2" s="4" t="inlineStr">
        <is>
          <t>Definitions for every classifier used in the Backlog sheet.</t>
        </is>
      </c>
    </row>
    <row r="4">
      <c r="A4" s="59" t="inlineStr">
        <is>
          <t>STATUS VALUES (dropdown in Backlog column E)</t>
        </is>
      </c>
    </row>
    <row r="5" ht="30" customHeight="1">
      <c r="A5" s="39" t="inlineStr">
        <is>
          <t>Status</t>
        </is>
      </c>
      <c r="B5" s="39" t="inlineStr">
        <is>
          <t>Meaning</t>
        </is>
      </c>
    </row>
    <row r="6">
      <c r="A6" s="15" t="inlineStr">
        <is>
          <t>New</t>
        </is>
      </c>
      <c r="B6" s="7" t="inlineStr">
        <is>
          <t>Captured, not yet triaged.</t>
        </is>
      </c>
    </row>
    <row r="7">
      <c r="A7" s="17" t="inlineStr">
        <is>
          <t>Business Review</t>
        </is>
      </c>
      <c r="B7" s="7" t="inlineStr">
        <is>
          <t>Under review for business value / scope.</t>
        </is>
      </c>
    </row>
    <row r="8">
      <c r="A8" s="18" t="inlineStr">
        <is>
          <t>Business Approved</t>
        </is>
      </c>
      <c r="B8" s="7" t="inlineStr">
        <is>
          <t>Signed off; cleared to be scheduled.</t>
        </is>
      </c>
    </row>
    <row r="9">
      <c r="A9" s="19" t="inlineStr">
        <is>
          <t>Active</t>
        </is>
      </c>
      <c r="B9" s="7" t="inlineStr">
        <is>
          <t>Scheduled into the current sprint; not yet started.</t>
        </is>
      </c>
    </row>
    <row r="10">
      <c r="A10" s="20" t="inlineStr">
        <is>
          <t>Development In-Progress</t>
        </is>
      </c>
      <c r="B10" s="7" t="inlineStr">
        <is>
          <t>Being built.</t>
        </is>
      </c>
    </row>
    <row r="11">
      <c r="A11" s="21" t="inlineStr">
        <is>
          <t>Development Completed</t>
        </is>
      </c>
      <c r="B11" s="7" t="inlineStr">
        <is>
          <t>Code complete, awaiting QA.</t>
        </is>
      </c>
    </row>
    <row r="12">
      <c r="A12" s="22" t="inlineStr">
        <is>
          <t>QA In-Progress</t>
        </is>
      </c>
      <c r="B12" s="7" t="inlineStr">
        <is>
          <t>Under test.</t>
        </is>
      </c>
    </row>
    <row r="13">
      <c r="A13" s="23" t="inlineStr">
        <is>
          <t>QA-Success</t>
        </is>
      </c>
      <c r="B13" s="7" t="inlineStr">
        <is>
          <t>Passed test; ready to close.</t>
        </is>
      </c>
    </row>
    <row r="14">
      <c r="A14" s="24" t="inlineStr">
        <is>
          <t>QA-Fail</t>
        </is>
      </c>
      <c r="B14" s="7" t="inlineStr">
        <is>
          <t>Failed test; returns to development.</t>
        </is>
      </c>
    </row>
    <row r="15">
      <c r="A15" s="25" t="inlineStr">
        <is>
          <t>Closed</t>
        </is>
      </c>
      <c r="B15" s="7" t="inlineStr">
        <is>
          <t>Done and accepted. Definition of Done met.</t>
        </is>
      </c>
    </row>
    <row r="16">
      <c r="A16" s="26" t="inlineStr">
        <is>
          <t>Removed</t>
        </is>
      </c>
      <c r="B16" s="7" t="inlineStr">
        <is>
          <t>Cancelled; will not be built.</t>
        </is>
      </c>
    </row>
    <row r="17">
      <c r="A17" s="27" t="inlineStr">
        <is>
          <t>Moved to Backlog</t>
        </is>
      </c>
      <c r="B17" s="7" t="inlineStr">
        <is>
          <t>Deferred out of the current plan.</t>
        </is>
      </c>
    </row>
    <row r="18">
      <c r="A18" s="28" t="inlineStr">
        <is>
          <t>Blocked</t>
        </is>
      </c>
      <c r="B18" s="7" t="inlineStr">
        <is>
          <t>Cannot proceed — see Blocked By / Blockers sheet.</t>
        </is>
      </c>
    </row>
    <row r="19">
      <c r="A19" s="32" t="inlineStr">
        <is>
          <t>On Hold</t>
        </is>
      </c>
      <c r="B19" s="7" t="inlineStr">
        <is>
          <t>Paused by choice rather than by a blocker.</t>
        </is>
      </c>
    </row>
    <row r="22">
      <c r="A22" s="59" t="inlineStr">
        <is>
          <t>PRIORITY</t>
        </is>
      </c>
    </row>
    <row r="23" ht="30" customHeight="1">
      <c r="A23" s="39" t="inlineStr">
        <is>
          <t>Value</t>
        </is>
      </c>
      <c r="B23" s="39" t="inlineStr">
        <is>
          <t>Meaning</t>
        </is>
      </c>
    </row>
    <row r="24">
      <c r="A24" s="24" t="inlineStr">
        <is>
          <t>P0</t>
        </is>
      </c>
      <c r="B24" s="7" t="inlineStr">
        <is>
          <t>Blocker — cannot ship without it</t>
        </is>
      </c>
    </row>
    <row r="25">
      <c r="A25" s="17" t="inlineStr">
        <is>
          <t>P1</t>
        </is>
      </c>
      <c r="B25" s="7" t="inlineStr">
        <is>
          <t>MVP scope</t>
        </is>
      </c>
    </row>
    <row r="26">
      <c r="A26" s="23" t="inlineStr">
        <is>
          <t>P2</t>
        </is>
      </c>
      <c r="B26" s="7" t="inlineStr">
        <is>
          <t>Post-MVP</t>
        </is>
      </c>
    </row>
    <row r="27">
      <c r="A27" s="34" t="inlineStr">
        <is>
          <t>P3</t>
        </is>
      </c>
      <c r="B27" s="7" t="inlineStr">
        <is>
          <t>Nice-to-have</t>
        </is>
      </c>
    </row>
    <row r="30">
      <c r="A30" s="59" t="inlineStr">
        <is>
          <t>RISK</t>
        </is>
      </c>
    </row>
    <row r="31" ht="30" customHeight="1">
      <c r="A31" s="39" t="inlineStr">
        <is>
          <t>Value</t>
        </is>
      </c>
      <c r="B31" s="39" t="inlineStr">
        <is>
          <t>Meaning</t>
        </is>
      </c>
    </row>
    <row r="32" ht="30" customHeight="1">
      <c r="A32" s="35" t="inlineStr">
        <is>
          <t>Safety-critical</t>
        </is>
      </c>
      <c r="B32" s="50" t="inlineStr">
        <is>
          <t>🔴 A defect can lose money or breach regulation. Needs property-based tests, 100% line coverage, and a second read before merge. Never merge at the end of a session.</t>
        </is>
      </c>
    </row>
    <row r="33" ht="30" customHeight="1">
      <c r="A33" s="36" t="inlineStr">
        <is>
          <t>Correctness-critical</t>
        </is>
      </c>
      <c r="B33" s="50" t="inlineStr">
        <is>
          <t>🟠 A defect produces wrong results but does not directly risk capital.</t>
        </is>
      </c>
    </row>
    <row r="34" ht="30" customHeight="1">
      <c r="A34" s="37" t="inlineStr">
        <is>
          <t>Low</t>
        </is>
      </c>
      <c r="B34" s="50" t="inlineStr">
        <is>
          <t>🟢 Ordinary care applies.</t>
        </is>
      </c>
    </row>
    <row r="37">
      <c r="A37" s="59" t="inlineStr">
        <is>
          <t>TYPE</t>
        </is>
      </c>
    </row>
    <row r="38" ht="30" customHeight="1">
      <c r="A38" s="39" t="inlineStr">
        <is>
          <t>Value</t>
        </is>
      </c>
      <c r="B38" s="39" t="inlineStr">
        <is>
          <t>Meaning</t>
        </is>
      </c>
    </row>
    <row r="39">
      <c r="A39" s="9" t="inlineStr">
        <is>
          <t>FEAT</t>
        </is>
      </c>
      <c r="B39" s="7" t="inlineStr">
        <is>
          <t>Feature work</t>
        </is>
      </c>
    </row>
    <row r="40">
      <c r="A40" s="9" t="inlineStr">
        <is>
          <t>INFRA</t>
        </is>
      </c>
      <c r="B40" s="7" t="inlineStr">
        <is>
          <t>Infrastructure / plumbing</t>
        </is>
      </c>
    </row>
    <row r="41">
      <c r="A41" s="9" t="inlineStr">
        <is>
          <t>SEC</t>
        </is>
      </c>
      <c r="B41" s="7" t="inlineStr">
        <is>
          <t>Security</t>
        </is>
      </c>
    </row>
    <row r="42">
      <c r="A42" s="9" t="inlineStr">
        <is>
          <t>TEST</t>
        </is>
      </c>
      <c r="B42" s="7" t="inlineStr">
        <is>
          <t>Testing</t>
        </is>
      </c>
    </row>
    <row r="43">
      <c r="A43" s="9" t="inlineStr">
        <is>
          <t>OPS</t>
        </is>
      </c>
      <c r="B43" s="7" t="inlineStr">
        <is>
          <t>Operations / deployment</t>
        </is>
      </c>
    </row>
    <row r="44">
      <c r="A44" s="9" t="inlineStr">
        <is>
          <t>DOC</t>
        </is>
      </c>
      <c r="B44" s="7" t="inlineStr">
        <is>
          <t>Documentation</t>
        </is>
      </c>
    </row>
    <row r="47">
      <c r="A47" s="59" t="inlineStr">
        <is>
          <t>DEFINITION OF DONE (every story)</t>
        </is>
      </c>
    </row>
    <row r="48">
      <c r="A48" s="2" t="inlineStr">
        <is>
          <t>☐  Code written and passing `make check` (lint + types + tests)</t>
        </is>
      </c>
    </row>
    <row r="49">
      <c r="A49" s="2" t="inlineStr">
        <is>
          <t>☐  Tests written that FAIL if the story's claim is false — not tests that assert the code shape</t>
        </is>
      </c>
    </row>
    <row r="50">
      <c r="A50" s="2" t="inlineStr">
        <is>
          <t>☐  Safety-critical stories: property-based test covering the invariant</t>
        </is>
      </c>
    </row>
    <row r="51">
      <c r="A51" s="2" t="inlineStr">
        <is>
          <t>☐  Docstrings explain why, not what</t>
        </is>
      </c>
    </row>
    <row r="52">
      <c r="A52" s="2" t="inlineStr">
        <is>
          <t>☐  No secret, no float in a money path, no naive datetime</t>
        </is>
      </c>
    </row>
    <row r="53">
      <c r="A53" s="2" t="inlineStr">
        <is>
          <t>☐  `make doctor` still exits 0</t>
        </is>
      </c>
    </row>
    <row r="54">
      <c r="A54" s="2" t="inlineStr">
        <is>
          <t>☐  Relevant design document updated if behaviour diverged from spec</t>
        </is>
      </c>
    </row>
    <row r="57">
      <c r="A57" s="59" t="inlineStr">
        <is>
          <t>NOTE ON SOURCE DATA</t>
        </is>
      </c>
    </row>
    <row r="58" ht="15" customHeight="1">
      <c r="A58" s="1"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51:B51"/>
    <mergeCell ref="A49:B49"/>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2026-08-07T05:46:55Z</dcterms:modified>
  <cp:lastModifiedBy>Gopikrishnan Sreekumar</cp:lastModifiedBy>
  <cp:revision>0</cp:revision>
</cp:coreProperties>
</file>