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500" firstSheet="0" activeTab="2" autoFilterDateGrouping="1"/>
  </bookViews>
  <sheets>
    <sheet name="Dashboard" sheetId="1" state="visible" r:id="rId1"/>
    <sheet name="Backlog" sheetId="2" state="visible" r:id="rId2"/>
    <sheet name="Blockers" sheetId="3" state="visible" r:id="rId3"/>
    <sheet name="E01 Blockers" sheetId="4" state="visible" r:id="rId4"/>
    <sheet name="QA Results" sheetId="5" state="visible" r:id="rId5"/>
    <sheet name="Security Findings" sheetId="6" state="visible" r:id="rId6"/>
    <sheet name="SIT Defects" sheetId="7" state="visible" r:id="rId7"/>
    <sheet name="Sprint Plan" sheetId="8" state="visible" r:id="rId8"/>
    <sheet name="Reference" sheetId="9" state="visible" r:id="rId9"/>
  </sheets>
  <definedNames>
    <definedName name="_xlnm._FilterDatabase" localSheetId="1" hidden="1">'Backlog'!$A$4:$W$197</definedName>
    <definedName name="_xlnm._FilterDatabase" localSheetId="2" hidden="1">'Blockers'!$A$4:$H$11</definedName>
    <definedName name="_xlnm._FilterDatabase" localSheetId="3" hidden="1">'E01 Blockers'!$A$4:$H$5</definedName>
    <definedName name="_xlnm._FilterDatabase" localSheetId="4" hidden="1">'QA Results'!$A$4:$G$20</definedName>
    <definedName name="_xlnm._FilterDatabase" localSheetId="5" hidden="1">'Security Findings'!$A$4:$H$11</definedName>
    <definedName name="_xlnm._FilterDatabase" localSheetId="7" hidden="1">'Sprint Plan'!$A$4:$G$23</definedName>
  </definedNames>
  <calcPr calcId="191029" fullCalcOnLoad="1" iterateDelta="0.0001"/>
</workbook>
</file>

<file path=xl/styles.xml><?xml version="1.0" encoding="utf-8"?>
<styleSheet xmlns="http://schemas.openxmlformats.org/spreadsheetml/2006/main">
  <numFmts count="3">
    <numFmt numFmtId="164" formatCode="0.0"/>
    <numFmt numFmtId="165" formatCode="0.0%"/>
    <numFmt numFmtId="166" formatCode="yyyy\-mm\-dd"/>
  </numFmts>
  <fonts count="36">
    <font>
      <name val="Calibri"/>
      <charset val="1"/>
      <family val="2"/>
      <color theme="1"/>
      <sz val="11"/>
    </font>
    <font>
      <name val="Arial"/>
      <charset val="1"/>
      <b val="1"/>
      <color rgb="FF2B3A55"/>
      <sz val="18"/>
    </font>
    <font>
      <name val="Arial"/>
      <charset val="1"/>
      <i val="1"/>
      <color rgb="FF666666"/>
      <sz val="9"/>
    </font>
    <font>
      <name val="Arial"/>
      <charset val="1"/>
      <b val="1"/>
      <color rgb="FF2B3A55"/>
      <sz val="11"/>
    </font>
    <font>
      <name val="Arial"/>
      <charset val="1"/>
      <b val="1"/>
      <color rgb="FFFFFFFF"/>
      <sz val="10"/>
    </font>
    <font>
      <name val="Arial"/>
      <charset val="1"/>
      <sz val="10"/>
    </font>
    <font>
      <name val="Arial"/>
      <charset val="1"/>
      <b val="1"/>
      <sz val="10"/>
    </font>
    <font>
      <name val="Arial"/>
      <charset val="1"/>
      <b val="1"/>
      <color rgb="FF3C4043"/>
      <sz val="10"/>
    </font>
    <font>
      <name val="Arial"/>
      <charset val="1"/>
      <b val="1"/>
      <color rgb="FF7F6000"/>
      <sz val="10"/>
    </font>
    <font>
      <name val="Arial"/>
      <charset val="1"/>
      <b val="1"/>
      <color rgb="FF783F04"/>
      <sz val="10"/>
    </font>
    <font>
      <name val="Arial"/>
      <charset val="1"/>
      <b val="1"/>
      <color rgb="FF1155CC"/>
      <sz val="10"/>
    </font>
    <font>
      <name val="Arial"/>
      <charset val="1"/>
      <b val="1"/>
      <color rgb="FF3D1F87"/>
      <sz val="10"/>
    </font>
    <font>
      <name val="Arial"/>
      <charset val="1"/>
      <b val="1"/>
      <color rgb="FF0C5460"/>
      <sz val="10"/>
    </font>
    <font>
      <name val="Arial"/>
      <charset val="1"/>
      <b val="1"/>
      <color rgb="FF8A5300"/>
      <sz val="10"/>
    </font>
    <font>
      <name val="Arial"/>
      <charset val="1"/>
      <b val="1"/>
      <color rgb="FF274E13"/>
      <sz val="10"/>
    </font>
    <font>
      <name val="Arial"/>
      <charset val="1"/>
      <b val="1"/>
      <color rgb="FF990000"/>
      <sz val="10"/>
    </font>
    <font>
      <name val="Arial"/>
      <charset val="1"/>
      <b val="1"/>
      <color rgb="FF0B5345"/>
      <sz val="10"/>
    </font>
    <font>
      <name val="Arial"/>
      <charset val="1"/>
      <b val="1"/>
      <color rgb="FF999999"/>
      <sz val="10"/>
    </font>
    <font>
      <name val="Arial"/>
      <charset val="1"/>
      <b val="1"/>
      <color rgb="FF741B47"/>
      <sz val="10"/>
    </font>
    <font>
      <name val="Arial"/>
      <charset val="1"/>
      <b val="1"/>
      <color rgb="FF994C00"/>
      <sz val="10"/>
    </font>
    <font>
      <name val="Arial"/>
      <charset val="1"/>
      <b val="1"/>
      <color rgb="FF666666"/>
      <sz val="10"/>
    </font>
    <font>
      <name val="Arial"/>
      <charset val="1"/>
      <b val="1"/>
      <color rgb="FF8A3A24"/>
      <sz val="10"/>
    </font>
    <font>
      <name val="Arial"/>
      <charset val="1"/>
      <b val="1"/>
      <color rgb="FF7A5B0F"/>
      <sz val="10"/>
    </font>
    <font>
      <name val="Arial"/>
      <charset val="1"/>
      <b val="1"/>
      <color rgb="FF1F6B3F"/>
      <sz val="10"/>
    </font>
    <font>
      <name val="Arial"/>
      <charset val="1"/>
      <b val="1"/>
      <color rgb="FF2B3A55"/>
      <sz val="14"/>
    </font>
    <font>
      <name val="Arial"/>
      <charset val="1"/>
      <color rgb="FF1F6B3F"/>
      <sz val="10"/>
    </font>
    <font>
      <name val="Arial"/>
      <charset val="1"/>
      <color rgb="FF7A5B0F"/>
      <sz val="10"/>
    </font>
    <font>
      <name val="Arial"/>
      <charset val="1"/>
      <color rgb="FF8A3A24"/>
      <sz val="10"/>
    </font>
    <font>
      <name val="Arial"/>
      <charset val="1"/>
      <i val="1"/>
      <color rgb="FF8A3A24"/>
      <sz val="9"/>
    </font>
    <font>
      <b val="1"/>
      <color rgb="00FFFFFF"/>
      <sz val="14"/>
    </font>
    <font>
      <i val="1"/>
      <color rgb="00404040"/>
      <sz val="9"/>
    </font>
    <font>
      <b val="1"/>
      <color rgb="00FFFFFF"/>
      <sz val="10"/>
    </font>
    <font>
      <b val="1"/>
      <color rgb="00006100"/>
    </font>
    <font>
      <b val="1"/>
    </font>
    <font>
      <b val="1"/>
      <color rgb="001F3864"/>
      <sz val="12"/>
    </font>
    <font>
      <b val="1"/>
      <color rgb="FFFFFFFF"/>
      <sz val="10"/>
    </font>
  </fonts>
  <fills count="29">
    <fill>
      <patternFill/>
    </fill>
    <fill>
      <patternFill patternType="gray125"/>
    </fill>
    <fill>
      <patternFill patternType="solid">
        <fgColor rgb="FF2B3A55"/>
        <bgColor rgb="FF3C4043"/>
      </patternFill>
    </fill>
    <fill>
      <patternFill patternType="solid">
        <fgColor rgb="FFE8EAED"/>
        <bgColor rgb="FFEFEFEF"/>
      </patternFill>
    </fill>
    <fill>
      <patternFill patternType="solid">
        <fgColor rgb="FFFFF2CC"/>
        <bgColor rgb="FFFEF6E0"/>
      </patternFill>
    </fill>
    <fill>
      <patternFill patternType="solid">
        <fgColor rgb="FFFCE5CD"/>
        <bgColor rgb="FFFFE0B2"/>
      </patternFill>
    </fill>
    <fill>
      <patternFill patternType="solid">
        <fgColor rgb="FFCFE2F3"/>
        <bgColor rgb="FFD0E0E3"/>
      </patternFill>
    </fill>
    <fill>
      <patternFill patternType="solid">
        <fgColor rgb="FFD9D2E9"/>
        <bgColor rgb="FFD0D5DB"/>
      </patternFill>
    </fill>
    <fill>
      <patternFill patternType="solid">
        <fgColor rgb="FFD0E0E3"/>
        <bgColor rgb="FFCFE2F3"/>
      </patternFill>
    </fill>
    <fill>
      <patternFill patternType="solid">
        <fgColor rgb="FFFFE0B2"/>
        <bgColor rgb="FFFCE5CD"/>
      </patternFill>
    </fill>
    <fill>
      <patternFill patternType="solid">
        <fgColor rgb="FFD9EAD3"/>
        <bgColor rgb="FFD0E0E3"/>
      </patternFill>
    </fill>
    <fill>
      <patternFill patternType="solid">
        <fgColor rgb="FFF4CCCC"/>
        <bgColor rgb="FFEAD1DC"/>
      </patternFill>
    </fill>
    <fill>
      <patternFill patternType="solid">
        <fgColor rgb="FFB7E1CD"/>
        <bgColor rgb="FFD0E0E3"/>
      </patternFill>
    </fill>
    <fill>
      <patternFill patternType="solid">
        <fgColor rgb="FFEFEFEF"/>
        <bgColor rgb="FFE8EAED"/>
      </patternFill>
    </fill>
    <fill>
      <patternFill patternType="solid">
        <fgColor rgb="FFEAD1DC"/>
        <bgColor rgb="FFF4CCCC"/>
      </patternFill>
    </fill>
    <fill>
      <patternFill patternType="solid">
        <fgColor rgb="FFF9CB9C"/>
        <bgColor rgb="FFF4CCCC"/>
      </patternFill>
    </fill>
    <fill>
      <patternFill patternType="solid">
        <fgColor rgb="FFDDDDDD"/>
        <bgColor rgb="FFD0E0E3"/>
      </patternFill>
    </fill>
    <fill>
      <patternFill patternType="solid">
        <fgColor rgb="FFFDEEEA"/>
        <bgColor rgb="FFFEF6E0"/>
      </patternFill>
    </fill>
    <fill>
      <patternFill patternType="solid">
        <fgColor rgb="FFFEF6E0"/>
        <bgColor rgb="FFFFFDE7"/>
      </patternFill>
    </fill>
    <fill>
      <patternFill patternType="solid">
        <fgColor rgb="FFEAF6EE"/>
        <bgColor rgb="FFEFEFEF"/>
      </patternFill>
    </fill>
    <fill>
      <patternFill patternType="solid">
        <fgColor rgb="FFFFFDE7"/>
        <bgColor rgb="FFFEF6E0"/>
      </patternFill>
    </fill>
    <fill>
      <patternFill patternType="solid">
        <fgColor rgb="001F3864"/>
      </patternFill>
    </fill>
    <fill>
      <patternFill patternType="solid">
        <fgColor rgb="002F5597"/>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1F2"/>
      </patternFill>
    </fill>
    <fill>
      <patternFill patternType="solid">
        <fgColor rgb="00FFF4E5"/>
      </patternFill>
    </fill>
    <fill>
      <patternFill patternType="solid">
        <fgColor rgb="00FFF9EC"/>
      </patternFill>
    </fill>
  </fills>
  <borders count="3">
    <border>
      <left/>
      <right/>
      <top/>
      <bottom/>
      <diagonal/>
    </border>
    <border>
      <left style="thin">
        <color rgb="FFD0D5DB"/>
      </left>
      <right style="thin">
        <color rgb="FFD0D5DB"/>
      </right>
      <top style="thin">
        <color rgb="FFD0D5DB"/>
      </top>
      <bottom style="thin">
        <color rgb="FFD0D5DB"/>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0" fontId="6" fillId="0" borderId="1" applyAlignment="1" pivotButton="0" quotePrefix="0" xfId="0">
      <alignment horizontal="center"/>
    </xf>
    <xf numFmtId="0" fontId="6" fillId="0" borderId="1" pivotButton="0" quotePrefix="0" xfId="0"/>
    <xf numFmtId="0" fontId="5" fillId="0" borderId="1" applyAlignment="1" pivotButton="0" quotePrefix="0" xfId="0">
      <alignment horizontal="center"/>
    </xf>
    <xf numFmtId="164" fontId="5" fillId="0" borderId="1" applyAlignment="1" pivotButton="0" quotePrefix="0" xfId="0">
      <alignment horizontal="center"/>
    </xf>
    <xf numFmtId="9" fontId="5" fillId="0" borderId="1" applyAlignment="1" pivotButton="0" quotePrefix="0" xfId="0">
      <alignment horizontal="center"/>
    </xf>
    <xf numFmtId="164" fontId="6" fillId="0" borderId="1" applyAlignment="1" pivotButton="0" quotePrefix="0" xfId="0">
      <alignment horizontal="center"/>
    </xf>
    <xf numFmtId="165" fontId="6" fillId="0" borderId="1" applyAlignment="1" pivotButton="0" quotePrefix="0" xfId="0">
      <alignment horizontal="center"/>
    </xf>
    <xf numFmtId="0" fontId="7" fillId="3" borderId="1" pivotButton="0" quotePrefix="0" xfId="0"/>
    <xf numFmtId="165" fontId="5" fillId="0" borderId="1" applyAlignment="1" pivotButton="0" quotePrefix="0" xfId="0">
      <alignment horizontal="center"/>
    </xf>
    <xf numFmtId="0" fontId="8" fillId="4" borderId="1" pivotButton="0" quotePrefix="0" xfId="0"/>
    <xf numFmtId="0" fontId="9" fillId="5" borderId="1" pivotButton="0" quotePrefix="0" xfId="0"/>
    <xf numFmtId="0" fontId="10" fillId="6" borderId="1" pivotButton="0" quotePrefix="0" xfId="0"/>
    <xf numFmtId="0" fontId="11" fillId="7" borderId="1" pivotButton="0" quotePrefix="0" xfId="0"/>
    <xf numFmtId="0" fontId="12" fillId="8" borderId="1" pivotButton="0" quotePrefix="0" xfId="0"/>
    <xf numFmtId="0" fontId="13" fillId="9" borderId="1" pivotButton="0" quotePrefix="0" xfId="0"/>
    <xf numFmtId="0" fontId="14" fillId="10" borderId="1" pivotButton="0" quotePrefix="0" xfId="0"/>
    <xf numFmtId="0" fontId="15" fillId="11" borderId="1" pivotButton="0" quotePrefix="0" xfId="0"/>
    <xf numFmtId="0" fontId="16" fillId="12" borderId="1" pivotButton="0" quotePrefix="0" xfId="0"/>
    <xf numFmtId="0" fontId="17" fillId="13" borderId="1" pivotButton="0" quotePrefix="0" xfId="0"/>
    <xf numFmtId="0" fontId="18" fillId="14" borderId="1" pivotButton="0" quotePrefix="0" xfId="0"/>
    <xf numFmtId="0" fontId="19" fillId="15" borderId="1" pivotButton="0" quotePrefix="0" xfId="0"/>
    <xf numFmtId="0" fontId="0" fillId="0" borderId="1" pivotButton="0" quotePrefix="0" xfId="0"/>
    <xf numFmtId="1" fontId="6" fillId="0" borderId="1" applyAlignment="1" pivotButton="0" quotePrefix="0" xfId="0">
      <alignment horizontal="center"/>
    </xf>
    <xf numFmtId="9" fontId="6" fillId="0" borderId="1" applyAlignment="1" pivotButton="0" quotePrefix="0" xfId="0">
      <alignment horizontal="center"/>
    </xf>
    <xf numFmtId="0" fontId="20" fillId="16" borderId="1" pivotButton="0" quotePrefix="0" xfId="0"/>
    <xf numFmtId="1" fontId="5" fillId="0" borderId="1" applyAlignment="1" pivotButton="0" quotePrefix="0" xfId="0">
      <alignment horizontal="center"/>
    </xf>
    <xf numFmtId="0" fontId="20" fillId="13" borderId="1" pivotButton="0" quotePrefix="0" xfId="0"/>
    <xf numFmtId="0" fontId="21" fillId="17" borderId="1" pivotButton="0" quotePrefix="0" xfId="0"/>
    <xf numFmtId="0" fontId="22" fillId="18" borderId="1" pivotButton="0" quotePrefix="0" xfId="0"/>
    <xf numFmtId="0" fontId="23" fillId="19" borderId="1" pivotButton="0" quotePrefix="0" xfId="0"/>
    <xf numFmtId="0" fontId="24"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xf>
    <xf numFmtId="0" fontId="15" fillId="11" borderId="1" applyAlignment="1" pivotButton="0" quotePrefix="0" xfId="0">
      <alignment horizontal="center" vertical="top"/>
    </xf>
    <xf numFmtId="0" fontId="25" fillId="19" borderId="1" applyAlignment="1" pivotButton="0" quotePrefix="0" xfId="0">
      <alignment vertical="top"/>
    </xf>
    <xf numFmtId="164" fontId="5" fillId="0" borderId="1" applyAlignment="1" pivotButton="0" quotePrefix="0" xfId="0">
      <alignment horizontal="center" vertical="top"/>
    </xf>
    <xf numFmtId="0" fontId="5" fillId="20" borderId="1" applyAlignment="1" pivotButton="0" quotePrefix="0" xfId="0">
      <alignment vertical="top"/>
    </xf>
    <xf numFmtId="0" fontId="5" fillId="20" borderId="1" applyAlignment="1" pivotButton="0" quotePrefix="0" xfId="0">
      <alignment horizontal="center" vertical="top"/>
    </xf>
    <xf numFmtId="166" fontId="5" fillId="20" borderId="1" applyAlignment="1" pivotButton="0" quotePrefix="0" xfId="0">
      <alignment vertical="top"/>
    </xf>
    <xf numFmtId="9" fontId="5" fillId="20" borderId="1" applyAlignment="1" pivotButton="0" quotePrefix="0" xfId="0">
      <alignment vertical="top"/>
    </xf>
    <xf numFmtId="0" fontId="5" fillId="0" borderId="1" applyAlignment="1" pivotButton="0" quotePrefix="0" xfId="0">
      <alignment vertical="top" wrapText="1"/>
    </xf>
    <xf numFmtId="0" fontId="5" fillId="20" borderId="1" applyAlignment="1" pivotButton="0" quotePrefix="0" xfId="0">
      <alignment vertical="top" wrapText="1"/>
    </xf>
    <xf numFmtId="0" fontId="26" fillId="18" borderId="1" applyAlignment="1" pivotButton="0" quotePrefix="0" xfId="0">
      <alignment vertical="top"/>
    </xf>
    <xf numFmtId="0" fontId="27" fillId="17" borderId="1" applyAlignment="1" pivotButton="0" quotePrefix="0" xfId="0">
      <alignment vertical="top"/>
    </xf>
    <xf numFmtId="0" fontId="14" fillId="10" borderId="1" applyAlignment="1" pivotButton="0" quotePrefix="0" xfId="0">
      <alignment horizontal="center" vertical="top"/>
    </xf>
    <xf numFmtId="0" fontId="8" fillId="4" borderId="1" applyAlignment="1" pivotButton="0" quotePrefix="0" xfId="0">
      <alignment horizontal="center" vertical="top"/>
    </xf>
    <xf numFmtId="0" fontId="6" fillId="0" borderId="1" applyAlignment="1" pivotButton="0" quotePrefix="0" xfId="0">
      <alignment horizontal="center" vertical="top"/>
    </xf>
    <xf numFmtId="0" fontId="22" fillId="18" borderId="1" applyAlignment="1" pivotButton="0" quotePrefix="0" xfId="0">
      <alignment horizontal="center" vertical="top"/>
    </xf>
    <xf numFmtId="0" fontId="22" fillId="18" borderId="1" applyAlignment="1" pivotButton="0" quotePrefix="0" xfId="0">
      <alignment vertical="top" wrapText="1"/>
    </xf>
    <xf numFmtId="0" fontId="6" fillId="0" borderId="0" pivotButton="0" quotePrefix="0" xfId="0"/>
    <xf numFmtId="0" fontId="5" fillId="0" borderId="0" pivotButton="0" quotePrefix="0" xfId="0"/>
    <xf numFmtId="0" fontId="0" fillId="0" borderId="0" pivotButton="0" quotePrefix="0" xfId="0"/>
    <xf numFmtId="0" fontId="28" fillId="0" borderId="0" applyAlignment="1" pivotButton="0" quotePrefix="0" xfId="0">
      <alignment vertical="top" wrapText="1"/>
    </xf>
    <xf numFmtId="0" fontId="29" fillId="21" borderId="0" pivotButton="0" quotePrefix="0" xfId="0"/>
    <xf numFmtId="0" fontId="30" fillId="0" borderId="0" applyAlignment="1" pivotButton="0" quotePrefix="0" xfId="0">
      <alignment vertical="top" wrapText="1"/>
    </xf>
    <xf numFmtId="0" fontId="31" fillId="22" borderId="2" applyAlignment="1" pivotButton="0" quotePrefix="0" xfId="0">
      <alignment horizontal="center" vertical="center"/>
    </xf>
    <xf numFmtId="0" fontId="31" fillId="22" borderId="0" applyAlignment="1" pivotButton="0" quotePrefix="0" xfId="0">
      <alignment horizontal="center" vertical="center"/>
    </xf>
    <xf numFmtId="0" fontId="0" fillId="0" borderId="2" applyAlignment="1" pivotButton="0" quotePrefix="0" xfId="0">
      <alignment horizontal="center" vertical="center"/>
    </xf>
    <xf numFmtId="0" fontId="32" fillId="23" borderId="2" applyAlignment="1" pivotButton="0" quotePrefix="0" xfId="0">
      <alignment vertical="top" wrapText="1"/>
    </xf>
    <xf numFmtId="0" fontId="0" fillId="0" borderId="2" applyAlignment="1" pivotButton="0" quotePrefix="0" xfId="0">
      <alignment vertical="top" wrapText="1"/>
    </xf>
    <xf numFmtId="0" fontId="33" fillId="24" borderId="2" applyAlignment="1" pivotButton="0" quotePrefix="0" xfId="0">
      <alignment horizontal="center" vertical="center"/>
    </xf>
    <xf numFmtId="0" fontId="33" fillId="25" borderId="2" applyAlignment="1" pivotButton="0" quotePrefix="0" xfId="0">
      <alignment horizontal="center" vertical="center"/>
    </xf>
    <xf numFmtId="0" fontId="33" fillId="26" borderId="2" applyAlignment="1" pivotButton="0" quotePrefix="0" xfId="0">
      <alignment horizontal="center" vertical="center"/>
    </xf>
    <xf numFmtId="0" fontId="34" fillId="0" borderId="0" pivotButton="0" quotePrefix="0" xfId="0"/>
    <xf numFmtId="0" fontId="30" fillId="0" borderId="0" pivotButton="0" quotePrefix="0" xfId="0"/>
    <xf numFmtId="9" fontId="0" fillId="0" borderId="0" pivotButton="0" quotePrefix="0" xfId="0"/>
    <xf numFmtId="0" fontId="35" fillId="27" borderId="0" applyAlignment="1" pivotButton="0" quotePrefix="0" xfId="0">
      <alignment horizontal="left" vertical="center" wrapText="1"/>
    </xf>
    <xf numFmtId="0" fontId="0" fillId="28" borderId="0" applyAlignment="1" pivotButton="0" quotePrefix="0" xfId="0">
      <alignment vertical="top" wrapText="1"/>
    </xf>
    <xf numFmtId="0" fontId="0" fillId="0" borderId="0" applyAlignment="1" pivotButton="0" quotePrefix="0" xfId="0">
      <alignment vertical="top" wrapText="1"/>
    </xf>
    <xf numFmtId="0" fontId="6" fillId="0" borderId="1" applyAlignment="1" pivotButton="0" quotePrefix="0" xfId="0">
      <alignment vertical="top" wrapText="1"/>
    </xf>
    <xf numFmtId="0" fontId="15" fillId="11" borderId="1" applyAlignment="1" pivotButton="0" quotePrefix="0" xfId="0">
      <alignment vertical="top" wrapText="1"/>
    </xf>
    <xf numFmtId="0" fontId="27" fillId="17" borderId="1" applyAlignment="1" pivotButton="0" quotePrefix="0" xfId="0">
      <alignment vertical="top" wrapText="1"/>
    </xf>
    <xf numFmtId="164" fontId="5" fillId="0" borderId="1" applyAlignment="1" pivotButton="0" quotePrefix="0" xfId="0">
      <alignment vertical="top" wrapText="1"/>
    </xf>
    <xf numFmtId="166" fontId="5" fillId="20" borderId="1" applyAlignment="1" pivotButton="0" quotePrefix="0" xfId="0">
      <alignment vertical="top" wrapText="1"/>
    </xf>
    <xf numFmtId="0" fontId="31" fillId="22" borderId="2" applyAlignment="1" pivotButton="0" quotePrefix="0" xfId="0">
      <alignment vertical="center" wrapText="1"/>
    </xf>
    <xf numFmtId="0" fontId="31" fillId="22" borderId="0" applyAlignment="1" pivotButton="0" quotePrefix="0" xfId="0">
      <alignment vertical="center" wrapText="1"/>
    </xf>
    <xf numFmtId="0" fontId="0" fillId="0" borderId="0" applyAlignment="1" pivotButton="0" quotePrefix="0" xfId="0">
      <alignment vertical="center" wrapText="1"/>
    </xf>
    <xf numFmtId="0" fontId="33" fillId="0" borderId="0" applyAlignment="1" pivotButton="0" quotePrefix="0" xfId="0">
      <alignment vertical="center" wrapText="1"/>
    </xf>
    <xf numFmtId="9" fontId="5" fillId="20" borderId="1" applyAlignment="1" pivotButton="0" quotePrefix="0" xfId="0">
      <alignment vertical="top" wrapText="1"/>
    </xf>
  </cellXfs>
  <cellStyles count="1">
    <cellStyle name="Normal" xfId="0" builtinId="0"/>
  </cellStyles>
  <dxfs count="44">
    <dxf>
      <font>
        <name val="Arial"/>
        <charset val="1"/>
        <b val="1"/>
        <color rgb="FF666666"/>
        <sz val="10"/>
      </font>
      <fill>
        <patternFill>
          <bgColor rgb="FFDDDDDD"/>
        </patternFill>
      </fill>
    </dxf>
    <dxf>
      <font>
        <name val="Arial"/>
        <charset val="1"/>
        <b val="1"/>
        <color rgb="FF994C00"/>
        <sz val="10"/>
      </font>
      <fill>
        <patternFill>
          <bgColor rgb="FFF9CB9C"/>
        </patternFill>
      </fill>
    </dxf>
    <dxf>
      <font>
        <name val="Arial"/>
        <charset val="1"/>
        <b val="1"/>
        <color rgb="FF741B47"/>
        <sz val="10"/>
      </font>
      <fill>
        <patternFill>
          <bgColor rgb="FFEAD1DC"/>
        </patternFill>
      </fill>
    </dxf>
    <dxf>
      <font>
        <name val="Arial"/>
        <charset val="1"/>
        <b val="1"/>
        <color rgb="FF999999"/>
        <sz val="10"/>
      </font>
      <fill>
        <patternFill>
          <bgColor rgb="FFEFEFEF"/>
        </patternFill>
      </fill>
    </dxf>
    <dxf>
      <font>
        <name val="Arial"/>
        <charset val="1"/>
        <b val="1"/>
        <color rgb="FF0B5345"/>
        <sz val="10"/>
      </font>
      <fill>
        <patternFill>
          <bgColor rgb="FFB7E1CD"/>
        </patternFill>
      </fill>
    </dxf>
    <dxf>
      <font>
        <name val="Arial"/>
        <charset val="1"/>
        <b val="1"/>
        <color rgb="FF990000"/>
        <sz val="10"/>
      </font>
      <fill>
        <patternFill>
          <bgColor rgb="FFF4CCCC"/>
        </patternFill>
      </fill>
    </dxf>
    <dxf>
      <font>
        <name val="Arial"/>
        <charset val="1"/>
        <b val="1"/>
        <color rgb="FF274E13"/>
        <sz val="10"/>
      </font>
      <fill>
        <patternFill>
          <bgColor rgb="FFD9EAD3"/>
        </patternFill>
      </fill>
    </dxf>
    <dxf>
      <font>
        <name val="Arial"/>
        <charset val="1"/>
        <b val="1"/>
        <color rgb="FF8A5300"/>
        <sz val="10"/>
      </font>
      <fill>
        <patternFill>
          <bgColor rgb="FFFFE0B2"/>
        </patternFill>
      </fill>
    </dxf>
    <dxf>
      <font>
        <name val="Arial"/>
        <charset val="1"/>
        <b val="1"/>
        <color rgb="FF0C5460"/>
        <sz val="10"/>
      </font>
      <fill>
        <patternFill>
          <bgColor rgb="FFD0E0E3"/>
        </patternFill>
      </fill>
    </dxf>
    <dxf>
      <font>
        <name val="Arial"/>
        <charset val="1"/>
        <b val="1"/>
        <color rgb="FF3D1F87"/>
        <sz val="10"/>
      </font>
      <fill>
        <patternFill>
          <bgColor rgb="FFD9D2E9"/>
        </patternFill>
      </fill>
    </dxf>
    <dxf>
      <font>
        <name val="Arial"/>
        <charset val="1"/>
        <b val="1"/>
        <color rgb="FF1155CC"/>
        <sz val="10"/>
      </font>
      <fill>
        <patternFill>
          <bgColor rgb="FFCFE2F3"/>
        </patternFill>
      </fill>
    </dxf>
    <dxf>
      <font>
        <name val="Arial"/>
        <charset val="1"/>
        <b val="1"/>
        <color rgb="FF783F04"/>
        <sz val="10"/>
      </font>
      <fill>
        <patternFill>
          <bgColor rgb="FFFCE5CD"/>
        </patternFill>
      </fill>
    </dxf>
    <dxf>
      <font>
        <name val="Arial"/>
        <charset val="1"/>
        <b val="1"/>
        <color rgb="FF7F6000"/>
        <sz val="10"/>
      </font>
      <fill>
        <patternFill>
          <bgColor rgb="FFFFF2CC"/>
        </patternFill>
      </fill>
    </dxf>
    <dxf>
      <font>
        <name val="Arial"/>
        <charset val="1"/>
        <b val="1"/>
        <color rgb="FF3C4043"/>
        <sz val="10"/>
      </font>
      <fill>
        <patternFill>
          <bgColor rgb="FFE8EAED"/>
        </patternFill>
      </fill>
    </dxf>
    <dxf>
      <font>
        <name val="Arial"/>
        <charset val="1"/>
        <b val="1"/>
        <color rgb="FF666666"/>
        <sz val="10"/>
      </font>
      <fill>
        <patternFill>
          <bgColor rgb="FFDDDDDD"/>
        </patternFill>
      </fill>
    </dxf>
    <dxf>
      <font>
        <name val="Arial"/>
        <charset val="1"/>
        <b val="1"/>
        <color rgb="FF994C00"/>
        <sz val="10"/>
      </font>
      <fill>
        <patternFill>
          <bgColor rgb="FFF9CB9C"/>
        </patternFill>
      </fill>
    </dxf>
    <dxf>
      <font>
        <name val="Arial"/>
        <charset val="1"/>
        <b val="1"/>
        <color rgb="FF741B47"/>
        <sz val="10"/>
      </font>
      <fill>
        <patternFill>
          <bgColor rgb="FFEAD1DC"/>
        </patternFill>
      </fill>
    </dxf>
    <dxf>
      <font>
        <name val="Arial"/>
        <charset val="1"/>
        <b val="1"/>
        <color rgb="FF999999"/>
        <sz val="10"/>
      </font>
      <fill>
        <patternFill>
          <bgColor rgb="FFEFEFEF"/>
        </patternFill>
      </fill>
    </dxf>
    <dxf>
      <font>
        <name val="Arial"/>
        <charset val="1"/>
        <b val="1"/>
        <color rgb="FF0B5345"/>
        <sz val="10"/>
      </font>
      <fill>
        <patternFill>
          <bgColor rgb="FFB7E1CD"/>
        </patternFill>
      </fill>
    </dxf>
    <dxf>
      <font>
        <name val="Arial"/>
        <charset val="1"/>
        <b val="1"/>
        <color rgb="FF990000"/>
        <sz val="10"/>
      </font>
      <fill>
        <patternFill>
          <bgColor rgb="FFF4CCCC"/>
        </patternFill>
      </fill>
    </dxf>
    <dxf>
      <font>
        <name val="Arial"/>
        <charset val="1"/>
        <b val="1"/>
        <color rgb="FF274E13"/>
        <sz val="10"/>
      </font>
      <fill>
        <patternFill>
          <bgColor rgb="FFD9EAD3"/>
        </patternFill>
      </fill>
    </dxf>
    <dxf>
      <font>
        <name val="Arial"/>
        <charset val="1"/>
        <b val="1"/>
        <color rgb="FF8A5300"/>
        <sz val="10"/>
      </font>
      <fill>
        <patternFill>
          <bgColor rgb="FFFFE0B2"/>
        </patternFill>
      </fill>
    </dxf>
    <dxf>
      <font>
        <name val="Arial"/>
        <charset val="1"/>
        <b val="1"/>
        <color rgb="FF0C5460"/>
        <sz val="10"/>
      </font>
      <fill>
        <patternFill>
          <bgColor rgb="FFD0E0E3"/>
        </patternFill>
      </fill>
    </dxf>
    <dxf>
      <font>
        <name val="Arial"/>
        <charset val="1"/>
        <b val="1"/>
        <color rgb="FF3D1F87"/>
        <sz val="10"/>
      </font>
      <fill>
        <patternFill>
          <bgColor rgb="FFD9D2E9"/>
        </patternFill>
      </fill>
    </dxf>
    <dxf>
      <font>
        <name val="Arial"/>
        <charset val="1"/>
        <b val="1"/>
        <color rgb="FF1155CC"/>
        <sz val="10"/>
      </font>
      <fill>
        <patternFill>
          <bgColor rgb="FFCFE2F3"/>
        </patternFill>
      </fill>
    </dxf>
    <dxf>
      <font>
        <name val="Arial"/>
        <charset val="1"/>
        <b val="1"/>
        <color rgb="FF783F04"/>
        <sz val="10"/>
      </font>
      <fill>
        <patternFill>
          <bgColor rgb="FFFCE5CD"/>
        </patternFill>
      </fill>
    </dxf>
    <dxf>
      <font>
        <name val="Arial"/>
        <charset val="1"/>
        <b val="1"/>
        <color rgb="FF7F6000"/>
        <sz val="10"/>
      </font>
      <fill>
        <patternFill>
          <bgColor rgb="FFFFF2CC"/>
        </patternFill>
      </fill>
    </dxf>
    <dxf>
      <font>
        <name val="Arial"/>
        <charset val="1"/>
        <b val="1"/>
        <color rgb="FF3C4043"/>
        <sz val="10"/>
      </font>
      <fill>
        <patternFill>
          <bgColor rgb="FFE8EAED"/>
        </patternFill>
      </fill>
    </dxf>
    <dxf>
      <font>
        <name val="Arial"/>
        <charset val="1"/>
        <b val="1"/>
        <color rgb="FF666666"/>
        <sz val="10"/>
      </font>
      <fill>
        <patternFill>
          <bgColor rgb="FFDDDDDD"/>
        </patternFill>
      </fill>
    </dxf>
    <dxf>
      <font>
        <name val="Arial"/>
        <charset val="1"/>
        <b val="1"/>
        <color rgb="FF994C00"/>
        <sz val="10"/>
      </font>
      <fill>
        <patternFill>
          <bgColor rgb="FFF9CB9C"/>
        </patternFill>
      </fill>
    </dxf>
    <dxf>
      <font>
        <name val="Arial"/>
        <charset val="1"/>
        <b val="1"/>
        <color rgb="FF741B47"/>
        <sz val="10"/>
      </font>
      <fill>
        <patternFill>
          <bgColor rgb="FFEAD1DC"/>
        </patternFill>
      </fill>
    </dxf>
    <dxf>
      <font>
        <name val="Arial"/>
        <charset val="1"/>
        <b val="1"/>
        <color rgb="FF999999"/>
        <sz val="10"/>
      </font>
      <fill>
        <patternFill>
          <bgColor rgb="FFEFEFEF"/>
        </patternFill>
      </fill>
    </dxf>
    <dxf>
      <font>
        <name val="Arial"/>
        <charset val="1"/>
        <b val="1"/>
        <color rgb="FF0B5345"/>
        <sz val="10"/>
      </font>
      <fill>
        <patternFill>
          <bgColor rgb="FFB7E1CD"/>
        </patternFill>
      </fill>
    </dxf>
    <dxf>
      <font>
        <name val="Arial"/>
        <charset val="1"/>
        <b val="1"/>
        <color rgb="FF990000"/>
        <sz val="10"/>
      </font>
      <fill>
        <patternFill>
          <bgColor rgb="FFF4CCCC"/>
        </patternFill>
      </fill>
    </dxf>
    <dxf>
      <font>
        <name val="Arial"/>
        <charset val="1"/>
        <b val="1"/>
        <color rgb="FF274E13"/>
        <sz val="10"/>
      </font>
      <fill>
        <patternFill>
          <bgColor rgb="FFD9EAD3"/>
        </patternFill>
      </fill>
    </dxf>
    <dxf>
      <font>
        <name val="Arial"/>
        <charset val="1"/>
        <b val="1"/>
        <color rgb="FF8A5300"/>
        <sz val="10"/>
      </font>
      <fill>
        <patternFill>
          <bgColor rgb="FFFFE0B2"/>
        </patternFill>
      </fill>
    </dxf>
    <dxf>
      <font>
        <name val="Arial"/>
        <charset val="1"/>
        <b val="1"/>
        <color rgb="FF0C5460"/>
        <sz val="10"/>
      </font>
      <fill>
        <patternFill>
          <bgColor rgb="FFD0E0E3"/>
        </patternFill>
      </fill>
    </dxf>
    <dxf>
      <font>
        <name val="Arial"/>
        <charset val="1"/>
        <b val="1"/>
        <color rgb="FF3D1F87"/>
        <sz val="10"/>
      </font>
      <fill>
        <patternFill>
          <bgColor rgb="FFD9D2E9"/>
        </patternFill>
      </fill>
    </dxf>
    <dxf>
      <font>
        <name val="Arial"/>
        <charset val="1"/>
        <b val="1"/>
        <color rgb="FF1155CC"/>
        <sz val="10"/>
      </font>
      <fill>
        <patternFill>
          <bgColor rgb="FFCFE2F3"/>
        </patternFill>
      </fill>
    </dxf>
    <dxf>
      <font>
        <name val="Arial"/>
        <charset val="1"/>
        <b val="1"/>
        <color rgb="FF783F04"/>
        <sz val="10"/>
      </font>
      <fill>
        <patternFill>
          <bgColor rgb="FFFCE5CD"/>
        </patternFill>
      </fill>
    </dxf>
    <dxf>
      <font>
        <name val="Arial"/>
        <charset val="1"/>
        <b val="1"/>
        <color rgb="FF7F6000"/>
        <sz val="10"/>
      </font>
      <fill>
        <patternFill>
          <bgColor rgb="FFFFF2CC"/>
        </patternFill>
      </fill>
    </dxf>
    <dxf>
      <font>
        <name val="Arial"/>
        <charset val="1"/>
        <b val="1"/>
        <color rgb="FF3C4043"/>
        <sz val="10"/>
      </font>
      <fill>
        <patternFill>
          <bgColor rgb="FFE8EAED"/>
        </patternFill>
      </fill>
    </dxf>
    <dxf>
      <font>
        <name val="Arial"/>
        <charset val="1"/>
        <color rgb="FF9AA0A6"/>
        <sz val="10"/>
      </font>
    </dxf>
    <dxf>
      <fill>
        <patternFill>
          <bgColor rgb="FFB7E1CD"/>
        </patternFill>
      </fill>
    </dxf>
  </dxfs>
  <tableStyles count="0" defaultTableStyle="TableStyleMedium2" defaultPivotStyle="PivotStyleLight16"/>
  <colors>
    <indexedColors>
      <rgbColor rgb="FF000000"/>
      <rgbColor rgb="FFFFFFFF"/>
      <rgbColor rgb="FFFF0000"/>
      <rgbColor rgb="FF00FF00"/>
      <rgbColor rgb="FF0000FF"/>
      <rgbColor rgb="FFFCE5CD"/>
      <rgbColor rgb="FFFF00FF"/>
      <rgbColor rgb="FF00FFFF"/>
      <rgbColor rgb="FF990000"/>
      <rgbColor rgb="FF1F6B3F"/>
      <rgbColor rgb="FF000080"/>
      <rgbColor rgb="FF7F6000"/>
      <rgbColor rgb="FF800080"/>
      <rgbColor rgb="FF0C5460"/>
      <rgbColor rgb="FFD0D5DB"/>
      <rgbColor rgb="FF7A5B0F"/>
      <rgbColor rgb="FF9AA0A6"/>
      <rgbColor rgb="FF783F04"/>
      <rgbColor rgb="FFFFFDE7"/>
      <rgbColor rgb="FFEAF6EE"/>
      <rgbColor rgb="FF741B47"/>
      <rgbColor rgb="FFDDDDDD"/>
      <rgbColor rgb="FF1155CC"/>
      <rgbColor rgb="FFD9D2E9"/>
      <rgbColor rgb="FF000080"/>
      <rgbColor rgb="FFFF00FF"/>
      <rgbColor rgb="FFFEF6E0"/>
      <rgbColor rgb="FF00FFFF"/>
      <rgbColor rgb="FF800080"/>
      <rgbColor rgb="FF8A5300"/>
      <rgbColor rgb="FF008080"/>
      <rgbColor rgb="FF0000FF"/>
      <rgbColor rgb="FF00CCFF"/>
      <rgbColor rgb="FFCFE2F3"/>
      <rgbColor rgb="FFD9EAD3"/>
      <rgbColor rgb="FFFFF2CC"/>
      <rgbColor rgb="FFB7E1CD"/>
      <rgbColor rgb="FFF4CCCC"/>
      <rgbColor rgb="FFEAD1DC"/>
      <rgbColor rgb="FFF9CB9C"/>
      <rgbColor rgb="FF3366FF"/>
      <rgbColor rgb="FFEFEFEF"/>
      <rgbColor rgb="FFD0E0E3"/>
      <rgbColor rgb="FFFFE0B2"/>
      <rgbColor rgb="FFE8EAED"/>
      <rgbColor rgb="FFFDEEEA"/>
      <rgbColor rgb="FF666666"/>
      <rgbColor rgb="FF999999"/>
      <rgbColor rgb="FF2B3A55"/>
      <rgbColor rgb="FF339966"/>
      <rgbColor rgb="FF0B5345"/>
      <rgbColor rgb="FF274E13"/>
      <rgbColor rgb="FF8A3A24"/>
      <rgbColor rgb="FF994C00"/>
      <rgbColor rgb="FF3D1F87"/>
      <rgbColor rgb="FF3C404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Stories by status</a:t>
            </a:r>
          </a:p>
        </rich>
      </tx>
    </title>
    <plotArea>
      <pieChart>
        <varyColors val="1"/>
        <ser>
          <idx val="0"/>
          <order val="0"/>
          <tx>
            <strRef>
              <f>'Dashboard'!B60</f>
            </strRef>
          </tx>
          <spPr>
            <a:ln>
              <a:prstDash val="solid"/>
            </a:ln>
          </spPr>
          <cat>
            <numRef>
              <f>'Dashboard'!$A$61:$A$73</f>
            </numRef>
          </cat>
          <val>
            <numRef>
              <f>'Dashboard'!$B$61:$B$73</f>
            </numRef>
          </val>
        </ser>
        <dLbls>
          <showVal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Effort by phase — closed vs remaining</a:t>
            </a:r>
          </a:p>
        </rich>
      </tx>
    </title>
    <plotArea>
      <barChart>
        <barDir val="col"/>
        <grouping val="stacked"/>
        <ser>
          <idx val="0"/>
          <order val="0"/>
          <tx>
            <strRef>
              <f>'Dashboard'!B76</f>
            </strRef>
          </tx>
          <spPr>
            <a:ln>
              <a:prstDash val="solid"/>
            </a:ln>
          </spPr>
          <cat>
            <numRef>
              <f>'Dashboard'!$A$77:$A$85</f>
            </numRef>
          </cat>
          <val>
            <numRef>
              <f>'Dashboard'!$B$77:$B$85</f>
            </numRef>
          </val>
        </ser>
        <ser>
          <idx val="1"/>
          <order val="1"/>
          <tx>
            <strRef>
              <f>'Dashboard'!C76</f>
            </strRef>
          </tx>
          <spPr>
            <a:ln>
              <a:prstDash val="solid"/>
            </a:ln>
          </spPr>
          <cat>
            <numRef>
              <f>'Dashboard'!$A$77:$A$85</f>
            </numRef>
          </cat>
          <val>
            <numRef>
              <f>'Dashboard'!$C$77:$C$85</f>
            </numRef>
          </val>
        </ser>
        <gapWidth val="150"/>
        <overlap val="100"/>
        <axId val="10"/>
        <axId val="100"/>
      </barChart>
      <catAx>
        <axId val="10"/>
        <scaling>
          <orientation val="minMax"/>
        </scaling>
        <axPos val="l"/>
        <title>
          <tx>
            <rich>
              <a:bodyPr/>
              <a:p>
                <a:pPr>
                  <a:defRPr/>
                </a:pPr>
                <a:r>
                  <a:t>Phase</a:t>
                </a:r>
              </a:p>
            </rich>
          </tx>
        </title>
        <majorTickMark val="none"/>
        <minorTickMark val="none"/>
        <crossAx val="100"/>
        <lblOffset val="100"/>
      </catAx>
      <valAx>
        <axId val="100"/>
        <scaling>
          <orientation val="minMax"/>
        </scaling>
        <axPos val="l"/>
        <majorGridlines/>
        <title>
          <tx>
            <rich>
              <a:bodyPr/>
              <a:p>
                <a:pPr>
                  <a:defRPr/>
                </a:pPr>
                <a:r>
                  <a:t>Days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Completion by epic</a:t>
            </a:r>
          </a:p>
        </rich>
      </tx>
    </title>
    <plotArea>
      <barChart>
        <barDir val="bar"/>
        <grouping val="clustered"/>
        <ser>
          <idx val="0"/>
          <order val="0"/>
          <tx>
            <strRef>
              <f>'Dashboard'!B88</f>
            </strRef>
          </tx>
          <spPr>
            <a:ln>
              <a:prstDash val="solid"/>
            </a:ln>
          </spPr>
          <cat>
            <numRef>
              <f>'Dashboard'!$A$89:$A$112</f>
            </numRef>
          </cat>
          <val>
            <numRef>
              <f>'Dashboard'!$B$89:$B$112</f>
            </numRef>
          </val>
        </ser>
        <gapWidth val="150"/>
        <axId val="10"/>
        <axId val="100"/>
      </barChart>
      <catAx>
        <axId val="10"/>
        <scaling>
          <orientation val="minMax"/>
        </scaling>
        <axPos val="l"/>
        <title>
          <tx>
            <rich>
              <a:bodyPr/>
              <a:p>
                <a:pPr>
                  <a:defRPr/>
                </a:pPr>
                <a:r>
                  <a:t>% complete</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E01 security findings by severity (all fixed)</a:t>
            </a:r>
          </a:p>
        </rich>
      </tx>
    </title>
    <plotArea>
      <barChart>
        <barDir val="col"/>
        <grouping val="clustered"/>
        <ser>
          <idx val="0"/>
          <order val="0"/>
          <spPr>
            <a:ln>
              <a:prstDash val="solid"/>
            </a:ln>
          </spPr>
          <cat>
            <numRef>
              <f>'Dashboard'!$A$118:$A$121</f>
            </numRef>
          </cat>
          <val>
            <numRef>
              <f>'Dashboard'!$B$118:$B$121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E01 QA outcomes</a:t>
            </a:r>
          </a:p>
        </rich>
      </tx>
    </title>
    <plotArea>
      <pieChart>
        <varyColors val="1"/>
        <ser>
          <idx val="0"/>
          <order val="0"/>
          <tx>
            <strRef>
              <f>'QA Results'!J4</f>
            </strRef>
          </tx>
          <spPr>
            <a:ln>
              <a:prstDash val="solid"/>
            </a:ln>
          </spPr>
          <cat>
            <numRef>
              <f>'QA Results'!$I$5:$I$7</f>
            </numRef>
          </cat>
          <val>
            <numRef>
              <f>'QA Results'!$J$5:$J$7</f>
            </numRef>
          </val>
        </ser>
        <dLbls>
          <showVal val="1"/>
        </dLbls>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Findings by severity (all fixed)</a:t>
            </a:r>
          </a:p>
        </rich>
      </tx>
    </title>
    <plotArea>
      <barChart>
        <barDir val="col"/>
        <grouping val="clustered"/>
        <ser>
          <idx val="0"/>
          <order val="0"/>
          <tx>
            <strRef>
              <f>'Security Findings'!K4</f>
            </strRef>
          </tx>
          <spPr>
            <a:ln>
              <a:prstDash val="solid"/>
            </a:ln>
          </spPr>
          <cat>
            <numRef>
              <f>'Security Findings'!$J$5:$J$8</f>
            </numRef>
          </cat>
          <val>
            <numRef>
              <f>'Security Findings'!$K$5:$K$8</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59</row>
      <rowOff>0</rowOff>
    </from>
    <ext cx="504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75</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87</row>
      <rowOff>0</rowOff>
    </from>
    <ext cx="5040000" cy="576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114</row>
      <rowOff>0</rowOff>
    </from>
    <ext cx="504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8</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9</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L123"/>
  <sheetViews>
    <sheetView zoomScaleNormal="100" workbookViewId="0">
      <pane ySplit="3" topLeftCell="A30" activePane="bottomLeft" state="frozen"/>
      <selection pane="bottomLeft" activeCell="A1" sqref="A1"/>
    </sheetView>
  </sheetViews>
  <sheetFormatPr baseColWidth="8" defaultColWidth="8.6640625" defaultRowHeight="14.4"/>
  <cols>
    <col width="26" customWidth="1" style="59" min="1" max="1"/>
    <col width="13" customWidth="1" style="59" min="2" max="4"/>
    <col width="13" customWidth="1" style="59" min="3" max="3"/>
    <col width="3" customWidth="1" style="59" min="5" max="5"/>
    <col width="8" customWidth="1" style="59" min="6" max="6"/>
    <col width="27" customWidth="1" style="59" min="7" max="7"/>
    <col width="8" customWidth="1" style="59" min="8" max="8"/>
    <col width="9" customWidth="1" style="59" min="9" max="9"/>
    <col width="10" customWidth="1" style="59" min="10" max="10"/>
    <col width="9" customWidth="1" style="59" min="11" max="12"/>
  </cols>
  <sheetData>
    <row r="1" ht="22.8" customHeight="1" s="59">
      <c r="A1" s="1" t="inlineStr">
        <is>
          <t>BACKLOG DASHBOARD</t>
        </is>
      </c>
    </row>
    <row r="2">
      <c r="A2" s="2" t="inlineStr">
        <is>
          <t>Every figure below is a live formula over the Backlog sheet — change a Status there and this updates.</t>
        </is>
      </c>
    </row>
    <row r="4">
      <c r="A4" s="3" t="inlineStr">
        <is>
          <t>OVERALL</t>
        </is>
      </c>
      <c r="F4" s="3" t="inlineStr">
        <is>
          <t>BY EPIC</t>
        </is>
      </c>
    </row>
    <row r="5" ht="25.5" customHeight="1" s="59">
      <c r="A5" s="4" t="inlineStr">
        <is>
          <t>Metric</t>
        </is>
      </c>
      <c r="B5" s="4" t="inlineStr">
        <is>
          <t>Value</t>
        </is>
      </c>
      <c r="F5" s="4" t="inlineStr">
        <is>
          <t>Epic</t>
        </is>
      </c>
      <c r="G5" s="4" t="inlineStr">
        <is>
          <t>Name</t>
        </is>
      </c>
      <c r="H5" s="4" t="inlineStr">
        <is>
          <t>Phase</t>
        </is>
      </c>
      <c r="I5" s="4" t="inlineStr">
        <is>
          <t>Stories</t>
        </is>
      </c>
      <c r="J5" s="4" t="inlineStr">
        <is>
          <t>Est. days</t>
        </is>
      </c>
      <c r="K5" s="4" t="inlineStr">
        <is>
          <t>Closed</t>
        </is>
      </c>
      <c r="L5" s="4" t="inlineStr">
        <is>
          <t>% Done</t>
        </is>
      </c>
    </row>
    <row r="6">
      <c r="A6" s="5" t="inlineStr">
        <is>
          <t>Total stories</t>
        </is>
      </c>
      <c r="B6" s="6">
        <f>COUNTA(Backlog!$A$5:$A$219)</f>
        <v/>
      </c>
      <c r="F6" s="7" t="inlineStr">
        <is>
          <t>E00</t>
        </is>
      </c>
      <c r="G6" s="5" t="inlineStr">
        <is>
          <t>FOUNDATION</t>
        </is>
      </c>
      <c r="H6" s="8" t="inlineStr">
        <is>
          <t>0</t>
        </is>
      </c>
      <c r="I6" s="8">
        <f>COUNTIF(Backlog!$B$5:$B$219,$F6)</f>
        <v/>
      </c>
      <c r="J6" s="9">
        <f>SUMIF(Backlog!$B$5:$B$219,$F6,Backlog!$J$5:$J$219)</f>
        <v/>
      </c>
      <c r="K6" s="8">
        <f>COUNTIFS(Backlog!$B$5:$B$219,$F6,Backlog!$E$5:$E$219,"Closed")</f>
        <v/>
      </c>
      <c r="L6" s="10">
        <f>IFERROR($K6/$I6,0)</f>
        <v/>
      </c>
    </row>
    <row r="7">
      <c r="A7" s="5" t="inlineStr">
        <is>
          <t>Total estimated days</t>
        </is>
      </c>
      <c r="B7" s="11">
        <f>SUM(Backlog!$J$5:$J$219)</f>
        <v/>
      </c>
      <c r="F7" s="7" t="inlineStr">
        <is>
          <t>E01</t>
        </is>
      </c>
      <c r="G7" s="5" t="inlineStr">
        <is>
          <t>PERSISTENCE &amp; DATA LAYER</t>
        </is>
      </c>
      <c r="H7" s="8" t="inlineStr">
        <is>
          <t>1</t>
        </is>
      </c>
      <c r="I7" s="8">
        <f>COUNTIF(Backlog!$B$5:$B$219,$F7)</f>
        <v/>
      </c>
      <c r="J7" s="9">
        <f>SUMIF(Backlog!$B$5:$B$219,$F7,Backlog!$J$5:$J$219)</f>
        <v/>
      </c>
      <c r="K7" s="8">
        <f>COUNTIFS(Backlog!$B$5:$B$219,$F7,Backlog!$E$5:$E$219,"Closed")</f>
        <v/>
      </c>
      <c r="L7" s="10">
        <f>IFERROR($K7/$I7,0)</f>
        <v/>
      </c>
    </row>
    <row r="8">
      <c r="A8" s="5" t="inlineStr">
        <is>
          <t>Closed</t>
        </is>
      </c>
      <c r="B8" s="6">
        <f>COUNTIF(Backlog!$E$5:$E$219,"Closed")</f>
        <v/>
      </c>
      <c r="F8" s="7" t="inlineStr">
        <is>
          <t>E02</t>
        </is>
      </c>
      <c r="G8" s="5" t="inlineStr">
        <is>
          <t>BROKER INTEGRATION</t>
        </is>
      </c>
      <c r="H8" s="8" t="inlineStr">
        <is>
          <t>1</t>
        </is>
      </c>
      <c r="I8" s="8">
        <f>COUNTIF(Backlog!$B$5:$B$219,$F8)</f>
        <v/>
      </c>
      <c r="J8" s="9">
        <f>SUMIF(Backlog!$B$5:$B$219,$F8,Backlog!$J$5:$J$219)</f>
        <v/>
      </c>
      <c r="K8" s="8">
        <f>COUNTIFS(Backlog!$B$5:$B$219,$F8,Backlog!$E$5:$E$219,"Closed")</f>
        <v/>
      </c>
      <c r="L8" s="10">
        <f>IFERROR($K8/$I8,0)</f>
        <v/>
      </c>
    </row>
    <row r="9">
      <c r="A9" s="5" t="inlineStr">
        <is>
          <t>In flight (Active→QA)</t>
        </is>
      </c>
      <c r="B9" s="6">
        <f>SUMPRODUCT(COUNTIF(Backlog!$E$5:$E$219,{"Active","Development In-Progress","Development Completed","QA In-Progress","QA-Success"}))</f>
        <v/>
      </c>
      <c r="F9" s="7" t="inlineStr">
        <is>
          <t>E03</t>
        </is>
      </c>
      <c r="G9" s="5" t="inlineStr">
        <is>
          <t>HISTORICAL DATA</t>
        </is>
      </c>
      <c r="H9" s="8" t="inlineStr">
        <is>
          <t>1</t>
        </is>
      </c>
      <c r="I9" s="8">
        <f>COUNTIF(Backlog!$B$5:$B$219,$F9)</f>
        <v/>
      </c>
      <c r="J9" s="9">
        <f>SUMIF(Backlog!$B$5:$B$219,$F9,Backlog!$J$5:$J$219)</f>
        <v/>
      </c>
      <c r="K9" s="8">
        <f>COUNTIFS(Backlog!$B$5:$B$219,$F9,Backlog!$E$5:$E$219,"Closed")</f>
        <v/>
      </c>
      <c r="L9" s="10">
        <f>IFERROR($K9/$I9,0)</f>
        <v/>
      </c>
    </row>
    <row r="10">
      <c r="A10" s="5" t="inlineStr">
        <is>
          <t>Not started (New)</t>
        </is>
      </c>
      <c r="B10" s="6">
        <f>COUNTIF(Backlog!$E$5:$E$219,"New")</f>
        <v/>
      </c>
      <c r="F10" s="7" t="inlineStr">
        <is>
          <t>E04</t>
        </is>
      </c>
      <c r="G10" s="5" t="inlineStr">
        <is>
          <t>INDIA HAZARD LISTS</t>
        </is>
      </c>
      <c r="H10" s="8" t="inlineStr">
        <is>
          <t>1</t>
        </is>
      </c>
      <c r="I10" s="8">
        <f>COUNTIF(Backlog!$B$5:$B$219,$F10)</f>
        <v/>
      </c>
      <c r="J10" s="9">
        <f>SUMIF(Backlog!$B$5:$B$219,$F10,Backlog!$J$5:$J$219)</f>
        <v/>
      </c>
      <c r="K10" s="8">
        <f>COUNTIFS(Backlog!$B$5:$B$219,$F10,Backlog!$E$5:$E$219,"Closed")</f>
        <v/>
      </c>
      <c r="L10" s="10">
        <f>IFERROR($K10/$I10,0)</f>
        <v/>
      </c>
    </row>
    <row r="11">
      <c r="A11" s="5" t="inlineStr">
        <is>
          <t>Blocked / On Hold</t>
        </is>
      </c>
      <c r="B11" s="6">
        <f>COUNTIF(Backlog!$E$5:$E$219,"Blocked")+COUNTIF(Backlog!$E$5:$E$219,"On Hold")</f>
        <v/>
      </c>
      <c r="F11" s="7" t="inlineStr">
        <is>
          <t>E05</t>
        </is>
      </c>
      <c r="G11" s="5" t="inlineStr">
        <is>
          <t>MARKET DATA INGESTION</t>
        </is>
      </c>
      <c r="H11" s="8" t="inlineStr">
        <is>
          <t>1</t>
        </is>
      </c>
      <c r="I11" s="8">
        <f>COUNTIF(Backlog!$B$5:$B$219,$F11)</f>
        <v/>
      </c>
      <c r="J11" s="9">
        <f>SUMIF(Backlog!$B$5:$B$219,$F11,Backlog!$J$5:$J$219)</f>
        <v/>
      </c>
      <c r="K11" s="8">
        <f>COUNTIFS(Backlog!$B$5:$B$219,$F11,Backlog!$E$5:$E$219,"Closed")</f>
        <v/>
      </c>
      <c r="L11" s="10">
        <f>IFERROR($K11/$I11,0)</f>
        <v/>
      </c>
    </row>
    <row r="12">
      <c r="A12" s="5" t="inlineStr">
        <is>
          <t>% Complete</t>
        </is>
      </c>
      <c r="B12" s="12">
        <f>IFERROR(COUNTIF(Backlog!$E$5:$E$219,"Closed")/COUNTA(Backlog!$A$5:$A$219),0)</f>
        <v/>
      </c>
      <c r="F12" s="7" t="inlineStr">
        <is>
          <t>E06</t>
        </is>
      </c>
      <c r="G12" s="5" t="inlineStr">
        <is>
          <t>TECHNICAL ANALYSIS ENGINE</t>
        </is>
      </c>
      <c r="H12" s="8" t="inlineStr">
        <is>
          <t>2</t>
        </is>
      </c>
      <c r="I12" s="8">
        <f>COUNTIF(Backlog!$B$5:$B$219,$F12)</f>
        <v/>
      </c>
      <c r="J12" s="9">
        <f>SUMIF(Backlog!$B$5:$B$219,$F12,Backlog!$J$5:$J$219)</f>
        <v/>
      </c>
      <c r="K12" s="8">
        <f>COUNTIFS(Backlog!$B$5:$B$219,$F12,Backlog!$E$5:$E$219,"Closed")</f>
        <v/>
      </c>
      <c r="L12" s="10">
        <f>IFERROR($K12/$I12,0)</f>
        <v/>
      </c>
    </row>
    <row r="13">
      <c r="A13" s="5" t="inlineStr">
        <is>
          <t>Days closed</t>
        </is>
      </c>
      <c r="B13" s="11">
        <f>SUMIF(Backlog!$E$5:$E$219,"Closed",Backlog!$J$5:$J$219)</f>
        <v/>
      </c>
      <c r="F13" s="7" t="inlineStr">
        <is>
          <t>E07</t>
        </is>
      </c>
      <c r="G13" s="5" t="inlineStr">
        <is>
          <t>UNIVERSE &amp; SCORING</t>
        </is>
      </c>
      <c r="H13" s="8" t="inlineStr">
        <is>
          <t>2</t>
        </is>
      </c>
      <c r="I13" s="8">
        <f>COUNTIF(Backlog!$B$5:$B$219,$F13)</f>
        <v/>
      </c>
      <c r="J13" s="9">
        <f>SUMIF(Backlog!$B$5:$B$219,$F13,Backlog!$J$5:$J$219)</f>
        <v/>
      </c>
      <c r="K13" s="8">
        <f>COUNTIFS(Backlog!$B$5:$B$219,$F13,Backlog!$E$5:$E$219,"Closed")</f>
        <v/>
      </c>
      <c r="L13" s="10">
        <f>IFERROR($K13/$I13,0)</f>
        <v/>
      </c>
    </row>
    <row r="14">
      <c r="A14" s="5" t="inlineStr">
        <is>
          <t>Days remaining</t>
        </is>
      </c>
      <c r="B14" s="11">
        <f>SUM(Backlog!$J$5:$J$219)-SUMIF(Backlog!$E$5:$E$219,"Closed",Backlog!$J$5:$J$219)</f>
        <v/>
      </c>
      <c r="F14" s="7" t="inlineStr">
        <is>
          <t>E08</t>
        </is>
      </c>
      <c r="G14" s="5" t="inlineStr">
        <is>
          <t>NEWS INTELLIGENCE</t>
        </is>
      </c>
      <c r="H14" s="8" t="inlineStr">
        <is>
          <t>3</t>
        </is>
      </c>
      <c r="I14" s="8">
        <f>COUNTIF(Backlog!$B$5:$B$219,$F14)</f>
        <v/>
      </c>
      <c r="J14" s="9">
        <f>SUMIF(Backlog!$B$5:$B$219,$F14,Backlog!$J$5:$J$219)</f>
        <v/>
      </c>
      <c r="K14" s="8">
        <f>COUNTIFS(Backlog!$B$5:$B$219,$F14,Backlog!$E$5:$E$219,"Closed")</f>
        <v/>
      </c>
      <c r="L14" s="10">
        <f>IFERROR($K14/$I14,0)</f>
        <v/>
      </c>
    </row>
    <row r="15">
      <c r="F15" s="7" t="inlineStr">
        <is>
          <t>E09</t>
        </is>
      </c>
      <c r="G15" s="5" t="inlineStr">
        <is>
          <t>MACRO CONTEXT</t>
        </is>
      </c>
      <c r="H15" s="8" t="inlineStr">
        <is>
          <t>3</t>
        </is>
      </c>
      <c r="I15" s="8">
        <f>COUNTIF(Backlog!$B$5:$B$219,$F15)</f>
        <v/>
      </c>
      <c r="J15" s="9">
        <f>SUMIF(Backlog!$B$5:$B$219,$F15,Backlog!$J$5:$J$219)</f>
        <v/>
      </c>
      <c r="K15" s="8">
        <f>COUNTIFS(Backlog!$B$5:$B$219,$F15,Backlog!$E$5:$E$219,"Closed")</f>
        <v/>
      </c>
      <c r="L15" s="10">
        <f>IFERROR($K15/$I15,0)</f>
        <v/>
      </c>
    </row>
    <row r="16">
      <c r="A16" s="3" t="inlineStr">
        <is>
          <t>BY STATUS</t>
        </is>
      </c>
      <c r="F16" s="7" t="inlineStr">
        <is>
          <t>E10</t>
        </is>
      </c>
      <c r="G16" s="5" t="inlineStr">
        <is>
          <t>AI LAYER</t>
        </is>
      </c>
      <c r="H16" s="8" t="inlineStr">
        <is>
          <t>3</t>
        </is>
      </c>
      <c r="I16" s="8">
        <f>COUNTIF(Backlog!$B$5:$B$219,$F16)</f>
        <v/>
      </c>
      <c r="J16" s="9">
        <f>SUMIF(Backlog!$B$5:$B$219,$F16,Backlog!$J$5:$J$219)</f>
        <v/>
      </c>
      <c r="K16" s="8">
        <f>COUNTIFS(Backlog!$B$5:$B$219,$F16,Backlog!$E$5:$E$219,"Closed")</f>
        <v/>
      </c>
      <c r="L16" s="10">
        <f>IFERROR($K16/$I16,0)</f>
        <v/>
      </c>
    </row>
    <row r="17" ht="25.5" customHeight="1" s="59">
      <c r="A17" s="4" t="inlineStr">
        <is>
          <t>Status</t>
        </is>
      </c>
      <c r="B17" s="4" t="inlineStr">
        <is>
          <t>Stories</t>
        </is>
      </c>
      <c r="C17" s="4" t="inlineStr">
        <is>
          <t>% of total</t>
        </is>
      </c>
      <c r="D17" s="4" t="inlineStr">
        <is>
          <t>Est. days</t>
        </is>
      </c>
      <c r="F17" s="7" t="inlineStr">
        <is>
          <t>E11</t>
        </is>
      </c>
      <c r="G17" s="5" t="inlineStr">
        <is>
          <t>PRE-MARKET ENGINE</t>
        </is>
      </c>
      <c r="H17" s="8" t="inlineStr">
        <is>
          <t>3</t>
        </is>
      </c>
      <c r="I17" s="8">
        <f>COUNTIF(Backlog!$B$5:$B$219,$F17)</f>
        <v/>
      </c>
      <c r="J17" s="9">
        <f>SUMIF(Backlog!$B$5:$B$219,$F17,Backlog!$J$5:$J$219)</f>
        <v/>
      </c>
      <c r="K17" s="8">
        <f>COUNTIFS(Backlog!$B$5:$B$219,$F17,Backlog!$E$5:$E$219,"Closed")</f>
        <v/>
      </c>
      <c r="L17" s="10">
        <f>IFERROR($K17/$I17,0)</f>
        <v/>
      </c>
    </row>
    <row r="18">
      <c r="A18" s="13" t="inlineStr">
        <is>
          <t>New</t>
        </is>
      </c>
      <c r="B18" s="8">
        <f>COUNTIF(Backlog!$E$5:$E$219,$A18)</f>
        <v/>
      </c>
      <c r="C18" s="14">
        <f>IFERROR($B18/COUNTA(Backlog!$A$5:$A$219),0)</f>
        <v/>
      </c>
      <c r="D18" s="9">
        <f>SUMIF(Backlog!$E$5:$E$219,$A18,Backlog!$J$5:$J$219)</f>
        <v/>
      </c>
      <c r="F18" s="7" t="inlineStr">
        <is>
          <t>E12</t>
        </is>
      </c>
      <c r="G18" s="5" t="inlineStr">
        <is>
          <t>STRATEGY ENGINE</t>
        </is>
      </c>
      <c r="H18" s="8" t="inlineStr">
        <is>
          <t>5</t>
        </is>
      </c>
      <c r="I18" s="8">
        <f>COUNTIF(Backlog!$B$5:$B$219,$F18)</f>
        <v/>
      </c>
      <c r="J18" s="9">
        <f>SUMIF(Backlog!$B$5:$B$219,$F18,Backlog!$J$5:$J$219)</f>
        <v/>
      </c>
      <c r="K18" s="8">
        <f>COUNTIFS(Backlog!$B$5:$B$219,$F18,Backlog!$E$5:$E$219,"Closed")</f>
        <v/>
      </c>
      <c r="L18" s="10">
        <f>IFERROR($K18/$I18,0)</f>
        <v/>
      </c>
    </row>
    <row r="19">
      <c r="A19" s="15" t="inlineStr">
        <is>
          <t>Business Review</t>
        </is>
      </c>
      <c r="B19" s="8">
        <f>COUNTIF(Backlog!$E$5:$E$219,$A19)</f>
        <v/>
      </c>
      <c r="C19" s="14">
        <f>IFERROR($B19/COUNTA(Backlog!$A$5:$A$219),0)</f>
        <v/>
      </c>
      <c r="D19" s="9">
        <f>SUMIF(Backlog!$E$5:$E$219,$A19,Backlog!$J$5:$J$219)</f>
        <v/>
      </c>
      <c r="F19" s="7" t="inlineStr">
        <is>
          <t>E13</t>
        </is>
      </c>
      <c r="G19" s="5" t="inlineStr">
        <is>
          <t>SIGNAL ENGINE</t>
        </is>
      </c>
      <c r="H19" s="8" t="inlineStr">
        <is>
          <t>4</t>
        </is>
      </c>
      <c r="I19" s="8">
        <f>COUNTIF(Backlog!$B$5:$B$219,$F19)</f>
        <v/>
      </c>
      <c r="J19" s="9">
        <f>SUMIF(Backlog!$B$5:$B$219,$F19,Backlog!$J$5:$J$219)</f>
        <v/>
      </c>
      <c r="K19" s="8">
        <f>COUNTIFS(Backlog!$B$5:$B$219,$F19,Backlog!$E$5:$E$219,"Closed")</f>
        <v/>
      </c>
      <c r="L19" s="10">
        <f>IFERROR($K19/$I19,0)</f>
        <v/>
      </c>
    </row>
    <row r="20">
      <c r="A20" s="16" t="inlineStr">
        <is>
          <t>Business Approved</t>
        </is>
      </c>
      <c r="B20" s="8">
        <f>COUNTIF(Backlog!$E$5:$E$219,$A20)</f>
        <v/>
      </c>
      <c r="C20" s="14">
        <f>IFERROR($B20/COUNTA(Backlog!$A$5:$A$219),0)</f>
        <v/>
      </c>
      <c r="D20" s="9">
        <f>SUMIF(Backlog!$E$5:$E$219,$A20,Backlog!$J$5:$J$219)</f>
        <v/>
      </c>
      <c r="F20" s="7" t="inlineStr">
        <is>
          <t>E14</t>
        </is>
      </c>
      <c r="G20" s="5" t="inlineStr">
        <is>
          <t>RISK ENGINE</t>
        </is>
      </c>
      <c r="H20" s="8" t="inlineStr">
        <is>
          <t>5</t>
        </is>
      </c>
      <c r="I20" s="8">
        <f>COUNTIF(Backlog!$B$5:$B$219,$F20)</f>
        <v/>
      </c>
      <c r="J20" s="9">
        <f>SUMIF(Backlog!$B$5:$B$219,$F20,Backlog!$J$5:$J$219)</f>
        <v/>
      </c>
      <c r="K20" s="8">
        <f>COUNTIFS(Backlog!$B$5:$B$219,$F20,Backlog!$E$5:$E$219,"Closed")</f>
        <v/>
      </c>
      <c r="L20" s="10">
        <f>IFERROR($K20/$I20,0)</f>
        <v/>
      </c>
    </row>
    <row r="21">
      <c r="A21" s="17" t="inlineStr">
        <is>
          <t>Active</t>
        </is>
      </c>
      <c r="B21" s="8">
        <f>COUNTIF(Backlog!$E$5:$E$219,$A21)</f>
        <v/>
      </c>
      <c r="C21" s="14">
        <f>IFERROR($B21/COUNTA(Backlog!$A$5:$A$219),0)</f>
        <v/>
      </c>
      <c r="D21" s="9">
        <f>SUMIF(Backlog!$E$5:$E$219,$A21,Backlog!$J$5:$J$219)</f>
        <v/>
      </c>
      <c r="F21" s="7" t="inlineStr">
        <is>
          <t>E15</t>
        </is>
      </c>
      <c r="G21" s="5" t="inlineStr">
        <is>
          <t>EXECUTION &amp; POSITIONS</t>
        </is>
      </c>
      <c r="H21" s="8" t="inlineStr">
        <is>
          <t>5</t>
        </is>
      </c>
      <c r="I21" s="8">
        <f>COUNTIF(Backlog!$B$5:$B$219,$F21)</f>
        <v/>
      </c>
      <c r="J21" s="9">
        <f>SUMIF(Backlog!$B$5:$B$219,$F21,Backlog!$J$5:$J$219)</f>
        <v/>
      </c>
      <c r="K21" s="8">
        <f>COUNTIFS(Backlog!$B$5:$B$219,$F21,Backlog!$E$5:$E$219,"Closed")</f>
        <v/>
      </c>
      <c r="L21" s="10">
        <f>IFERROR($K21/$I21,0)</f>
        <v/>
      </c>
    </row>
    <row r="22">
      <c r="A22" s="18" t="inlineStr">
        <is>
          <t>Development In-Progress</t>
        </is>
      </c>
      <c r="B22" s="8">
        <f>COUNTIF(Backlog!$E$5:$E$219,$A22)</f>
        <v/>
      </c>
      <c r="C22" s="14">
        <f>IFERROR($B22/COUNTA(Backlog!$A$5:$A$219),0)</f>
        <v/>
      </c>
      <c r="D22" s="9">
        <f>SUMIF(Backlog!$E$5:$E$219,$A22,Backlog!$J$5:$J$219)</f>
        <v/>
      </c>
      <c r="F22" s="7" t="inlineStr">
        <is>
          <t>E16</t>
        </is>
      </c>
      <c r="G22" s="5" t="inlineStr">
        <is>
          <t>AUTONOMY &amp; APPROVAL</t>
        </is>
      </c>
      <c r="H22" s="8" t="inlineStr">
        <is>
          <t>5</t>
        </is>
      </c>
      <c r="I22" s="8">
        <f>COUNTIF(Backlog!$B$5:$B$219,$F22)</f>
        <v/>
      </c>
      <c r="J22" s="9">
        <f>SUMIF(Backlog!$B$5:$B$219,$F22,Backlog!$J$5:$J$219)</f>
        <v/>
      </c>
      <c r="K22" s="8">
        <f>COUNTIFS(Backlog!$B$5:$B$219,$F22,Backlog!$E$5:$E$219,"Closed")</f>
        <v/>
      </c>
      <c r="L22" s="10">
        <f>IFERROR($K22/$I22,0)</f>
        <v/>
      </c>
    </row>
    <row r="23">
      <c r="A23" s="19" t="inlineStr">
        <is>
          <t>Development Completed</t>
        </is>
      </c>
      <c r="B23" s="8">
        <f>COUNTIF(Backlog!$E$5:$E$219,$A23)</f>
        <v/>
      </c>
      <c r="C23" s="14">
        <f>IFERROR($B23/COUNTA(Backlog!$A$5:$A$219),0)</f>
        <v/>
      </c>
      <c r="D23" s="9">
        <f>SUMIF(Backlog!$E$5:$E$219,$A23,Backlog!$J$5:$J$219)</f>
        <v/>
      </c>
      <c r="F23" s="7" t="inlineStr">
        <is>
          <t>E17</t>
        </is>
      </c>
      <c r="G23" s="5" t="inlineStr">
        <is>
          <t>DASHBOARD UI</t>
        </is>
      </c>
      <c r="H23" s="8" t="inlineStr">
        <is>
          <t>4/6</t>
        </is>
      </c>
      <c r="I23" s="8">
        <f>COUNTIF(Backlog!$B$5:$B$219,$F23)</f>
        <v/>
      </c>
      <c r="J23" s="9">
        <f>SUMIF(Backlog!$B$5:$B$219,$F23,Backlog!$J$5:$J$219)</f>
        <v/>
      </c>
      <c r="K23" s="8">
        <f>COUNTIFS(Backlog!$B$5:$B$219,$F23,Backlog!$E$5:$E$219,"Closed")</f>
        <v/>
      </c>
      <c r="L23" s="10">
        <f>IFERROR($K23/$I23,0)</f>
        <v/>
      </c>
    </row>
    <row r="24">
      <c r="A24" s="20" t="inlineStr">
        <is>
          <t>QA In-Progress</t>
        </is>
      </c>
      <c r="B24" s="8">
        <f>COUNTIF(Backlog!$E$5:$E$219,$A24)</f>
        <v/>
      </c>
      <c r="C24" s="14">
        <f>IFERROR($B24/COUNTA(Backlog!$A$5:$A$219),0)</f>
        <v/>
      </c>
      <c r="D24" s="9">
        <f>SUMIF(Backlog!$E$5:$E$219,$A24,Backlog!$J$5:$J$219)</f>
        <v/>
      </c>
      <c r="F24" s="7" t="inlineStr">
        <is>
          <t>E18</t>
        </is>
      </c>
      <c r="G24" s="5" t="inlineStr">
        <is>
          <t>ADMIN UI</t>
        </is>
      </c>
      <c r="H24" s="8" t="inlineStr">
        <is>
          <t>6</t>
        </is>
      </c>
      <c r="I24" s="8">
        <f>COUNTIF(Backlog!$B$5:$B$219,$F24)</f>
        <v/>
      </c>
      <c r="J24" s="9">
        <f>SUMIF(Backlog!$B$5:$B$219,$F24,Backlog!$J$5:$J$219)</f>
        <v/>
      </c>
      <c r="K24" s="8">
        <f>COUNTIFS(Backlog!$B$5:$B$219,$F24,Backlog!$E$5:$E$219,"Closed")</f>
        <v/>
      </c>
      <c r="L24" s="10">
        <f>IFERROR($K24/$I24,0)</f>
        <v/>
      </c>
    </row>
    <row r="25">
      <c r="A25" s="21" t="inlineStr">
        <is>
          <t>QA-Success</t>
        </is>
      </c>
      <c r="B25" s="8">
        <f>COUNTIF(Backlog!$E$5:$E$219,$A25)</f>
        <v/>
      </c>
      <c r="C25" s="14">
        <f>IFERROR($B25/COUNTA(Backlog!$A$5:$A$219),0)</f>
        <v/>
      </c>
      <c r="D25" s="9">
        <f>SUMIF(Backlog!$E$5:$E$219,$A25,Backlog!$J$5:$J$219)</f>
        <v/>
      </c>
      <c r="F25" s="7" t="inlineStr">
        <is>
          <t>E19</t>
        </is>
      </c>
      <c r="G25" s="5" t="inlineStr">
        <is>
          <t>NOTIFICATIONS</t>
        </is>
      </c>
      <c r="H25" s="8" t="inlineStr">
        <is>
          <t>3/4</t>
        </is>
      </c>
      <c r="I25" s="8">
        <f>COUNTIF(Backlog!$B$5:$B$219,$F25)</f>
        <v/>
      </c>
      <c r="J25" s="9">
        <f>SUMIF(Backlog!$B$5:$B$219,$F25,Backlog!$J$5:$J$219)</f>
        <v/>
      </c>
      <c r="K25" s="8">
        <f>COUNTIFS(Backlog!$B$5:$B$219,$F25,Backlog!$E$5:$E$219,"Closed")</f>
        <v/>
      </c>
      <c r="L25" s="10">
        <f>IFERROR($K25/$I25,0)</f>
        <v/>
      </c>
    </row>
    <row r="26">
      <c r="A26" s="22" t="inlineStr">
        <is>
          <t>QA-Fail</t>
        </is>
      </c>
      <c r="B26" s="8">
        <f>COUNTIF(Backlog!$E$5:$E$219,$A26)</f>
        <v/>
      </c>
      <c r="C26" s="14">
        <f>IFERROR($B26/COUNTA(Backlog!$A$5:$A$219),0)</f>
        <v/>
      </c>
      <c r="D26" s="9">
        <f>SUMIF(Backlog!$E$5:$E$219,$A26,Backlog!$J$5:$J$219)</f>
        <v/>
      </c>
      <c r="F26" s="7" t="inlineStr">
        <is>
          <t>E20</t>
        </is>
      </c>
      <c r="G26" s="5" t="inlineStr">
        <is>
          <t>OBSERVABILITY</t>
        </is>
      </c>
      <c r="H26" s="8" t="inlineStr">
        <is>
          <t>6</t>
        </is>
      </c>
      <c r="I26" s="8">
        <f>COUNTIF(Backlog!$B$5:$B$219,$F26)</f>
        <v/>
      </c>
      <c r="J26" s="9">
        <f>SUMIF(Backlog!$B$5:$B$219,$F26,Backlog!$J$5:$J$219)</f>
        <v/>
      </c>
      <c r="K26" s="8">
        <f>COUNTIFS(Backlog!$B$5:$B$219,$F26,Backlog!$E$5:$E$219,"Closed")</f>
        <v/>
      </c>
      <c r="L26" s="10">
        <f>IFERROR($K26/$I26,0)</f>
        <v/>
      </c>
    </row>
    <row r="27">
      <c r="A27" s="23" t="inlineStr">
        <is>
          <t>Closed</t>
        </is>
      </c>
      <c r="B27" s="8">
        <f>COUNTIF(Backlog!$E$5:$E$219,$A27)</f>
        <v/>
      </c>
      <c r="C27" s="14">
        <f>IFERROR($B27/COUNTA(Backlog!$A$5:$A$219),0)</f>
        <v/>
      </c>
      <c r="D27" s="9">
        <f>SUMIF(Backlog!$E$5:$E$219,$A27,Backlog!$J$5:$J$219)</f>
        <v/>
      </c>
      <c r="F27" s="7" t="inlineStr">
        <is>
          <t>E21</t>
        </is>
      </c>
      <c r="G27" s="5" t="inlineStr">
        <is>
          <t>COMPLIANCE &amp; TAX</t>
        </is>
      </c>
      <c r="H27" s="8" t="inlineStr">
        <is>
          <t>6</t>
        </is>
      </c>
      <c r="I27" s="8">
        <f>COUNTIF(Backlog!$B$5:$B$219,$F27)</f>
        <v/>
      </c>
      <c r="J27" s="9">
        <f>SUMIF(Backlog!$B$5:$B$219,$F27,Backlog!$J$5:$J$219)</f>
        <v/>
      </c>
      <c r="K27" s="8">
        <f>COUNTIFS(Backlog!$B$5:$B$219,$F27,Backlog!$E$5:$E$219,"Closed")</f>
        <v/>
      </c>
      <c r="L27" s="10">
        <f>IFERROR($K27/$I27,0)</f>
        <v/>
      </c>
    </row>
    <row r="28">
      <c r="A28" s="24" t="inlineStr">
        <is>
          <t>Removed</t>
        </is>
      </c>
      <c r="B28" s="8">
        <f>COUNTIF(Backlog!$E$5:$E$219,$A28)</f>
        <v/>
      </c>
      <c r="C28" s="14">
        <f>IFERROR($B28/COUNTA(Backlog!$A$5:$A$219),0)</f>
        <v/>
      </c>
      <c r="D28" s="9">
        <f>SUMIF(Backlog!$E$5:$E$219,$A28,Backlog!$J$5:$J$219)</f>
        <v/>
      </c>
      <c r="F28" s="7" t="inlineStr">
        <is>
          <t>E22</t>
        </is>
      </c>
      <c r="G28" s="5" t="inlineStr">
        <is>
          <t>TESTING &amp; VALIDATION</t>
        </is>
      </c>
      <c r="H28" s="8" t="inlineStr">
        <is>
          <t>7</t>
        </is>
      </c>
      <c r="I28" s="8">
        <f>COUNTIF(Backlog!$B$5:$B$219,$F28)</f>
        <v/>
      </c>
      <c r="J28" s="9">
        <f>SUMIF(Backlog!$B$5:$B$219,$F28,Backlog!$J$5:$J$219)</f>
        <v/>
      </c>
      <c r="K28" s="8">
        <f>COUNTIFS(Backlog!$B$5:$B$219,$F28,Backlog!$E$5:$E$219,"Closed")</f>
        <v/>
      </c>
      <c r="L28" s="10">
        <f>IFERROR($K28/$I28,0)</f>
        <v/>
      </c>
    </row>
    <row r="29">
      <c r="A29" s="25" t="inlineStr">
        <is>
          <t>Moved to Backlog</t>
        </is>
      </c>
      <c r="B29" s="8">
        <f>COUNTIF(Backlog!$E$5:$E$219,$A29)</f>
        <v/>
      </c>
      <c r="C29" s="14">
        <f>IFERROR($B29/COUNTA(Backlog!$A$5:$A$219),0)</f>
        <v/>
      </c>
      <c r="D29" s="9">
        <f>SUMIF(Backlog!$E$5:$E$219,$A29,Backlog!$J$5:$J$219)</f>
        <v/>
      </c>
      <c r="F29" s="7" t="inlineStr">
        <is>
          <t>E23</t>
        </is>
      </c>
      <c r="G29" s="5" t="inlineStr">
        <is>
          <t>DEPLOYMENT &amp; OPS</t>
        </is>
      </c>
      <c r="H29" s="8" t="inlineStr">
        <is>
          <t>7/8</t>
        </is>
      </c>
      <c r="I29" s="8">
        <f>COUNTIF(Backlog!$B$5:$B$219,$F29)</f>
        <v/>
      </c>
      <c r="J29" s="9">
        <f>SUMIF(Backlog!$B$5:$B$219,$F29,Backlog!$J$5:$J$219)</f>
        <v/>
      </c>
      <c r="K29" s="8">
        <f>COUNTIFS(Backlog!$B$5:$B$219,$F29,Backlog!$E$5:$E$219,"Closed")</f>
        <v/>
      </c>
      <c r="L29" s="10">
        <f>IFERROR($K29/$I29,0)</f>
        <v/>
      </c>
    </row>
    <row r="30">
      <c r="A30" s="26" t="inlineStr">
        <is>
          <t>Blocked</t>
        </is>
      </c>
      <c r="B30" s="8">
        <f>COUNTIF(Backlog!$E$5:$E$219,$A30)</f>
        <v/>
      </c>
      <c r="C30" s="14">
        <f>IFERROR($B30/COUNTA(Backlog!$A$5:$A$219),0)</f>
        <v/>
      </c>
      <c r="D30" s="9">
        <f>SUMIF(Backlog!$E$5:$E$219,$A30,Backlog!$J$5:$J$219)</f>
        <v/>
      </c>
      <c r="F30" s="7" t="inlineStr">
        <is>
          <t>TOTAL</t>
        </is>
      </c>
      <c r="G30" s="27" t="n"/>
      <c r="H30" s="27" t="n"/>
      <c r="I30" s="28">
        <f>SUM(I6:I29)</f>
        <v/>
      </c>
      <c r="J30" s="11">
        <f>SUM(J6:J29)</f>
        <v/>
      </c>
      <c r="K30" s="28">
        <f>SUM(K6:K29)</f>
        <v/>
      </c>
      <c r="L30" s="29">
        <f>IFERROR(K30/I30,0)</f>
        <v/>
      </c>
    </row>
    <row r="31">
      <c r="A31" s="30" t="inlineStr">
        <is>
          <t>On Hold</t>
        </is>
      </c>
      <c r="B31" s="8">
        <f>COUNTIF(Backlog!$E$5:$E$219,$A31)</f>
        <v/>
      </c>
      <c r="C31" s="14">
        <f>IFERROR($B31/COUNTA(Backlog!$A$5:$A$219),0)</f>
        <v/>
      </c>
      <c r="D31" s="9">
        <f>SUMIF(Backlog!$E$5:$E$219,$A31,Backlog!$J$5:$J$219)</f>
        <v/>
      </c>
    </row>
    <row r="32">
      <c r="A32" s="7" t="inlineStr">
        <is>
          <t>TOTAL</t>
        </is>
      </c>
      <c r="B32" s="28">
        <f>SUM(B18:B31)</f>
        <v/>
      </c>
      <c r="C32" s="12">
        <f>SUM(C18:C31)</f>
        <v/>
      </c>
      <c r="D32" s="11">
        <f>SUM(D18:D31)</f>
        <v/>
      </c>
    </row>
    <row r="34">
      <c r="A34" s="3" t="inlineStr">
        <is>
          <t>BY PRIORITY</t>
        </is>
      </c>
    </row>
    <row r="35" ht="25.5" customHeight="1" s="59">
      <c r="A35" s="4" t="inlineStr">
        <is>
          <t>Priority</t>
        </is>
      </c>
      <c r="B35" s="4" t="inlineStr">
        <is>
          <t>Stories</t>
        </is>
      </c>
      <c r="C35" s="4" t="inlineStr">
        <is>
          <t>Est. days</t>
        </is>
      </c>
      <c r="D35" s="4" t="inlineStr">
        <is>
          <t>Closed</t>
        </is>
      </c>
    </row>
    <row r="36">
      <c r="A36" s="22" t="inlineStr">
        <is>
          <t>P0</t>
        </is>
      </c>
      <c r="B36" s="31">
        <f>COUNTIF(Backlog!$F$5:$F$219,$A36)</f>
        <v/>
      </c>
      <c r="C36" s="9">
        <f>SUMIF(Backlog!$F$5:$F$219,$A36,Backlog!$J$5:$J$219)</f>
        <v/>
      </c>
      <c r="D36" s="31">
        <f>COUNTIFS(Backlog!$F$5:$F$219,$A36,Backlog!$E$5:$E$219,"Closed")</f>
        <v/>
      </c>
    </row>
    <row r="37">
      <c r="A37" s="15" t="inlineStr">
        <is>
          <t>P1</t>
        </is>
      </c>
      <c r="B37" s="31">
        <f>COUNTIF(Backlog!$F$5:$F$219,$A37)</f>
        <v/>
      </c>
      <c r="C37" s="9">
        <f>SUMIF(Backlog!$F$5:$F$219,$A37,Backlog!$J$5:$J$219)</f>
        <v/>
      </c>
      <c r="D37" s="31">
        <f>COUNTIFS(Backlog!$F$5:$F$219,$A37,Backlog!$E$5:$E$219,"Closed")</f>
        <v/>
      </c>
    </row>
    <row r="38">
      <c r="A38" s="21" t="inlineStr">
        <is>
          <t>P2</t>
        </is>
      </c>
      <c r="B38" s="31">
        <f>COUNTIF(Backlog!$F$5:$F$219,$A38)</f>
        <v/>
      </c>
      <c r="C38" s="9">
        <f>SUMIF(Backlog!$F$5:$F$219,$A38,Backlog!$J$5:$J$219)</f>
        <v/>
      </c>
      <c r="D38" s="31">
        <f>COUNTIFS(Backlog!$F$5:$F$219,$A38,Backlog!$E$5:$E$219,"Closed")</f>
        <v/>
      </c>
    </row>
    <row r="39">
      <c r="A39" s="32" t="inlineStr">
        <is>
          <t>P3</t>
        </is>
      </c>
      <c r="B39" s="31">
        <f>COUNTIF(Backlog!$F$5:$F$219,$A39)</f>
        <v/>
      </c>
      <c r="C39" s="9">
        <f>SUMIF(Backlog!$F$5:$F$219,$A39,Backlog!$J$5:$J$219)</f>
        <v/>
      </c>
      <c r="D39" s="31">
        <f>COUNTIFS(Backlog!$F$5:$F$219,$A39,Backlog!$E$5:$E$219,"Closed")</f>
        <v/>
      </c>
    </row>
    <row r="41">
      <c r="A41" s="3" t="inlineStr">
        <is>
          <t>BY RISK</t>
        </is>
      </c>
    </row>
    <row r="42" ht="25.5" customHeight="1" s="59">
      <c r="A42" s="4" t="inlineStr">
        <is>
          <t>Risk</t>
        </is>
      </c>
      <c r="B42" s="4" t="inlineStr">
        <is>
          <t>Stories</t>
        </is>
      </c>
      <c r="C42" s="4" t="inlineStr">
        <is>
          <t>Est. days</t>
        </is>
      </c>
      <c r="D42" s="4" t="inlineStr">
        <is>
          <t>Closed</t>
        </is>
      </c>
    </row>
    <row r="43">
      <c r="A43" s="33" t="inlineStr">
        <is>
          <t>Safety-critical</t>
        </is>
      </c>
      <c r="B43" s="31">
        <f>COUNTIF(Backlog!$H$5:$H$219,$A43)</f>
        <v/>
      </c>
      <c r="C43" s="9">
        <f>SUMIF(Backlog!$H$5:$H$219,$A43,Backlog!$J$5:$J$219)</f>
        <v/>
      </c>
      <c r="D43" s="31">
        <f>COUNTIFS(Backlog!$H$5:$H$219,$A43,Backlog!$E$5:$E$219,"Closed")</f>
        <v/>
      </c>
    </row>
    <row r="44">
      <c r="A44" s="34" t="inlineStr">
        <is>
          <t>Correctness-critical</t>
        </is>
      </c>
      <c r="B44" s="31">
        <f>COUNTIF(Backlog!$H$5:$H$219,$A44)</f>
        <v/>
      </c>
      <c r="C44" s="9">
        <f>SUMIF(Backlog!$H$5:$H$219,$A44,Backlog!$J$5:$J$219)</f>
        <v/>
      </c>
      <c r="D44" s="31">
        <f>COUNTIFS(Backlog!$H$5:$H$219,$A44,Backlog!$E$5:$E$219,"Closed")</f>
        <v/>
      </c>
    </row>
    <row r="45">
      <c r="A45" s="35" t="inlineStr">
        <is>
          <t>Low</t>
        </is>
      </c>
      <c r="B45" s="31">
        <f>COUNTIF(Backlog!$H$5:$H$219,$A45)</f>
        <v/>
      </c>
      <c r="C45" s="9">
        <f>SUMIF(Backlog!$H$5:$H$219,$A45,Backlog!$J$5:$J$219)</f>
        <v/>
      </c>
      <c r="D45" s="31">
        <f>COUNTIFS(Backlog!$H$5:$H$219,$A45,Backlog!$E$5:$E$219,"Closed")</f>
        <v/>
      </c>
    </row>
    <row r="47">
      <c r="A47" s="3" t="inlineStr">
        <is>
          <t>BY TYPE</t>
        </is>
      </c>
    </row>
    <row r="48" ht="25.5" customHeight="1" s="59">
      <c r="A48" s="4" t="inlineStr">
        <is>
          <t>Type</t>
        </is>
      </c>
      <c r="B48" s="4" t="inlineStr">
        <is>
          <t>Stories</t>
        </is>
      </c>
      <c r="C48" s="4" t="inlineStr">
        <is>
          <t>Est. days</t>
        </is>
      </c>
      <c r="D48" s="4" t="inlineStr">
        <is>
          <t>Closed</t>
        </is>
      </c>
    </row>
    <row r="49">
      <c r="A49" s="7" t="inlineStr">
        <is>
          <t>FEAT</t>
        </is>
      </c>
      <c r="B49" s="31">
        <f>COUNTIF(Backlog!$I$5:$I$219,$A49)</f>
        <v/>
      </c>
      <c r="C49" s="9">
        <f>SUMIF(Backlog!$I$5:$I$219,$A49,Backlog!$J$5:$J$219)</f>
        <v/>
      </c>
      <c r="D49" s="31">
        <f>COUNTIFS(Backlog!$I$5:$I$219,$A49,Backlog!$E$5:$E$219,"Closed")</f>
        <v/>
      </c>
    </row>
    <row r="50">
      <c r="A50" s="7" t="inlineStr">
        <is>
          <t>INFRA</t>
        </is>
      </c>
      <c r="B50" s="31">
        <f>COUNTIF(Backlog!$I$5:$I$219,$A50)</f>
        <v/>
      </c>
      <c r="C50" s="9">
        <f>SUMIF(Backlog!$I$5:$I$219,$A50,Backlog!$J$5:$J$219)</f>
        <v/>
      </c>
      <c r="D50" s="31">
        <f>COUNTIFS(Backlog!$I$5:$I$219,$A50,Backlog!$E$5:$E$219,"Closed")</f>
        <v/>
      </c>
    </row>
    <row r="51">
      <c r="A51" s="7" t="inlineStr">
        <is>
          <t>SEC</t>
        </is>
      </c>
      <c r="B51" s="31">
        <f>COUNTIF(Backlog!$I$5:$I$219,$A51)</f>
        <v/>
      </c>
      <c r="C51" s="9">
        <f>SUMIF(Backlog!$I$5:$I$219,$A51,Backlog!$J$5:$J$219)</f>
        <v/>
      </c>
      <c r="D51" s="31">
        <f>COUNTIFS(Backlog!$I$5:$I$219,$A51,Backlog!$E$5:$E$219,"Closed")</f>
        <v/>
      </c>
    </row>
    <row r="52">
      <c r="A52" s="7" t="inlineStr">
        <is>
          <t>TEST</t>
        </is>
      </c>
      <c r="B52" s="31">
        <f>COUNTIF(Backlog!$I$5:$I$219,$A52)</f>
        <v/>
      </c>
      <c r="C52" s="9">
        <f>SUMIF(Backlog!$I$5:$I$219,$A52,Backlog!$J$5:$J$219)</f>
        <v/>
      </c>
      <c r="D52" s="31">
        <f>COUNTIFS(Backlog!$I$5:$I$219,$A52,Backlog!$E$5:$E$219,"Closed")</f>
        <v/>
      </c>
    </row>
    <row r="53">
      <c r="A53" s="7" t="inlineStr">
        <is>
          <t>OPS</t>
        </is>
      </c>
      <c r="B53" s="31">
        <f>COUNTIF(Backlog!$I$5:$I$219,$A53)</f>
        <v/>
      </c>
      <c r="C53" s="9">
        <f>SUMIF(Backlog!$I$5:$I$219,$A53,Backlog!$J$5:$J$219)</f>
        <v/>
      </c>
      <c r="D53" s="31">
        <f>COUNTIFS(Backlog!$I$5:$I$219,$A53,Backlog!$E$5:$E$219,"Closed")</f>
        <v/>
      </c>
    </row>
    <row r="54">
      <c r="A54" s="7" t="inlineStr">
        <is>
          <t>DOC</t>
        </is>
      </c>
      <c r="B54" s="31">
        <f>COUNTIF(Backlog!$I$5:$I$219,$A54)</f>
        <v/>
      </c>
      <c r="C54" s="9">
        <f>SUMIF(Backlog!$I$5:$I$219,$A54,Backlog!$J$5:$J$219)</f>
        <v/>
      </c>
      <c r="D54" s="31">
        <f>COUNTIFS(Backlog!$I$5:$I$219,$A54,Backlog!$E$5:$E$219,"Closed")</f>
        <v/>
      </c>
    </row>
    <row r="58">
      <c r="A58" s="71" t="inlineStr">
        <is>
          <t>CHARTS</t>
        </is>
      </c>
    </row>
    <row r="59">
      <c r="A59" s="72" t="inlineStr">
        <is>
          <t>Every figure below is a live formula over the Backlog sheet — the charts redraw themselves when a story's Status or Est. Days changes. Nothing here is hand-typed.</t>
        </is>
      </c>
    </row>
    <row r="60">
      <c r="A60" s="64" t="inlineStr">
        <is>
          <t>Status</t>
        </is>
      </c>
      <c r="B60" s="64" t="inlineStr">
        <is>
          <t>Stories</t>
        </is>
      </c>
    </row>
    <row r="61">
      <c r="A61" t="inlineStr">
        <is>
          <t>New</t>
        </is>
      </c>
      <c r="B61">
        <f>COUNTIF(Backlog!$E$5:$E$219,$A$61)</f>
        <v/>
      </c>
    </row>
    <row r="62">
      <c r="A62" t="inlineStr">
        <is>
          <t>Business Review</t>
        </is>
      </c>
      <c r="B62">
        <f>COUNTIF(Backlog!$E$5:$E$219,$A$62)</f>
        <v/>
      </c>
    </row>
    <row r="63">
      <c r="A63" t="inlineStr">
        <is>
          <t>Business Approved</t>
        </is>
      </c>
      <c r="B63">
        <f>COUNTIF(Backlog!$E$5:$E$219,$A$63)</f>
        <v/>
      </c>
    </row>
    <row r="64">
      <c r="A64" t="inlineStr">
        <is>
          <t>Active</t>
        </is>
      </c>
      <c r="B64">
        <f>COUNTIF(Backlog!$E$5:$E$219,$A$64)</f>
        <v/>
      </c>
    </row>
    <row r="65">
      <c r="A65" t="inlineStr">
        <is>
          <t>Development In-Progress</t>
        </is>
      </c>
      <c r="B65">
        <f>COUNTIF(Backlog!$E$5:$E$219,$A$65)</f>
        <v/>
      </c>
    </row>
    <row r="66">
      <c r="A66" t="inlineStr">
        <is>
          <t>Development Completed</t>
        </is>
      </c>
      <c r="B66">
        <f>COUNTIF(Backlog!$E$5:$E$219,$A$66)</f>
        <v/>
      </c>
    </row>
    <row r="67">
      <c r="A67" t="inlineStr">
        <is>
          <t>QA In-Progress</t>
        </is>
      </c>
      <c r="B67">
        <f>COUNTIF(Backlog!$E$5:$E$219,$A$67)</f>
        <v/>
      </c>
    </row>
    <row r="68">
      <c r="A68" t="inlineStr">
        <is>
          <t>QA-Success</t>
        </is>
      </c>
      <c r="B68">
        <f>COUNTIF(Backlog!$E$5:$E$219,$A$68)</f>
        <v/>
      </c>
    </row>
    <row r="69">
      <c r="A69" t="inlineStr">
        <is>
          <t>QA-Fail</t>
        </is>
      </c>
      <c r="B69">
        <f>COUNTIF(Backlog!$E$5:$E$219,$A$69)</f>
        <v/>
      </c>
    </row>
    <row r="70">
      <c r="A70" t="inlineStr">
        <is>
          <t>Closed</t>
        </is>
      </c>
      <c r="B70">
        <f>COUNTIF(Backlog!$E$5:$E$219,$A$70)</f>
        <v/>
      </c>
    </row>
    <row r="71">
      <c r="A71" t="inlineStr">
        <is>
          <t>Blocked</t>
        </is>
      </c>
      <c r="B71">
        <f>COUNTIF(Backlog!$E$5:$E$219,$A$71)</f>
        <v/>
      </c>
    </row>
    <row r="72">
      <c r="A72" t="inlineStr">
        <is>
          <t>On Hold</t>
        </is>
      </c>
      <c r="B72">
        <f>COUNTIF(Backlog!$E$5:$E$219,$A$72)</f>
        <v/>
      </c>
    </row>
    <row r="73">
      <c r="A73" t="inlineStr">
        <is>
          <t>Moved to Backlog</t>
        </is>
      </c>
      <c r="B73">
        <f>COUNTIF(Backlog!$E$5:$E$219,$A$73)</f>
        <v/>
      </c>
    </row>
    <row r="75">
      <c r="A75" s="71" t="inlineStr">
        <is>
          <t>Effort by phase (days)</t>
        </is>
      </c>
    </row>
    <row r="76">
      <c r="A76" s="64" t="inlineStr">
        <is>
          <t>Phase</t>
        </is>
      </c>
      <c r="B76" s="64" t="inlineStr">
        <is>
          <t>Closed</t>
        </is>
      </c>
      <c r="C76" s="64" t="inlineStr">
        <is>
          <t>Remaining</t>
        </is>
      </c>
    </row>
    <row r="77">
      <c r="A77" t="inlineStr">
        <is>
          <t>0</t>
        </is>
      </c>
      <c r="B77">
        <f>SUMIFS(Backlog!$J$5:$J$219,Backlog!$G$5:$G$219,$A$77,Backlog!$E$5:$E$219,"Closed")</f>
        <v/>
      </c>
      <c r="C77">
        <f>SUMIF(Backlog!$G$5:$G$219,$A$77,Backlog!$J$5:$J$219)-$B$77</f>
        <v/>
      </c>
    </row>
    <row r="78">
      <c r="A78" t="inlineStr">
        <is>
          <t>1</t>
        </is>
      </c>
      <c r="B78">
        <f>SUMIFS(Backlog!$J$5:$J$219,Backlog!$G$5:$G$219,$A$78,Backlog!$E$5:$E$219,"Closed")</f>
        <v/>
      </c>
      <c r="C78">
        <f>SUMIF(Backlog!$G$5:$G$219,$A$78,Backlog!$J$5:$J$219)-$B$78</f>
        <v/>
      </c>
    </row>
    <row r="79">
      <c r="A79" t="inlineStr">
        <is>
          <t>2</t>
        </is>
      </c>
      <c r="B79">
        <f>SUMIFS(Backlog!$J$5:$J$219,Backlog!$G$5:$G$219,$A$79,Backlog!$E$5:$E$219,"Closed")</f>
        <v/>
      </c>
      <c r="C79">
        <f>SUMIF(Backlog!$G$5:$G$219,$A$79,Backlog!$J$5:$J$219)-$B$79</f>
        <v/>
      </c>
    </row>
    <row r="80">
      <c r="A80" t="inlineStr">
        <is>
          <t>3</t>
        </is>
      </c>
      <c r="B80">
        <f>SUMIFS(Backlog!$J$5:$J$219,Backlog!$G$5:$G$219,$A$80,Backlog!$E$5:$E$219,"Closed")</f>
        <v/>
      </c>
      <c r="C80">
        <f>SUMIF(Backlog!$G$5:$G$219,$A$80,Backlog!$J$5:$J$219)-$B$80</f>
        <v/>
      </c>
    </row>
    <row r="81">
      <c r="A81" t="inlineStr">
        <is>
          <t>4</t>
        </is>
      </c>
      <c r="B81">
        <f>SUMIFS(Backlog!$J$5:$J$219,Backlog!$G$5:$G$219,$A$81,Backlog!$E$5:$E$219,"Closed")</f>
        <v/>
      </c>
      <c r="C81">
        <f>SUMIF(Backlog!$G$5:$G$219,$A$81,Backlog!$J$5:$J$219)-$B$81</f>
        <v/>
      </c>
    </row>
    <row r="82">
      <c r="A82" t="inlineStr">
        <is>
          <t>5</t>
        </is>
      </c>
      <c r="B82">
        <f>SUMIFS(Backlog!$J$5:$J$219,Backlog!$G$5:$G$219,$A$82,Backlog!$E$5:$E$219,"Closed")</f>
        <v/>
      </c>
      <c r="C82">
        <f>SUMIF(Backlog!$G$5:$G$219,$A$82,Backlog!$J$5:$J$219)-$B$82</f>
        <v/>
      </c>
    </row>
    <row r="83">
      <c r="A83" t="inlineStr">
        <is>
          <t>6</t>
        </is>
      </c>
      <c r="B83">
        <f>SUMIFS(Backlog!$J$5:$J$219,Backlog!$G$5:$G$219,$A$83,Backlog!$E$5:$E$219,"Closed")</f>
        <v/>
      </c>
      <c r="C83">
        <f>SUMIF(Backlog!$G$5:$G$219,$A$83,Backlog!$J$5:$J$219)-$B$83</f>
        <v/>
      </c>
    </row>
    <row r="84">
      <c r="A84" t="inlineStr">
        <is>
          <t>7</t>
        </is>
      </c>
      <c r="B84">
        <f>SUMIFS(Backlog!$J$5:$J$219,Backlog!$G$5:$G$219,$A$84,Backlog!$E$5:$E$219,"Closed")</f>
        <v/>
      </c>
      <c r="C84">
        <f>SUMIF(Backlog!$G$5:$G$219,$A$84,Backlog!$J$5:$J$219)-$B$84</f>
        <v/>
      </c>
    </row>
    <row r="85">
      <c r="A85" t="inlineStr">
        <is>
          <t>8</t>
        </is>
      </c>
      <c r="B85">
        <f>SUMIFS(Backlog!$J$5:$J$219,Backlog!$G$5:$G$219,$A$85,Backlog!$E$5:$E$219,"Closed")</f>
        <v/>
      </c>
      <c r="C85">
        <f>SUMIF(Backlog!$G$5:$G$219,$A$85,Backlog!$J$5:$J$219)-$B$85</f>
        <v/>
      </c>
    </row>
    <row r="87">
      <c r="A87" s="71" t="inlineStr">
        <is>
          <t>Epic completion</t>
        </is>
      </c>
    </row>
    <row r="88">
      <c r="A88" s="64" t="inlineStr">
        <is>
          <t>Epic</t>
        </is>
      </c>
      <c r="B88" s="64" t="inlineStr">
        <is>
          <t>% complete</t>
        </is>
      </c>
    </row>
    <row r="89">
      <c r="A89">
        <f>$F$6</f>
        <v/>
      </c>
      <c r="B89" s="73">
        <f>IFERROR(SUMIFS(Backlog!$J$5:$J$219,Backlog!$B$5:$B$219,$A$89,Backlog!$E$5:$E$219,"Closed")/SUMIF(Backlog!$B$5:$B$219,$A$89,Backlog!$J$5:$J$219),0)</f>
        <v/>
      </c>
    </row>
    <row r="90">
      <c r="A90">
        <f>$F$7</f>
        <v/>
      </c>
      <c r="B90" s="73">
        <f>IFERROR(SUMIFS(Backlog!$J$5:$J$219,Backlog!$B$5:$B$219,$A$90,Backlog!$E$5:$E$219,"Closed")/SUMIF(Backlog!$B$5:$B$219,$A$90,Backlog!$J$5:$J$219),0)</f>
        <v/>
      </c>
    </row>
    <row r="91">
      <c r="A91">
        <f>$F$8</f>
        <v/>
      </c>
      <c r="B91" s="73">
        <f>IFERROR(SUMIFS(Backlog!$J$5:$J$219,Backlog!$B$5:$B$219,$A$91,Backlog!$E$5:$E$219,"Closed")/SUMIF(Backlog!$B$5:$B$219,$A$91,Backlog!$J$5:$J$219),0)</f>
        <v/>
      </c>
    </row>
    <row r="92">
      <c r="A92">
        <f>$F$9</f>
        <v/>
      </c>
      <c r="B92" s="73">
        <f>IFERROR(SUMIFS(Backlog!$J$5:$J$219,Backlog!$B$5:$B$219,$A$92,Backlog!$E$5:$E$219,"Closed")/SUMIF(Backlog!$B$5:$B$219,$A$92,Backlog!$J$5:$J$219),0)</f>
        <v/>
      </c>
    </row>
    <row r="93">
      <c r="A93">
        <f>$F$10</f>
        <v/>
      </c>
      <c r="B93" s="73">
        <f>IFERROR(SUMIFS(Backlog!$J$5:$J$219,Backlog!$B$5:$B$219,$A$93,Backlog!$E$5:$E$219,"Closed")/SUMIF(Backlog!$B$5:$B$219,$A$93,Backlog!$J$5:$J$219),0)</f>
        <v/>
      </c>
    </row>
    <row r="94">
      <c r="A94">
        <f>$F$11</f>
        <v/>
      </c>
      <c r="B94" s="73">
        <f>IFERROR(SUMIFS(Backlog!$J$5:$J$219,Backlog!$B$5:$B$219,$A$94,Backlog!$E$5:$E$219,"Closed")/SUMIF(Backlog!$B$5:$B$219,$A$94,Backlog!$J$5:$J$219),0)</f>
        <v/>
      </c>
    </row>
    <row r="95">
      <c r="A95">
        <f>$F$12</f>
        <v/>
      </c>
      <c r="B95" s="73">
        <f>IFERROR(SUMIFS(Backlog!$J$5:$J$219,Backlog!$B$5:$B$219,$A$95,Backlog!$E$5:$E$219,"Closed")/SUMIF(Backlog!$B$5:$B$219,$A$95,Backlog!$J$5:$J$219),0)</f>
        <v/>
      </c>
    </row>
    <row r="96">
      <c r="A96">
        <f>$F$13</f>
        <v/>
      </c>
      <c r="B96" s="73">
        <f>IFERROR(SUMIFS(Backlog!$J$5:$J$219,Backlog!$B$5:$B$219,$A$96,Backlog!$E$5:$E$219,"Closed")/SUMIF(Backlog!$B$5:$B$219,$A$96,Backlog!$J$5:$J$219),0)</f>
        <v/>
      </c>
    </row>
    <row r="97">
      <c r="A97">
        <f>$F$14</f>
        <v/>
      </c>
      <c r="B97" s="73">
        <f>IFERROR(SUMIFS(Backlog!$J$5:$J$219,Backlog!$B$5:$B$219,$A$97,Backlog!$E$5:$E$219,"Closed")/SUMIF(Backlog!$B$5:$B$219,$A$97,Backlog!$J$5:$J$219),0)</f>
        <v/>
      </c>
    </row>
    <row r="98">
      <c r="A98">
        <f>$F$15</f>
        <v/>
      </c>
      <c r="B98" s="73">
        <f>IFERROR(SUMIFS(Backlog!$J$5:$J$219,Backlog!$B$5:$B$219,$A$98,Backlog!$E$5:$E$219,"Closed")/SUMIF(Backlog!$B$5:$B$219,$A$98,Backlog!$J$5:$J$219),0)</f>
        <v/>
      </c>
    </row>
    <row r="99">
      <c r="A99">
        <f>$F$16</f>
        <v/>
      </c>
      <c r="B99" s="73">
        <f>IFERROR(SUMIFS(Backlog!$J$5:$J$219,Backlog!$B$5:$B$219,$A$99,Backlog!$E$5:$E$219,"Closed")/SUMIF(Backlog!$B$5:$B$219,$A$99,Backlog!$J$5:$J$219),0)</f>
        <v/>
      </c>
    </row>
    <row r="100">
      <c r="A100">
        <f>$F$17</f>
        <v/>
      </c>
      <c r="B100" s="73">
        <f>IFERROR(SUMIFS(Backlog!$J$5:$J$219,Backlog!$B$5:$B$219,$A$100,Backlog!$E$5:$E$219,"Closed")/SUMIF(Backlog!$B$5:$B$219,$A$100,Backlog!$J$5:$J$219),0)</f>
        <v/>
      </c>
    </row>
    <row r="101">
      <c r="A101">
        <f>$F$18</f>
        <v/>
      </c>
      <c r="B101" s="73">
        <f>IFERROR(SUMIFS(Backlog!$J$5:$J$219,Backlog!$B$5:$B$219,$A$101,Backlog!$E$5:$E$219,"Closed")/SUMIF(Backlog!$B$5:$B$219,$A$101,Backlog!$J$5:$J$219),0)</f>
        <v/>
      </c>
    </row>
    <row r="102">
      <c r="A102">
        <f>$F$19</f>
        <v/>
      </c>
      <c r="B102" s="73">
        <f>IFERROR(SUMIFS(Backlog!$J$5:$J$219,Backlog!$B$5:$B$219,$A$102,Backlog!$E$5:$E$219,"Closed")/SUMIF(Backlog!$B$5:$B$219,$A$102,Backlog!$J$5:$J$219),0)</f>
        <v/>
      </c>
    </row>
    <row r="103">
      <c r="A103">
        <f>$F$20</f>
        <v/>
      </c>
      <c r="B103" s="73">
        <f>IFERROR(SUMIFS(Backlog!$J$5:$J$219,Backlog!$B$5:$B$219,$A$103,Backlog!$E$5:$E$219,"Closed")/SUMIF(Backlog!$B$5:$B$219,$A$103,Backlog!$J$5:$J$219),0)</f>
        <v/>
      </c>
    </row>
    <row r="104">
      <c r="A104">
        <f>$F$21</f>
        <v/>
      </c>
      <c r="B104" s="73">
        <f>IFERROR(SUMIFS(Backlog!$J$5:$J$219,Backlog!$B$5:$B$219,$A$104,Backlog!$E$5:$E$219,"Closed")/SUMIF(Backlog!$B$5:$B$219,$A$104,Backlog!$J$5:$J$219),0)</f>
        <v/>
      </c>
    </row>
    <row r="105">
      <c r="A105">
        <f>$F$22</f>
        <v/>
      </c>
      <c r="B105" s="73">
        <f>IFERROR(SUMIFS(Backlog!$J$5:$J$219,Backlog!$B$5:$B$219,$A$105,Backlog!$E$5:$E$219,"Closed")/SUMIF(Backlog!$B$5:$B$219,$A$105,Backlog!$J$5:$J$219),0)</f>
        <v/>
      </c>
    </row>
    <row r="106">
      <c r="A106">
        <f>$F$23</f>
        <v/>
      </c>
      <c r="B106" s="73">
        <f>IFERROR(SUMIFS(Backlog!$J$5:$J$219,Backlog!$B$5:$B$219,$A$106,Backlog!$E$5:$E$219,"Closed")/SUMIF(Backlog!$B$5:$B$219,$A$106,Backlog!$J$5:$J$219),0)</f>
        <v/>
      </c>
    </row>
    <row r="107">
      <c r="A107">
        <f>$F$24</f>
        <v/>
      </c>
      <c r="B107" s="73">
        <f>IFERROR(SUMIFS(Backlog!$J$5:$J$219,Backlog!$B$5:$B$219,$A$107,Backlog!$E$5:$E$219,"Closed")/SUMIF(Backlog!$B$5:$B$219,$A$107,Backlog!$J$5:$J$219),0)</f>
        <v/>
      </c>
    </row>
    <row r="108">
      <c r="A108">
        <f>$F$25</f>
        <v/>
      </c>
      <c r="B108" s="73">
        <f>IFERROR(SUMIFS(Backlog!$J$5:$J$219,Backlog!$B$5:$B$219,$A$108,Backlog!$E$5:$E$219,"Closed")/SUMIF(Backlog!$B$5:$B$219,$A$108,Backlog!$J$5:$J$219),0)</f>
        <v/>
      </c>
    </row>
    <row r="109">
      <c r="A109">
        <f>$F$26</f>
        <v/>
      </c>
      <c r="B109" s="73">
        <f>IFERROR(SUMIFS(Backlog!$J$5:$J$219,Backlog!$B$5:$B$219,$A$109,Backlog!$E$5:$E$219,"Closed")/SUMIF(Backlog!$B$5:$B$219,$A$109,Backlog!$J$5:$J$219),0)</f>
        <v/>
      </c>
    </row>
    <row r="110">
      <c r="A110">
        <f>$F$27</f>
        <v/>
      </c>
      <c r="B110" s="73">
        <f>IFERROR(SUMIFS(Backlog!$J$5:$J$219,Backlog!$B$5:$B$219,$A$110,Backlog!$E$5:$E$219,"Closed")/SUMIF(Backlog!$B$5:$B$219,$A$110,Backlog!$J$5:$J$219),0)</f>
        <v/>
      </c>
    </row>
    <row r="111">
      <c r="A111">
        <f>$F$28</f>
        <v/>
      </c>
      <c r="B111" s="73">
        <f>IFERROR(SUMIFS(Backlog!$J$5:$J$219,Backlog!$B$5:$B$219,$A$111,Backlog!$E$5:$E$219,"Closed")/SUMIF(Backlog!$B$5:$B$219,$A$111,Backlog!$J$5:$J$219),0)</f>
        <v/>
      </c>
    </row>
    <row r="112">
      <c r="A112">
        <f>$F$29</f>
        <v/>
      </c>
      <c r="B112" s="73">
        <f>IFERROR(SUMIFS(Backlog!$J$5:$J$219,Backlog!$B$5:$B$219,$A$112,Backlog!$E$5:$E$219,"Closed")/SUMIF(Backlog!$B$5:$B$219,$A$112,Backlog!$J$5:$J$219),0)</f>
        <v/>
      </c>
    </row>
    <row r="114">
      <c r="A114" s="71" t="inlineStr">
        <is>
          <t>QA and security (E01)</t>
        </is>
      </c>
    </row>
    <row r="115">
      <c r="A115" s="64" t="inlineStr">
        <is>
          <t>Measure</t>
        </is>
      </c>
      <c r="B115" s="64" t="inlineStr">
        <is>
          <t>Value</t>
        </is>
      </c>
    </row>
    <row r="116">
      <c r="A116" t="inlineStr">
        <is>
          <t>QA checks passed</t>
        </is>
      </c>
      <c r="B116">
        <f>'QA Results'!$J$5</f>
        <v/>
      </c>
    </row>
    <row r="117">
      <c r="A117" t="inlineStr">
        <is>
          <t>QA checks failed</t>
        </is>
      </c>
      <c r="B117">
        <f>'QA Results'!$J$6</f>
        <v/>
      </c>
    </row>
    <row r="118">
      <c r="A118" t="inlineStr">
        <is>
          <t>Security findings HIGH</t>
        </is>
      </c>
      <c r="B118">
        <f>'Security Findings'!$K$5</f>
        <v/>
      </c>
    </row>
    <row r="119">
      <c r="A119" t="inlineStr">
        <is>
          <t>Security findings MEDIUM</t>
        </is>
      </c>
      <c r="B119">
        <f>'Security Findings'!$K$6</f>
        <v/>
      </c>
    </row>
    <row r="120">
      <c r="A120" t="inlineStr">
        <is>
          <t>Security findings LOW</t>
        </is>
      </c>
      <c r="B120">
        <f>'Security Findings'!$K$7</f>
        <v/>
      </c>
    </row>
    <row r="121">
      <c r="A121" t="inlineStr">
        <is>
          <t>Security findings INFO</t>
        </is>
      </c>
      <c r="B121">
        <f>'Security Findings'!$K$8</f>
        <v/>
      </c>
    </row>
    <row r="122">
      <c r="A122" t="inlineStr">
        <is>
          <t>Findings still open</t>
        </is>
      </c>
      <c r="B122" t="n">
        <v>0</v>
      </c>
    </row>
    <row r="123">
      <c r="A123" t="inlineStr">
        <is>
          <t>Automated tests in suite</t>
        </is>
      </c>
      <c r="B123" t="n">
        <v>341</v>
      </c>
    </row>
  </sheetData>
  <conditionalFormatting sqref="L6:L29">
    <cfRule type="expression" priority="2" dxfId="43">
      <formula>$L6=1</formula>
    </cfRule>
  </conditionalFormatting>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X205"/>
  <sheetViews>
    <sheetView zoomScaleNormal="100" workbookViewId="0">
      <pane xSplit="4" ySplit="4" topLeftCell="E182" activePane="bottomRight" state="frozen"/>
      <selection pane="topRight" activeCell="E1" sqref="E1"/>
      <selection pane="bottomLeft" activeCell="A5" sqref="A5"/>
      <selection pane="bottomRight" activeCell="A1" sqref="A1"/>
    </sheetView>
  </sheetViews>
  <sheetFormatPr baseColWidth="8" defaultColWidth="8.6640625" defaultRowHeight="14.4"/>
  <cols>
    <col width="11" customWidth="1" style="59" min="1" max="1"/>
    <col width="7" customWidth="1" style="59" min="2" max="2"/>
    <col width="26" customWidth="1" style="59" min="3" max="3"/>
    <col width="42" customWidth="1" style="59" min="4" max="4"/>
    <col width="23" customWidth="1" style="59" min="5" max="5"/>
    <col width="9" customWidth="1" style="59" min="6" max="6"/>
    <col width="7" customWidth="1" style="59" min="7" max="7"/>
    <col width="20" customWidth="1" style="59" min="8" max="8"/>
    <col width="8" customWidth="1" style="59" min="9" max="9"/>
    <col width="9" customWidth="1" style="59" min="10" max="10"/>
    <col width="20" customWidth="1" style="59" min="11" max="11"/>
    <col width="13" customWidth="1" style="59" min="12" max="12"/>
    <col width="12" customWidth="1" style="59" min="13" max="13"/>
    <col width="8" customWidth="1" style="59" min="14" max="14"/>
    <col width="12" customWidth="1" style="59" min="15" max="16"/>
    <col width="11" customWidth="1" style="59" min="17" max="17"/>
    <col width="10" customWidth="1" style="59" min="18" max="18"/>
    <col width="55" customWidth="1" style="59" min="19" max="19"/>
    <col width="60" customWidth="1" style="59" min="20" max="20"/>
    <col width="50" customWidth="1" style="59" min="21" max="21"/>
    <col width="40" customWidth="1" style="59" min="22" max="22"/>
    <col width="30" customWidth="1" style="59" min="23" max="23"/>
    <col width="70" customWidth="1" style="59" min="24" max="24"/>
  </cols>
  <sheetData>
    <row r="1" ht="17.4" customHeight="1" s="59">
      <c r="A1" s="36" t="inlineStr">
        <is>
          <t>DEVELOPMENT BACKLOG — User Stories &amp; Tasks</t>
        </is>
      </c>
    </row>
    <row r="2">
      <c r="A2" s="2" t="inlineStr">
        <is>
          <t>Source: BACKLOG.md · 189 stories across 24 epics · Set Status from the dropdown in column E. Yellow-tinted columns (M–Q, W) are yours to fill in. Tasks/Acceptance are wrapped — widen a row or click a cell to read the full text.</t>
        </is>
      </c>
    </row>
    <row r="4" ht="30" customHeight="1" s="59">
      <c r="A4" s="37" t="inlineStr">
        <is>
          <t>Story ID</t>
        </is>
      </c>
      <c r="B4" s="37" t="inlineStr">
        <is>
          <t>Epic</t>
        </is>
      </c>
      <c r="C4" s="37" t="inlineStr">
        <is>
          <t>Epic Name</t>
        </is>
      </c>
      <c r="D4" s="37" t="inlineStr">
        <is>
          <t>Story Title</t>
        </is>
      </c>
      <c r="E4" s="37" t="inlineStr">
        <is>
          <t>Status</t>
        </is>
      </c>
      <c r="F4" s="37" t="inlineStr">
        <is>
          <t>Priority</t>
        </is>
      </c>
      <c r="G4" s="37" t="inlineStr">
        <is>
          <t>Phase</t>
        </is>
      </c>
      <c r="H4" s="37" t="inlineStr">
        <is>
          <t>Risk</t>
        </is>
      </c>
      <c r="I4" s="37" t="inlineStr">
        <is>
          <t>Type</t>
        </is>
      </c>
      <c r="J4" s="37" t="inlineStr">
        <is>
          <t>Est. Days</t>
        </is>
      </c>
      <c r="K4" s="37" t="inlineStr">
        <is>
          <t>Dependencies</t>
        </is>
      </c>
      <c r="L4" s="37" t="inlineStr">
        <is>
          <t>Blocked By</t>
        </is>
      </c>
      <c r="M4" s="37" t="inlineStr">
        <is>
          <t>Owner</t>
        </is>
      </c>
      <c r="N4" s="37" t="inlineStr">
        <is>
          <t>Sprint</t>
        </is>
      </c>
      <c r="O4" s="37" t="inlineStr">
        <is>
          <t>Start Date</t>
        </is>
      </c>
      <c r="P4" s="37" t="inlineStr">
        <is>
          <t>Target Date</t>
        </is>
      </c>
      <c r="Q4" s="37" t="inlineStr">
        <is>
          <t>% Complete</t>
        </is>
      </c>
      <c r="R4" s="37" t="inlineStr">
        <is>
          <t>Task Count</t>
        </is>
      </c>
      <c r="S4" s="37" t="inlineStr">
        <is>
          <t>User Story</t>
        </is>
      </c>
      <c r="T4" s="37" t="inlineStr">
        <is>
          <t>Tasks</t>
        </is>
      </c>
      <c r="U4" s="37" t="inlineStr">
        <is>
          <t>Acceptance Criteria</t>
        </is>
      </c>
      <c r="V4" s="37" t="inlineStr">
        <is>
          <t>Notes</t>
        </is>
      </c>
      <c r="W4" s="37" t="inlineStr">
        <is>
          <t>Comments</t>
        </is>
      </c>
      <c r="X4" s="74" t="inlineStr">
        <is>
          <t>Build Concerns</t>
        </is>
      </c>
    </row>
    <row r="5" ht="30" customHeight="1" s="59">
      <c r="A5" s="38" t="inlineStr">
        <is>
          <t>E00-S01</t>
        </is>
      </c>
      <c r="B5" s="39" t="inlineStr">
        <is>
          <t>E00</t>
        </is>
      </c>
      <c r="C5" s="40" t="inlineStr">
        <is>
          <t>FOUNDATION</t>
        </is>
      </c>
      <c r="D5" s="40" t="inlineStr">
        <is>
          <t>Project scaffold, packaging, tooling</t>
        </is>
      </c>
      <c r="E5" s="40" t="inlineStr">
        <is>
          <t>Closed</t>
        </is>
      </c>
      <c r="F5" s="41" t="inlineStr">
        <is>
          <t>P0</t>
        </is>
      </c>
      <c r="G5" s="39" t="inlineStr">
        <is>
          <t>0</t>
        </is>
      </c>
      <c r="H5" s="42" t="inlineStr">
        <is>
          <t>Low</t>
        </is>
      </c>
      <c r="I5" s="39" t="inlineStr">
        <is>
          <t>INFRA</t>
        </is>
      </c>
      <c r="J5" s="43" t="n"/>
      <c r="K5" s="40" t="n"/>
      <c r="L5" s="40" t="n"/>
      <c r="M5" s="44" t="n"/>
      <c r="N5" s="45" t="n"/>
      <c r="O5" s="46" t="n"/>
      <c r="P5" s="46" t="n"/>
      <c r="Q5" s="47" t="n"/>
      <c r="R5" s="39" t="n">
        <v>0</v>
      </c>
      <c r="S5" s="48" t="n"/>
      <c r="T5" s="48" t="n"/>
      <c r="U5" s="48" t="n"/>
      <c r="V5" s="48" t="n"/>
      <c r="W5" s="49" t="n"/>
    </row>
    <row r="6" ht="30" customHeight="1" s="59">
      <c r="A6" s="38" t="inlineStr">
        <is>
          <t>E00-S02</t>
        </is>
      </c>
      <c r="B6" s="39" t="inlineStr">
        <is>
          <t>E00</t>
        </is>
      </c>
      <c r="C6" s="40" t="inlineStr">
        <is>
          <t>FOUNDATION</t>
        </is>
      </c>
      <c r="D6" s="40" t="inlineStr">
        <is>
          <t>Domain models with Decimal money and tz-aware UTC</t>
        </is>
      </c>
      <c r="E6" s="40" t="inlineStr">
        <is>
          <t>Closed</t>
        </is>
      </c>
      <c r="F6" s="41" t="inlineStr">
        <is>
          <t>P0</t>
        </is>
      </c>
      <c r="G6" s="39" t="inlineStr">
        <is>
          <t>0</t>
        </is>
      </c>
      <c r="H6" s="50" t="inlineStr">
        <is>
          <t>Correctness-critical</t>
        </is>
      </c>
      <c r="I6" s="39" t="inlineStr">
        <is>
          <t>INFRA</t>
        </is>
      </c>
      <c r="J6" s="43" t="n"/>
      <c r="K6" s="40" t="n"/>
      <c r="L6" s="40" t="n"/>
      <c r="M6" s="44" t="n"/>
      <c r="N6" s="45" t="n"/>
      <c r="O6" s="46" t="n"/>
      <c r="P6" s="46" t="n"/>
      <c r="Q6" s="47" t="n"/>
      <c r="R6" s="39" t="n">
        <v>0</v>
      </c>
      <c r="S6" s="48" t="n"/>
      <c r="T6" s="48" t="n"/>
      <c r="U6" s="48" t="n"/>
      <c r="V6" s="48" t="n"/>
      <c r="W6" s="49" t="n"/>
    </row>
    <row r="7" ht="30" customHeight="1" s="59">
      <c r="A7" s="38" t="inlineStr">
        <is>
          <t>E00-S03</t>
        </is>
      </c>
      <c r="B7" s="39" t="inlineStr">
        <is>
          <t>E00</t>
        </is>
      </c>
      <c r="C7" s="40" t="inlineStr">
        <is>
          <t>FOUNDATION</t>
        </is>
      </c>
      <c r="D7" s="40" t="inlineStr">
        <is>
          <t>Config validation with hard bounds in code</t>
        </is>
      </c>
      <c r="E7" s="40" t="inlineStr">
        <is>
          <t>Closed</t>
        </is>
      </c>
      <c r="F7" s="41" t="inlineStr">
        <is>
          <t>P0</t>
        </is>
      </c>
      <c r="G7" s="39" t="inlineStr">
        <is>
          <t>0</t>
        </is>
      </c>
      <c r="H7" s="51" t="inlineStr">
        <is>
          <t>Safety-critical</t>
        </is>
      </c>
      <c r="I7" s="39" t="inlineStr">
        <is>
          <t>INFRA</t>
        </is>
      </c>
      <c r="J7" s="43" t="n"/>
      <c r="K7" s="40" t="n"/>
      <c r="L7" s="40" t="n"/>
      <c r="M7" s="44" t="n"/>
      <c r="N7" s="45" t="n"/>
      <c r="O7" s="46" t="n"/>
      <c r="P7" s="46" t="n"/>
      <c r="Q7" s="47" t="n"/>
      <c r="R7" s="39" t="n">
        <v>0</v>
      </c>
      <c r="S7" s="48" t="n"/>
      <c r="T7" s="48" t="n"/>
      <c r="U7" s="48" t="n"/>
      <c r="V7" s="48" t="n"/>
      <c r="W7" s="49" t="n"/>
    </row>
    <row r="8" ht="30" customHeight="1" s="59">
      <c r="A8" s="38" t="inlineStr">
        <is>
          <t>E00-S04</t>
        </is>
      </c>
      <c r="B8" s="39" t="inlineStr">
        <is>
          <t>E00</t>
        </is>
      </c>
      <c r="C8" s="40" t="inlineStr">
        <is>
          <t>FOUNDATION</t>
        </is>
      </c>
      <c r="D8" s="40" t="inlineStr">
        <is>
          <t>Secrets handling that cannot render</t>
        </is>
      </c>
      <c r="E8" s="40" t="inlineStr">
        <is>
          <t>Closed</t>
        </is>
      </c>
      <c r="F8" s="41" t="inlineStr">
        <is>
          <t>P0</t>
        </is>
      </c>
      <c r="G8" s="39" t="inlineStr">
        <is>
          <t>0</t>
        </is>
      </c>
      <c r="H8" s="51" t="inlineStr">
        <is>
          <t>Safety-critical</t>
        </is>
      </c>
      <c r="I8" s="39" t="inlineStr">
        <is>
          <t>INFRA</t>
        </is>
      </c>
      <c r="J8" s="43" t="n"/>
      <c r="K8" s="40" t="n"/>
      <c r="L8" s="40" t="n"/>
      <c r="M8" s="44" t="n"/>
      <c r="N8" s="45" t="n"/>
      <c r="O8" s="46" t="n"/>
      <c r="P8" s="46" t="n"/>
      <c r="Q8" s="47" t="n"/>
      <c r="R8" s="39" t="n">
        <v>0</v>
      </c>
      <c r="S8" s="48" t="n"/>
      <c r="T8" s="48" t="n"/>
      <c r="U8" s="48" t="n"/>
      <c r="V8" s="48" t="n"/>
      <c r="W8" s="49" t="n"/>
    </row>
    <row r="9" ht="30" customHeight="1" s="59">
      <c r="A9" s="38" t="inlineStr">
        <is>
          <t>E00-S05</t>
        </is>
      </c>
      <c r="B9" s="39" t="inlineStr">
        <is>
          <t>E00</t>
        </is>
      </c>
      <c r="C9" s="40" t="inlineStr">
        <is>
          <t>FOUNDATION</t>
        </is>
      </c>
      <c r="D9" s="40" t="inlineStr">
        <is>
          <t>Structured logging with mandatory redaction</t>
        </is>
      </c>
      <c r="E9" s="40" t="inlineStr">
        <is>
          <t>Closed</t>
        </is>
      </c>
      <c r="F9" s="41" t="inlineStr">
        <is>
          <t>P0</t>
        </is>
      </c>
      <c r="G9" s="39" t="inlineStr">
        <is>
          <t>0</t>
        </is>
      </c>
      <c r="H9" s="51" t="inlineStr">
        <is>
          <t>Safety-critical</t>
        </is>
      </c>
      <c r="I9" s="39" t="inlineStr">
        <is>
          <t>INFRA</t>
        </is>
      </c>
      <c r="J9" s="43" t="n"/>
      <c r="K9" s="40" t="n"/>
      <c r="L9" s="40" t="n"/>
      <c r="M9" s="44" t="n"/>
      <c r="N9" s="45" t="n"/>
      <c r="O9" s="46" t="n"/>
      <c r="P9" s="46" t="n"/>
      <c r="Q9" s="47" t="n"/>
      <c r="R9" s="39" t="n">
        <v>0</v>
      </c>
      <c r="S9" s="48" t="n"/>
      <c r="T9" s="48" t="n"/>
      <c r="U9" s="48" t="n"/>
      <c r="V9" s="48" t="n"/>
      <c r="W9" s="49" t="n"/>
    </row>
    <row r="10" ht="30" customHeight="1" s="59">
      <c r="A10" s="38" t="inlineStr">
        <is>
          <t>E00-S06</t>
        </is>
      </c>
      <c r="B10" s="39" t="inlineStr">
        <is>
          <t>E00</t>
        </is>
      </c>
      <c r="C10" s="40" t="inlineStr">
        <is>
          <t>FOUNDATION</t>
        </is>
      </c>
      <c r="D10" s="40" t="inlineStr">
        <is>
          <t>NSE calendar with per-stock square-off</t>
        </is>
      </c>
      <c r="E10" s="40" t="inlineStr">
        <is>
          <t>Closed</t>
        </is>
      </c>
      <c r="F10" s="41" t="inlineStr">
        <is>
          <t>P0</t>
        </is>
      </c>
      <c r="G10" s="39" t="inlineStr">
        <is>
          <t>0</t>
        </is>
      </c>
      <c r="H10" s="51" t="inlineStr">
        <is>
          <t>Safety-critical</t>
        </is>
      </c>
      <c r="I10" s="39" t="inlineStr">
        <is>
          <t>INFRA</t>
        </is>
      </c>
      <c r="J10" s="43" t="n"/>
      <c r="K10" s="40" t="n"/>
      <c r="L10" s="40" t="n"/>
      <c r="M10" s="44" t="n"/>
      <c r="N10" s="45" t="n"/>
      <c r="O10" s="46" t="n"/>
      <c r="P10" s="46" t="n"/>
      <c r="Q10" s="47" t="n"/>
      <c r="R10" s="39" t="n">
        <v>0</v>
      </c>
      <c r="S10" s="48" t="n"/>
      <c r="T10" s="48" t="n"/>
      <c r="U10" s="48" t="n"/>
      <c r="V10" s="48" t="n"/>
      <c r="W10" s="49" t="n"/>
    </row>
    <row r="11" ht="30" customHeight="1" s="59">
      <c r="A11" s="38" t="inlineStr">
        <is>
          <t>E00-S07</t>
        </is>
      </c>
      <c r="B11" s="39" t="inlineStr">
        <is>
          <t>E00</t>
        </is>
      </c>
      <c r="C11" s="40" t="inlineStr">
        <is>
          <t>FOUNDATION</t>
        </is>
      </c>
      <c r="D11" s="40" t="inlineStr">
        <is>
          <t>Broker protocol, read-only vs trading split</t>
        </is>
      </c>
      <c r="E11" s="40" t="inlineStr">
        <is>
          <t>Closed</t>
        </is>
      </c>
      <c r="F11" s="41" t="inlineStr">
        <is>
          <t>P0</t>
        </is>
      </c>
      <c r="G11" s="39" t="inlineStr">
        <is>
          <t>0</t>
        </is>
      </c>
      <c r="H11" s="51" t="inlineStr">
        <is>
          <t>Safety-critical</t>
        </is>
      </c>
      <c r="I11" s="39" t="inlineStr">
        <is>
          <t>INFRA</t>
        </is>
      </c>
      <c r="J11" s="43" t="n"/>
      <c r="K11" s="40" t="n"/>
      <c r="L11" s="40" t="n"/>
      <c r="M11" s="44" t="n"/>
      <c r="N11" s="45" t="n"/>
      <c r="O11" s="46" t="n"/>
      <c r="P11" s="46" t="n"/>
      <c r="Q11" s="47" t="n"/>
      <c r="R11" s="39" t="n">
        <v>0</v>
      </c>
      <c r="S11" s="48" t="n"/>
      <c r="T11" s="48" t="n"/>
      <c r="U11" s="48" t="n"/>
      <c r="V11" s="48" t="n"/>
      <c r="W11" s="49" t="n"/>
    </row>
    <row r="12" ht="30" customHeight="1" s="59">
      <c r="A12" s="38" t="inlineStr">
        <is>
          <t>E00-S08</t>
        </is>
      </c>
      <c r="B12" s="39" t="inlineStr">
        <is>
          <t>E00</t>
        </is>
      </c>
      <c r="C12" s="40" t="inlineStr">
        <is>
          <t>FOUNDATION</t>
        </is>
      </c>
      <c r="D12" s="40" t="inlineStr">
        <is>
          <t>Strategy DSL with vetted primitive registry</t>
        </is>
      </c>
      <c r="E12" s="40" t="inlineStr">
        <is>
          <t>Closed</t>
        </is>
      </c>
      <c r="F12" s="41" t="inlineStr">
        <is>
          <t>P0</t>
        </is>
      </c>
      <c r="G12" s="39" t="inlineStr">
        <is>
          <t>0</t>
        </is>
      </c>
      <c r="H12" s="51" t="inlineStr">
        <is>
          <t>Safety-critical</t>
        </is>
      </c>
      <c r="I12" s="39" t="inlineStr">
        <is>
          <t>INFRA</t>
        </is>
      </c>
      <c r="J12" s="43" t="n"/>
      <c r="K12" s="40" t="n"/>
      <c r="L12" s="40" t="n"/>
      <c r="M12" s="44" t="n"/>
      <c r="N12" s="45" t="n"/>
      <c r="O12" s="46" t="n"/>
      <c r="P12" s="46" t="n"/>
      <c r="Q12" s="47" t="n"/>
      <c r="R12" s="39" t="n">
        <v>0</v>
      </c>
      <c r="S12" s="48" t="n"/>
      <c r="T12" s="48" t="n"/>
      <c r="U12" s="48" t="n"/>
      <c r="V12" s="48" t="n"/>
      <c r="W12" s="49" t="n"/>
    </row>
    <row r="13" ht="30" customHeight="1" s="59">
      <c r="A13" s="38" t="inlineStr">
        <is>
          <t>E00-S09</t>
        </is>
      </c>
      <c r="B13" s="39" t="inlineStr">
        <is>
          <t>E00</t>
        </is>
      </c>
      <c r="C13" s="40" t="inlineStr">
        <is>
          <t>FOUNDATION</t>
        </is>
      </c>
      <c r="D13" s="40" t="inlineStr">
        <is>
          <t>Docker topology with network segmentation</t>
        </is>
      </c>
      <c r="E13" s="40" t="inlineStr">
        <is>
          <t>Closed</t>
        </is>
      </c>
      <c r="F13" s="41" t="inlineStr">
        <is>
          <t>P0</t>
        </is>
      </c>
      <c r="G13" s="39" t="inlineStr">
        <is>
          <t>0</t>
        </is>
      </c>
      <c r="H13" s="50" t="inlineStr">
        <is>
          <t>Correctness-critical</t>
        </is>
      </c>
      <c r="I13" s="39" t="inlineStr">
        <is>
          <t>INFRA</t>
        </is>
      </c>
      <c r="J13" s="43" t="n"/>
      <c r="K13" s="40" t="n"/>
      <c r="L13" s="40" t="n"/>
      <c r="M13" s="44" t="n"/>
      <c r="N13" s="45" t="n"/>
      <c r="O13" s="46" t="n"/>
      <c r="P13" s="46" t="n"/>
      <c r="Q13" s="47" t="n"/>
      <c r="R13" s="39" t="n">
        <v>0</v>
      </c>
      <c r="S13" s="48" t="n"/>
      <c r="T13" s="48" t="n"/>
      <c r="U13" s="48" t="n"/>
      <c r="V13" s="48" t="inlineStr">
        <is>
          <t>written, not run</t>
        </is>
      </c>
      <c r="W13" s="49" t="n"/>
    </row>
    <row r="14" ht="30" customHeight="1" s="59">
      <c r="A14" s="38" t="inlineStr">
        <is>
          <t>E00-S10</t>
        </is>
      </c>
      <c r="B14" s="39" t="inlineStr">
        <is>
          <t>E00</t>
        </is>
      </c>
      <c r="C14" s="40" t="inlineStr">
        <is>
          <t>FOUNDATION</t>
        </is>
      </c>
      <c r="D14" s="40" t="inlineStr">
        <is>
          <t>Pre-flight doctor script</t>
        </is>
      </c>
      <c r="E14" s="40" t="inlineStr">
        <is>
          <t>Closed</t>
        </is>
      </c>
      <c r="F14" s="41" t="inlineStr">
        <is>
          <t>P0</t>
        </is>
      </c>
      <c r="G14" s="39" t="inlineStr">
        <is>
          <t>0</t>
        </is>
      </c>
      <c r="H14" s="42" t="inlineStr">
        <is>
          <t>Low</t>
        </is>
      </c>
      <c r="I14" s="39" t="inlineStr">
        <is>
          <t>INFRA</t>
        </is>
      </c>
      <c r="J14" s="43" t="n"/>
      <c r="K14" s="40" t="n"/>
      <c r="L14" s="40" t="n"/>
      <c r="M14" s="44" t="n"/>
      <c r="N14" s="45" t="n"/>
      <c r="O14" s="46" t="n"/>
      <c r="P14" s="46" t="n"/>
      <c r="Q14" s="47" t="n"/>
      <c r="R14" s="39" t="n">
        <v>0</v>
      </c>
      <c r="S14" s="48" t="n"/>
      <c r="T14" s="48" t="n"/>
      <c r="U14" s="48" t="n"/>
      <c r="V14" s="48" t="n"/>
      <c r="W14" s="49" t="n"/>
    </row>
    <row r="15" ht="30" customHeight="1" s="59">
      <c r="A15" s="38" t="inlineStr">
        <is>
          <t>E01-S01</t>
        </is>
      </c>
      <c r="B15" s="39" t="inlineStr">
        <is>
          <t>E01</t>
        </is>
      </c>
      <c r="C15" s="40" t="inlineStr">
        <is>
          <t>PERSISTENCE &amp; DATA LAYER</t>
        </is>
      </c>
      <c r="D15" s="40" t="inlineStr">
        <is>
          <t>Database schema and migrations</t>
        </is>
      </c>
      <c r="E15" s="40" t="inlineStr">
        <is>
          <t>Closed</t>
        </is>
      </c>
      <c r="F15" s="41" t="inlineStr">
        <is>
          <t>P0</t>
        </is>
      </c>
      <c r="G15" s="39" t="inlineStr">
        <is>
          <t>1</t>
        </is>
      </c>
      <c r="H15" s="50" t="inlineStr">
        <is>
          <t>Correctness-critical</t>
        </is>
      </c>
      <c r="I15" s="39" t="inlineStr">
        <is>
          <t>INFRA</t>
        </is>
      </c>
      <c r="J15" s="43" t="n">
        <v>2</v>
      </c>
      <c r="K15" s="40" t="inlineStr">
        <is>
          <t>none</t>
        </is>
      </c>
      <c r="L15" s="40" t="n"/>
      <c r="M15" s="44" t="n"/>
      <c r="N15" s="45" t="n">
        <v>1</v>
      </c>
      <c r="O15" s="46" t="n"/>
      <c r="P15" s="46" t="n"/>
      <c r="Q15" s="47" t="n">
        <v>100</v>
      </c>
      <c r="R15" s="39" t="n">
        <v>9</v>
      </c>
      <c r="S15" s="48" t="inlineStr">
        <is>
          <t>As a developer, I want the full database schema defined as versioned migrations, so that schema changes are reviewable and reversible rather than applied by hand.</t>
        </is>
      </c>
      <c r="T15" s="48" t="inlineStr">
        <is>
          <t>1. Set up Alembic with async SQLAlchemy 2.0
2. SQLAlchemy models mirroring LOW_LEVEL_ARCHITECTURE §4.2
3. Migration: instruments, instrument_daily_status
4. Migration: ohlcv as a TimescaleDB hypertable
5. Migration: orders, positions, decision_log, trade_journal
6. Migration: daily_plan, plan_candidate
7. Migration: strategy, strategy_validation, strategy_trial, strategy_performance, shadow_signal
8. Compression policy on ohlcv (&gt;90 days)
9. `make migrate` target</t>
        </is>
      </c>
      <c r="U15" s="48" t="inlineStr">
        <is>
          <t>• `alembic upgrade head` then `downgrade base` runs clean on an empty DB
• Hypertables confirmed via `SELECT * FROM timescaledb_information.hypertables`
• `decision_log` and `strategy_trial` roles have INSERT but not UPDATE/DELETE</t>
        </is>
      </c>
      <c r="V15" s="48" t="inlineStr">
        <is>
          <t>CLOSED 7 Aug 2026. Schema, migrations and role grants complete; 38 integration tests assert every business rule against a real TimescaleDB.
DELIVERED: 15 tables in common/db/models.py; two migrations (core schema autogenerated, hypertables/view/grants hand-written); upgrade head -&gt; downgrade base -&gt; upgrade head verified clean.
DECISIONS TAKEN:
  - TimescaleDB DDL is VERSION-ADAPTIVE. The migration detects the installed version and emits columnstore DDL at &gt;=2.18 or legacy compression below it. Verified on BOTH 2.17.2 and 2.29.1, so the pin decision no longer blocks anything and can move either way later.
  - Role created NOLOGIN/password-less; operator grants LOGIN out of band. The spec's CREATE ROLE ... PASSWORD would have committed a credential.
  - v_eligible_today anchored to Asia/Kolkata, not CURRENT_DATE.
FOUR BUGS FOUND BY EXECUTION (all fixed, all now covered by tests):
  1. SQLAlchemy Enum(native_enum=False) defaults create_constraint=FALSE since 1.4 — the enum columns had NO validation at all. An invalid 'side' went straight in. Only the column length was accidentally guarding them.
  2. decision_log.id was NOT NULL with no sequence: SQLAlchemy attaches an implicit sequence only to a PRIMARY KEY, and this is not one. EVERY insert failed. Fixed with an explicit Identity().
  3. order_fills generated-column DDL in the spec was invalid PostgreSQL.
  4. Enum columns sized to an exact fit meant truncation errors fired before CHECK constraints, producing an error naming neither column nor expected value.
NOT a bug but worth knowing: autogenerate cannot render ORM attributes in postgresql_where; partial index predicates use sa.text().</t>
        </is>
      </c>
      <c r="W15" s="49" t="inlineStr">
        <is>
          <t>Open questions to settle inside this story (§17):
Q1 RESOLVED — pin is 2.17.2-pg16; upgrade decision is yours, recommended.
Q2 Retention of 1m bars — recommend keep forever; ~19M rows either way, storage is not the constraint, backtest depth is.
Q3 DB roles — recommend one app role now, split per-service at Phase 7.
Q4 Audit buffer location — recommend host mount (survives image rebuild).
Watch: TimescaleDB requires the partitioning column in every unique index; downgrade must drop policies before hypertables; test 'downgrade base' on every migration.</t>
        </is>
      </c>
    </row>
    <row r="16" ht="30" customHeight="1" s="59">
      <c r="A16" s="38" t="inlineStr">
        <is>
          <t>E01-S02</t>
        </is>
      </c>
      <c r="B16" s="39" t="inlineStr">
        <is>
          <t>E01</t>
        </is>
      </c>
      <c r="C16" s="40" t="inlineStr">
        <is>
          <t>PERSISTENCE &amp; DATA LAYER</t>
        </is>
      </c>
      <c r="D16" s="40" t="inlineStr">
        <is>
          <t>Repository layer</t>
        </is>
      </c>
      <c r="E16" s="40" t="inlineStr">
        <is>
          <t>Closed</t>
        </is>
      </c>
      <c r="F16" s="41" t="inlineStr">
        <is>
          <t>P0</t>
        </is>
      </c>
      <c r="G16" s="39" t="inlineStr">
        <is>
          <t>1</t>
        </is>
      </c>
      <c r="H16" s="42" t="inlineStr">
        <is>
          <t>Low</t>
        </is>
      </c>
      <c r="I16" s="39" t="inlineStr">
        <is>
          <t>INFRA</t>
        </is>
      </c>
      <c r="J16" s="43" t="n">
        <v>2</v>
      </c>
      <c r="K16" s="40" t="inlineStr">
        <is>
          <t>E01-S01</t>
        </is>
      </c>
      <c r="L16" s="40" t="n"/>
      <c r="M16" s="44" t="n"/>
      <c r="N16" s="45" t="n">
        <v>1</v>
      </c>
      <c r="O16" s="46" t="n"/>
      <c r="P16" s="46" t="n"/>
      <c r="Q16" s="47" t="n">
        <v>100</v>
      </c>
      <c r="R16" s="39" t="n">
        <v>5</v>
      </c>
      <c r="S16" s="48" t="inlineStr">
        <is>
          <t>As a developer, I want data access behind repository interfaces, so that services never write raw SQL and can be tested against fakes.</t>
        </is>
      </c>
      <c r="T16" s="48" t="inlineStr">
        <is>
          <t>1. `Repository` protocol per aggregate (instruments, bars, orders, positions, plan, strategy)
2. Async session management with proper transaction boundaries
3. Bulk insert path for OHLCV (batched, not row-by-row)
4. Connection pooling configured
5. In-memory fakes for unit tests</t>
        </is>
      </c>
      <c r="U16" s="48" t="inlineStr">
        <is>
          <t>• No service module imports `sqlalchemy` directly
• Bulk insert of 100k bars completes in &lt; 10s</t>
        </is>
      </c>
      <c r="V16" s="48" t="inlineStr">
        <is>
          <t>CLOSED 7 Aug 2026. Repository layer complete; 25 integration tests, both acceptance criteria measured rather than asserted.
DELIVERED: common/db/engine.py (async engine, session factory, unit_of_work / read_only boundaries) and common/db/repositories.py (Instrument, Bar, DailyStatus, Order, Position, DecisionLog-read repositories plus Protocols).
THE ARCHITECTURE THIS STORY OWNS — the symbol &lt;-&gt; symbol_id impedance mismatch (spec §2.3 E). Domain models address instruments by ticker; every table uses an integer FK. InstrumentRepository holds a bidirectional cache and is the ONLY component permitted to translate. Proven: 50 lookups issue 0 queries.
THREE REAL BUGS FOUND BY EXECUTION:
  1. POSTGRESQL CAPS BOUND PARAMETERS AT 65535. A bar has up to 12 columns, so the spec's "one TX per batch of ~10k" sends ~120,000 parameters and fails outright with "number of parameters must be between 0 and 65535". This would have surfaced during the 24-MILLION-row historical backfill, not in any unit test. bulk_upsert now chunks INTERNALLY against the parameter limit, sized off the WIDEST row (sizing off the first row under-counts when callers omit optional columns), so no caller can hit it.
  2. Chunked multi-row INSERT was correct but SLOW — 100k bars in 23.8s against a 10s budget. Implemented the spec's COPY path (task 3): COPY into a temp table, then one set-based INSERT ... SELECT ... ON CONFLICT DO UPDATE. Now inside budget. COPY cannot express ON CONFLICT itself, which is why the temp table exists.
  3. The COPY path needed CREATE TEMP TABLE IF NOT EXISTS + TRUNCATE, not a bare CREATE. ON COMMIT DROP only fires at COMMIT, so the SECOND chunk of a backfill inside one transaction failed with "relation _bar_load already exists".
  Also: DISTINCT ON (symbol_id, timeframe, ts) ORDER BY ... ctid DESC in the COPY upsert. ON CONFLICT raises "cannot affect row a second time" when the SOURCE holds duplicate keys, which a batch spanning a reconnect legitimately does. Last occurrence wins, matching the INSERT path.
  Also: the Windows ProactorEventLoop defect RESURFACED in pytest-asyncio. configure_event_loop_policy() must run BEFORE the loop is created; calling it inside create_engine was too late because pytest-asyncio had already built one. Now called at tests/conftest.py import time. Lesson recorded: every async entry point owns that responsibility separately.
DESIGN DECISIONS AND WHY:
  - Repositories return plain dicts, never ORM instances. An ORM object carries session affinity and lazy loaders; once its session closes, touching an unloaded attribute raises MissingGreenlet deep inside business logic. A dict cannot.
  - warm_up_batch is ONE query with a window function. A per-symbol loop is correct and passes every other test, then misses the 45-minute BP-2 deadline with 450 round trips. The test asserts the QUERY COUNT is constant regardless of symbol count, so that refactor fails here rather than at 08:45 on a trading morning.
  - expire_on_commit=False: the default makes every attribute a fresh SELECT after commit, and in async code that lazy load raises MissingGreenlet rather than merely being slow.
  - Server-side statement_timeout, not a client-side cancel. A client-side timeout abandons the query while the server keeps executing it.
  - read_only() rolls back rather than commits — releases the snapshot immediately, so a long idle-in-transaction session cannot hold back vacuum across the database.
  - ON CONFLICT DO UPDATE, not DO NOTHING: a late trade report legitimately revises volume and vwap, and a corporate action re-adjusts prices. DO NOTHING would silently pin stale data.
  - UnknownSymbolError raises rather than returning None. Silently skipping an unknown symbol loses market data with NO error; the gap surfaces days later as an indicator that never warms up.
SECURITY: the COPY path builds SQL identifiers by f-string because PostgreSQL cannot parameterise identifiers. Every interpolated value comes from a fixed tuple in the function and is unreachable from market data, news or any request. Justified in place with a noqa so it does not need re-deriving at review time; all VALUES still go through COPY's binary protocol or bound parameters.</t>
        </is>
      </c>
      <c r="W16" s="49" t="n"/>
    </row>
    <row r="17" ht="30" customHeight="1" s="59">
      <c r="A17" s="38" t="inlineStr">
        <is>
          <t>E01-S03</t>
        </is>
      </c>
      <c r="B17" s="39" t="inlineStr">
        <is>
          <t>E01</t>
        </is>
      </c>
      <c r="C17" s="40" t="inlineStr">
        <is>
          <t>PERSISTENCE &amp; DATA LAYER</t>
        </is>
      </c>
      <c r="D17" s="40" t="inlineStr">
        <is>
          <t>Redis client and keyspace helpers</t>
        </is>
      </c>
      <c r="E17" s="40" t="inlineStr">
        <is>
          <t>Closed</t>
        </is>
      </c>
      <c r="F17" s="41" t="inlineStr">
        <is>
          <t>P0</t>
        </is>
      </c>
      <c r="G17" s="39" t="inlineStr">
        <is>
          <t>1</t>
        </is>
      </c>
      <c r="H17" s="50" t="inlineStr">
        <is>
          <t>Correctness-critical</t>
        </is>
      </c>
      <c r="I17" s="39" t="inlineStr">
        <is>
          <t>INFRA</t>
        </is>
      </c>
      <c r="J17" s="43" t="n">
        <v>1.5</v>
      </c>
      <c r="K17" s="40" t="inlineStr">
        <is>
          <t>none</t>
        </is>
      </c>
      <c r="L17" s="40" t="n"/>
      <c r="M17" s="44" t="n"/>
      <c r="N17" s="45" t="n">
        <v>1</v>
      </c>
      <c r="O17" s="46" t="n"/>
      <c r="P17" s="46" t="n"/>
      <c r="Q17" s="47" t="n">
        <v>100</v>
      </c>
      <c r="R17" s="39" t="n">
        <v>6</v>
      </c>
      <c r="S17" s="48" t="inlineStr">
        <is>
          <t>As a developer, I want typed helpers for the Redis keyspace, so that key naming cannot drift between services.</t>
        </is>
      </c>
      <c r="T17" s="48" t="inlineStr">
        <is>
          <t>1. Async Redis client with connection pooling and retry
2. Key builders for every pattern in LOW_LEVEL_ARCHITECTURE §4.3
3. Typed get/set for state hashes (Pydantic in, Pydantic out)
4. Distributed lock helper with mandatory TTL
5. Token bucket rate limiter
6. Sorted-set timer helper</t>
        </is>
      </c>
      <c r="U17" s="48" t="inlineStr">
        <is>
          <t>• Every key in the design doc has a builder function
• A lock without a TTL is impossible to create (TTL is a required arg)</t>
        </is>
      </c>
      <c r="V17" s="48" t="inlineStr">
        <is>
          <t>CLOSED 7 Aug 2026. Redis layer complete; 35 integration tests, all probing real behaviour against a real Redis.
DELIVERED: common/redis/ — keys.py (23 key builders, no literal permitted elsewhere), client.py (pool, retry, health), locks.py (mandatory TTL), primitives.py (token bucket + timer ZSET, both Lua), state.py (typed Pydantic accessors).
THE STORY'S REAL CONTENT — ttl_ms is a REQUIRED positional argument with no default. A lock without a TTL survives the death of the process holding it and deadlocks slot allocation for the rest of the session, silently. Also bounded above (MAX_TTL_MS 300s) to catch seconds-passed-as-milliseconds, which is the realistic mistake.
DESIGN DECISIONS AND WHY:
  - Release/extend are compare-and-delete in Lua. The naive get-then-delete is a race: the lock can expire between check and delete, be re-acquired by another process, and you then delete THEIR lock.
  - Token bucket and pop-due are Lua for the same reason. A Python-side get/compute/set lets two callers see the same token count and both proceed — for the order limiter that means breaching the broker cap and, above 10/sec, the SEBI threshold. Proven by a 25-way concurrent test that must yield exactly capacity.
  - decode_responses=True is load-bearing, not cosmetic. Without it every read is bytes and b"1" != "1", so a kill-switch check silently reads as "not set" and trading continues.
  - Invalid stored state is treated as ABSENT, not raised. Half-valid trading state is worse than none because the system keeps acting on it; absent routes into the existing fail-closed path (no indicators -&gt; no signal). Logged loudly.
  - is_kill_switch_active FAILS CLOSED — an unreachable Redis returns True (halted). A false halt costs a trade; a false all-clear costs an uncontrolled position. Tested against a dead endpoint.
  - assert_noeviction() refuses to start if Redis is not noeviction, because under any eviction policy Redis silently discards positions or the kill switch with no error at the point of loss.
ISSUES FOUND AND FIXED DURING THE BUILD:
  1. bandit S105 false-positived on _TOKEN_BUCKET_LUA (matches "token" in the identifier). A noqa CANNOT go on that line — it ends by opening a triple-quoted string, so the comment becomes Lua source, and # is not a comment in Lua, which silently corrupts the script. Renamed the constant instead.
  2. Package named common/redis shadows the library by name; verified safe because Python 3 uses absolute imports. Documented in __init__.
NOT DONE HERE: stream helpers live in E01-S04; keys.py already provides their key builders.</t>
        </is>
      </c>
      <c r="W17" s="49" t="n"/>
    </row>
    <row r="18" ht="30" customHeight="1" s="59">
      <c r="A18" s="38" t="inlineStr">
        <is>
          <t>E01-S04</t>
        </is>
      </c>
      <c r="B18" s="39" t="inlineStr">
        <is>
          <t>E01</t>
        </is>
      </c>
      <c r="C18" s="40" t="inlineStr">
        <is>
          <t>PERSISTENCE &amp; DATA LAYER</t>
        </is>
      </c>
      <c r="D18" s="40" t="inlineStr">
        <is>
          <t>Event stream abstraction</t>
        </is>
      </c>
      <c r="E18" s="40" t="inlineStr">
        <is>
          <t>Closed</t>
        </is>
      </c>
      <c r="F18" s="41" t="inlineStr">
        <is>
          <t>P0</t>
        </is>
      </c>
      <c r="G18" s="39" t="inlineStr">
        <is>
          <t>1</t>
        </is>
      </c>
      <c r="H18" s="50" t="inlineStr">
        <is>
          <t>Correctness-critical</t>
        </is>
      </c>
      <c r="I18" s="39" t="inlineStr">
        <is>
          <t>INFRA</t>
        </is>
      </c>
      <c r="J18" s="43" t="n">
        <v>1.5</v>
      </c>
      <c r="K18" s="40" t="inlineStr">
        <is>
          <t>E01-S03</t>
        </is>
      </c>
      <c r="L18" s="40" t="n"/>
      <c r="M18" s="44" t="n"/>
      <c r="N18" s="45" t="n">
        <v>1</v>
      </c>
      <c r="O18" s="46" t="n"/>
      <c r="P18" s="46" t="n"/>
      <c r="Q18" s="47" t="n">
        <v>100</v>
      </c>
      <c r="R18" s="39" t="n">
        <v>6</v>
      </c>
      <c r="S18" s="48" t="inlineStr">
        <is>
          <t>As a developer, I want a typed wrapper over Redis Streams with consumer groups, so that no event is lost when a consumer restarts.</t>
        </is>
      </c>
      <c r="T18" s="48" t="inlineStr">
        <is>
          <t>1. `EventStream` publish/subscribe with Pydantic envelopes
2. Consumer group creation and management
3. Explicit acknowledgement
4. Pending-entry recovery on restart
5. Dead-letter handling after N failures
6. `schema_version` on every envelope</t>
        </is>
      </c>
      <c r="U18" s="48" t="inlineStr">
        <is>
          <t>• Kill a consumer mid-stream; on restart it processes the unacked backlog
• Messages published while a consumer is down are delivered on return</t>
        </is>
      </c>
      <c r="V18" s="48" t="inlineStr">
        <is>
          <t>CLOSED 7 Aug 2026. Event stream layer complete; 27 integration tests including the epic's headline acceptance criterion.
DELIVERED: common/events/ — envelope.py (versioned, immutable, correlation-carrying) and stream.py (publish, consumer groups, backlog recovery, reclaim, dead-letter).
THE STORY'S REAL CONTENT — maxlen is a REQUIRED keyword argument on publish(), with no default. Redis runs maxmemory 2gb + noeviction. That policy is right (trading state must never be silently evicted) but it means an untrimmed stream does NOT drop old entries — it fills memory and Redis then REFUSES ALL WRITES, system-wide, mid-session. stream:ticks alone is ~10 MB/day. A stream publishable without a bound should not be constructible, and now is not.
ACCEPTANCE CRITERION PROVEN: test_crash_mid_stream_loses_nothing — publish 100, consume+ack 50, strand 10 unacked (the crash), restart, assert all 100 processed and pending == 0. This catches the single easiest mistake in the component: on restart a consumer MUST read its own pending backlog at id '0' first. A '&gt;' read returns only NEW messages, so every entry in flight at the moment of a crash is invisible and stranded forever. Backlog is also drained BEFORE new messages, since taking new work ahead of older unacked work reorders the stream from the consumer's view.
DESIGN DECISIONS AND WHY:
  - At-least-once delivery, consumers idempotent. Correct rather than a limitation: a bar processed twice yields the same indicator state; a duplicate signal is caught by lock:symbol and uq_open_symbol; a duplicate audit event by message_id. Exactly-once would need distributed transactions across Redis and Postgres for no practical gain.
  - Approximate trimming (MAXLEN ~). The property needed is "bounded", not "exactly N"; exact trimming is materially more expensive. The test asserts boundedness, not equality, so it does not encode a Redis implementation detail.
  - Dead-letter writes to the DLQ BEFORE acking the original. If the process dies between the two the entry stays pending and is retried — recoverable. Acking first would lose it outright.
  - A malformed entry is logged and SKIPPED, never raised out of the read loop. One poisoned message must not stop the stream. Envelope.from_fields raises ValueError specifically so consumers can catch a narrow type to dead-letter.
  - schema_version present from message one — retrofitting it onto streams that already hold unversioned entries means writing a shim that guesses.
  - Consumer names carry a uuid suffix. Two processes sharing a name share a pending list, so one can acknowledge the other's in-flight work.
  - Payload is nested JSON in ONE stream field, not spread across fields. Redis stream fields are a flat string map; flattening would lose type information exactly where Decimal matters.
ISSUE FOUND AND FIXED: redis-py types the xadd field map as an invariant dict of bytes|str|int|float; dict[str, str] is a valid subset but mypy will not narrow it. Cast with the reason recorded in place rather than loosening the function signature.</t>
        </is>
      </c>
      <c r="W18" s="49" t="n"/>
    </row>
    <row r="19" ht="30" customHeight="1" s="59">
      <c r="A19" s="38" t="inlineStr">
        <is>
          <t>E01-S05</t>
        </is>
      </c>
      <c r="B19" s="39" t="inlineStr">
        <is>
          <t>E01</t>
        </is>
      </c>
      <c r="C19" s="40" t="inlineStr">
        <is>
          <t>PERSISTENCE &amp; DATA LAYER</t>
        </is>
      </c>
      <c r="D19" s="40" t="inlineStr">
        <is>
          <t>Audit log writer with hash chaining</t>
        </is>
      </c>
      <c r="E19" s="40" t="inlineStr">
        <is>
          <t>Closed</t>
        </is>
      </c>
      <c r="F19" s="41" t="inlineStr">
        <is>
          <t>P0</t>
        </is>
      </c>
      <c r="G19" s="39" t="inlineStr">
        <is>
          <t>1</t>
        </is>
      </c>
      <c r="H19" s="51" t="inlineStr">
        <is>
          <t>Safety-critical</t>
        </is>
      </c>
      <c r="I19" s="39" t="inlineStr">
        <is>
          <t>SEC</t>
        </is>
      </c>
      <c r="J19" s="43" t="n">
        <v>1</v>
      </c>
      <c r="K19" s="40" t="inlineStr">
        <is>
          <t>E01-S01</t>
        </is>
      </c>
      <c r="L19" s="40" t="n"/>
      <c r="M19" s="44" t="n"/>
      <c r="N19" s="45" t="n">
        <v>1</v>
      </c>
      <c r="O19" s="46" t="n"/>
      <c r="P19" s="46" t="n"/>
      <c r="Q19" s="47" t="n">
        <v>100</v>
      </c>
      <c r="R19" s="39" t="n">
        <v>5</v>
      </c>
      <c r="S19" s="48" t="inlineStr">
        <is>
          <t>As an operator, I want every decision written to an append-only hash-chained log, so that tampering is detectable and I can substantiate any trade.</t>
        </is>
      </c>
      <c r="T19" s="48" t="inlineStr">
        <is>
          <t>1. `AuditWriter` — append-only, never updates
2. Hash chain: each row includes the previous row's hash
3. `correlation_id` on every entry
4. Chain verification utility
5. Buffer to disk if the DB is unavailable, replay on recovery</t>
        </is>
      </c>
      <c r="U19" s="48" t="inlineStr">
        <is>
          <t>• Modifying a historical row is detected by the verifier
• DB outage does not lose audit entries</t>
        </is>
      </c>
      <c r="V19" s="48" t="inlineStr">
        <is>
          <t>CLOSED 7 Aug 2026. SAFETY-CRITICAL (red) — the strict DoD was met in full and NOT relaxed by the reprioritisation. 30 tests: property-based over generated sequences, explicit tamper tests, explicit outage tests, and a concurrency test.
DELIVERED: common/audit.py — canonical_json, compute_row_hash, AuditEntry, AuditWriter (with disk buffer), verify_chain.
THREE PROPERTIES, EACH ENFORCED STRUCTURALLY:
  1. Cannot be modified or deleted — the app role has INSERT but no UPDATE/DELETE (E01-S01 grants). Append-only by convention is a promise; by a missing grant it is a guarantee.
  2. Tampering is DETECTABLE even by someone who bypasses the grants. Each row hashes its predecessor's hash, so altering any historical row invalidates every hash after it. Tested: a modified payload, a flipped REJECT-&gt;ALLOW, a deleted row, and — the important one — a LOCALLY CONSISTENT FORGERY where the attacker recomputes that row's own hash. It still breaks, at the NEXT row. Hiding a change requires recomputing the entire remaining chain.
  3. Survives the DB being down. Entries buffer to disk (fsync per line) and replay in order on recovery; the chain is computed at replay time because a buffered entry's position is not knowable while the DB is down.
DESIGN DECISIONS AND WHY:
  - AuditWriter takes a session FACTORY, never a session. An audit entry written inside a business transaction VANISHES when that transaction rolls back — and a failed attempt is often exactly what you need to investigate. Making it a factory means sharing a transaction is impossible, not merely discouraged.
  - pg_advisory_xact_lock, taken BEFORE reading the chain head. Read-then-lock lets two writers observe the same prev_hash and fork the chain — and a forked chain fails verification with no tampering having occurred. Transaction-scoped so a crashed writer cannot leak the lock. Proven by a 20-write concurrent test asserting one valid chain with contiguous seq.
  - write() NEVER raises on a DB failure. An audit write that killed the caller would mean a database blip stops trading AND loses the record of why.
  - canonical_json with sort_keys: Python dicts are insertion-ordered, so the same logical payload built by two code paths would hash differently and fail verification for no reason.
  - Timestamps normalised to UTC before hashing, so a row hashed in one timezone verifies in another. Naive timestamps are refused outright.
  - GLOBAL chain, not per-correlation_id. The per-correlation alternative is simpler and lock-free but CANNOT detect deletion of an entire trade's worth of entries — precisely the tampering worth defending against. Tested.
  - A failed replay KEEPS the buffer file for retry. Deleting first and failing after would lose entries permanently; retrying at worst duplicates, which is recoverable.
ISSUE FOUND AND FIXED: create_engine_from_url had no connect timeout, so the outage tests pointed at a dead endpoint HUNG the suite on the OS TCP timeout (minutes). Added connect_timeout, defaulting to 10s. This is a production concern too, not just a test one: without it "the database is down" presents as "the process appears to hang", which is a far worse failure to diagnose at 09:15.
SECURITY: verify_chain originally interpolated its WHERE clause and needed an S608 suppression that kept drifting as the formatter reflowed the string. Rewritten as a four-entry lookup table of complete literal queries — no interpolation at all, so there is no injection surface to justify rather than a justified one. Better answer than a noqa.</t>
        </is>
      </c>
      <c r="W19" s="49" t="n"/>
      <c r="X19" s="75" t="inlineStr">
        <is>
          <t>The hash chain cannot detect TRUNCATION. Deleting the last N rows leaves a perfectly valid chain — verification passes. The append-only GRANT is the real control there and it is tested, but if you ever need tamper-evidence against someone with DB owner rights, that needs an external anchor (periodically publishing the tip hash somewhere the DB cannot reach). Decide whether that is in scope before relying on the chain for a compliance claim.</t>
        </is>
      </c>
    </row>
    <row r="20" ht="30" customHeight="1" s="59">
      <c r="A20" s="38" t="inlineStr">
        <is>
          <t>E01-S06</t>
        </is>
      </c>
      <c r="B20" s="39" t="inlineStr">
        <is>
          <t>E01</t>
        </is>
      </c>
      <c r="C20" s="40" t="inlineStr">
        <is>
          <t>PERSISTENCE &amp; DATA LAYER</t>
        </is>
      </c>
      <c r="D20" s="40" t="inlineStr">
        <is>
          <t>Data retention and archival</t>
        </is>
      </c>
      <c r="E20" s="40" t="inlineStr">
        <is>
          <t>Closed</t>
        </is>
      </c>
      <c r="F20" s="52" t="inlineStr">
        <is>
          <t>P2</t>
        </is>
      </c>
      <c r="G20" s="39" t="inlineStr">
        <is>
          <t>6</t>
        </is>
      </c>
      <c r="H20" s="42" t="inlineStr">
        <is>
          <t>Low</t>
        </is>
      </c>
      <c r="I20" s="39" t="inlineStr">
        <is>
          <t>OPS</t>
        </is>
      </c>
      <c r="J20" s="43" t="n">
        <v>0.5</v>
      </c>
      <c r="K20" s="40" t="inlineStr">
        <is>
          <t>E01-S01</t>
        </is>
      </c>
      <c r="L20" s="40" t="n"/>
      <c r="M20" s="44" t="n"/>
      <c r="N20" s="45" t="n">
        <v>16</v>
      </c>
      <c r="O20" s="46" t="n"/>
      <c r="P20" s="46" t="n"/>
      <c r="Q20" s="47" t="n">
        <v>100</v>
      </c>
      <c r="R20" s="39" t="n">
        <v>3</v>
      </c>
      <c r="S20" s="48" t="inlineStr">
        <is>
          <t>As an operator, I want old tick data archived to Parquet, so that the database stays small without losing replay capability.</t>
        </is>
      </c>
      <c r="T20" s="48" t="inlineStr">
        <is>
          <t>1. Nightly job: ticks older than 24h → Parquet
2. Compression policy verification
3. Restore-from-archive utility</t>
        </is>
      </c>
      <c r="U20" s="48" t="n"/>
      <c r="V20" s="48" t="inlineStr">
        <is>
          <t>CLOSED 7 Aug 2026. Retention, archival and restore complete; 16 integration tests. This was P2/Phase 6 and originally scheduled for Sprint 16 — built now because the direction is to complete every E01 item and it has no blocker.
DELIVERED: common/db/retention.py — archive_bars, read_archive, restore_bars, purge_archived_bars, compression_status.
THE SAFETY PROPERTY THIS STORY IS REALLY ABOUT — market data CANNOT BE RE-DERIVED. A gap is permanent and silently corrupts every future backtest over that window. So:
  - archive_bars WRITES AND READS BACK, comparing row counts, before returning. A write that reports success having produced a truncated file is exactly the failure an archive must not have, and it is only detectable by reading.
  - Nothing in archive_bars deletes. purge_archived_bars is a SEPARATE call that re-reads the archive and refuses unless it holds at least as many rows as the database does for that range. Both refusals are tested, each paired with a control proving the refusal is targeted rather than blanket.
  - An EMPTY range is refused outright. An empty archive would later look like a verified archive of nothing and could authorise a purge of data it never held.
  - The full cycle is tested: archive -&gt; purge -&gt; restore -&gt; prices still exact. An archive nobody has restored from is a hypothesis, not a backup.
DESIGN DECISIONS AND WHY:
  - Decimals are archived as STRINGS, not floats. A float round trip loses exactness and would silently corrupt every archived price — the one thing this file exists to preserve faithfully. Asserted directly.
  - Parquet over CSV: columnar, ~10x compression on this shape, preserves types, and readable by pandas/DuckDB/Polars with no loader. CSV would turn every Decimal into a string and every timestamp into an ambiguous one.
  - restore uses ON CONFLICT DO NOTHING, not DO UPDATE. The archive is older by definition, so the live copy is authoritative; a restore that overwrote would roll back corrections that arrived after the archive was taken. Tested.
  - compression_status treats ZERO compressed chunks as HEALTHY on a young database — nothing is 90 days old yet. What matters is that the policy is scheduled and its last run did not fail. A policy that silently stops converting produces no error at all; the first symptom is the disk filling weeks later.
DEPENDENCY DECISION (procedure §8.2 — a decision, not a blocker): pyarrow was not installed or declared. Added as a main dependency at &gt;=18.0 (installed 25.0.0). It is large (~100 MB) but is the standard implementation and the archive job runs in the same deployment as everything else. Also added to the mypy ignore_missing_imports overrides, since it ships no stubs.</t>
        </is>
      </c>
      <c r="W20" s="49" t="n"/>
    </row>
    <row r="21" ht="30" customHeight="1" s="59">
      <c r="A21" s="38" t="inlineStr">
        <is>
          <t>E01-S07</t>
        </is>
      </c>
      <c r="B21" s="39" t="inlineStr">
        <is>
          <t>E01</t>
        </is>
      </c>
      <c r="C21" s="40" t="inlineStr">
        <is>
          <t>PERSISTENCE &amp; DATA LAYER</t>
        </is>
      </c>
      <c r="D21" s="40" t="inlineStr">
        <is>
          <t>Datastore scaffolding and Alembic bootstrap</t>
        </is>
      </c>
      <c r="E21" s="40" t="inlineStr">
        <is>
          <t>Closed</t>
        </is>
      </c>
      <c r="F21" s="52" t="inlineStr">
        <is>
          <t>P0</t>
        </is>
      </c>
      <c r="G21" s="39" t="inlineStr">
        <is>
          <t>1</t>
        </is>
      </c>
      <c r="H21" s="42" t="inlineStr">
        <is>
          <t>Correctness-critical</t>
        </is>
      </c>
      <c r="I21" s="39" t="inlineStr">
        <is>
          <t>INFRA</t>
        </is>
      </c>
      <c r="J21" s="43" t="n">
        <v>1</v>
      </c>
      <c r="K21" s="40" t="inlineStr">
        <is>
          <t>none</t>
        </is>
      </c>
      <c r="L21" s="40" t="inlineStr">
        <is>
          <t>None</t>
        </is>
      </c>
      <c r="M21" s="44" t="inlineStr">
        <is>
          <t>None</t>
        </is>
      </c>
      <c r="N21" s="45" t="n">
        <v>1</v>
      </c>
      <c r="O21" s="46" t="inlineStr">
        <is>
          <t>None</t>
        </is>
      </c>
      <c r="P21" s="46" t="inlineStr">
        <is>
          <t>None</t>
        </is>
      </c>
      <c r="Q21" s="47" t="n">
        <v>100</v>
      </c>
      <c r="R21" s="39" t="n">
        <v>6</v>
      </c>
      <c r="S21" s="48" t="inlineStr">
        <is>
          <t>As a developer, I want the database/Redis configuration, the Alembic environment and the container test fixtures to exist, so that E01-S01 can start writing migrations instead of first building the ground they run on.</t>
        </is>
      </c>
      <c r="T21" s="48" t="inlineStr">
        <is>
          <t>1. DatabaseConfig + RedisConfig in common/config.py; database:/redis: sections in system.yaml
2. alembic.ini + migrations/env.py wired to load_config(), with the TimescaleDB chunk filter on autogenerate
3. common/db/base.py — DeclarativeBase + constraint naming convention
4. common/db/eventloop.py — Windows ProactorEventLoop fix for async psycopg
5. .env.example credential split; docker-compose DATABASE_URL/REDIS_URL injection; Makefile --env-file fix
6. tests/conftest.py container fixtures + 6 scaffold integration tests</t>
        </is>
      </c>
      <c r="U21" s="48" t="inlineStr">
        <is>
          <t>• `alembic upgrade head` runs (and fails with a helpful message when no password is configured)
• Container fixtures start TimescaleDB + Redis and SKIP rather than fail when Docker is down
• `doctor` reports which datastore config source is in effect
• Test container image is read from docker-compose so it cannot drift
• Full suite green</t>
        </is>
      </c>
      <c r="V21" s="48" t="inlineStr">
        <is>
          <t>CLOSED — completed 7 Aug 2026, ahead of E01-S01.
Added retrospectively: this work was NOT in the backlog, but E01-S01 task 1 assumed all of it existed. Recording it so the 2-day E01-S01 estimate is not silently carrying another day of work.
FOUR BLOCKERS FOUND BY EXECUTION, each of which would have stopped E01-S01 on day one:
  1. async psycopg refuses Windows' default ProactorEventLoop — `make migrate` failed outright with InterfaceError. Invisible on Linux/macOS, so CI would never have caught it.
  2. `make up` never passed compose an --env-file, so it failed even with a correct .env.
  3. GRAFANA_PASSWORD required by compose but missing from .env.example.
  4. `make` is not installed on this machine at all.
Result: 118 tests passing (112 + 6 new). See Code/SETUP.md.</t>
        </is>
      </c>
      <c r="W21" s="49" t="inlineStr">
        <is>
          <t>Verified empirically rather than from docs:
• TimescaleDB 2.17.2 has add_compression_policy only; 2.29.1 has BOTH that and add_columnstore_policy — so the pin upgrade is backward compatible. Registry says 2.29.1 is current (a web source claiming 2.20.2 was stale).
• TA-Lib resolved to a prebuilt Windows wheel (0.7.1) — NOT the install blocker it appeared to be.
• testcontainers: .postgres/.redis import paths are deprecated (use .community.*), and PostgresContainer defaults to driver='psycopg2' which this project does not install.</t>
        </is>
      </c>
    </row>
    <row r="22" ht="30" customHeight="1" s="59">
      <c r="A22" s="38" t="inlineStr">
        <is>
          <t>E01-S08</t>
        </is>
      </c>
      <c r="B22" s="39" t="inlineStr">
        <is>
          <t>E01</t>
        </is>
      </c>
      <c r="C22" s="40" t="inlineStr">
        <is>
          <t>PERSISTENCE &amp; DATA LAYER</t>
        </is>
      </c>
      <c r="D22" s="40" t="inlineStr">
        <is>
          <t>Clear lint debt so `make check` can gate merges</t>
        </is>
      </c>
      <c r="E22" s="40" t="inlineStr">
        <is>
          <t>Closed</t>
        </is>
      </c>
      <c r="F22" s="52" t="inlineStr">
        <is>
          <t>P1</t>
        </is>
      </c>
      <c r="G22" s="39" t="inlineStr">
        <is>
          <t>1</t>
        </is>
      </c>
      <c r="H22" s="42" t="inlineStr">
        <is>
          <t>Low</t>
        </is>
      </c>
      <c r="I22" s="39" t="inlineStr">
        <is>
          <t>INFRA</t>
        </is>
      </c>
      <c r="J22" s="43" t="n">
        <v>0.5</v>
      </c>
      <c r="K22" s="40" t="inlineStr">
        <is>
          <t>none</t>
        </is>
      </c>
      <c r="L22" s="40" t="inlineStr">
        <is>
          <t>None</t>
        </is>
      </c>
      <c r="M22" s="44" t="inlineStr">
        <is>
          <t>None</t>
        </is>
      </c>
      <c r="N22" s="45" t="n">
        <v>1</v>
      </c>
      <c r="O22" s="46" t="inlineStr">
        <is>
          <t>None</t>
        </is>
      </c>
      <c r="P22" s="46" t="inlineStr">
        <is>
          <t>None</t>
        </is>
      </c>
      <c r="Q22" s="47" t="n">
        <v>100</v>
      </c>
      <c r="R22" s="39" t="n">
        <v>4</v>
      </c>
      <c r="S22" s="48" t="inlineStr">
        <is>
          <t>As a developer, I want `make check` to exit 0 on a clean tree, so that it can be used as a merge gate for E01 instead of being a command everyone knows is already red.</t>
        </is>
      </c>
      <c r="T22" s="48" t="inlineStr">
        <is>
          <t>1. `ruff check --fix .` — clears 14 of 30 automatically
2. `ruff format .`
3. Fix the remainder by hand: line length, ambiguous Unicode in docstrings, unused noqa directives, one assert_raises_exception, one hardcoded-password-string (test fixture — confirm it is a false positive before silencing)
4. Confirm `make check` exits 0, then treat any future failure as a genuine regression</t>
        </is>
      </c>
      <c r="U22" s="48" t="inlineStr">
        <is>
          <t>• `ruff check .` reports no errors
• `ruff format --check .` reports no changes needed
• `make check` (lint + types + tests) exits 0
• No test is deleted or skipped to achieve the above</t>
        </is>
      </c>
      <c r="V22" s="48" t="inlineStr">
        <is>
          <t>CLOSED 7 Aug 2026. `make check` (lint + types + tests) now exits 0 — the merge gate works.
Was 28 ruff errors + 1 mypy error. Auto-fix cleared 12; the rest were fixed individually: an S105 false positive on an auth-method NAME, RUF012 needing ClassVar, RUF043 needing a raw regex, B017 blind pytest.raises(Exception) narrowed to ValidationError, __all__ sorted, one stale type: ignore removed.
CONFIG DECISION: RUF001/002/003 confusables are configured via allowed-confusables rather than mangled. En dashes, ≤/≥ and ₹ are deliberate typography throughout the docs; rewriting them to ASCII would make the documentation worse. Anything NOT on the allowlist is still flagged, so a Cyrillic homoglyph in an identifier is still caught.
Done FIRST rather than last (the story originally said 'before E01-S01 merges'): a green gate from day one benefits every story after it.</t>
        </is>
      </c>
      <c r="W22" s="49" t="inlineStr">
        <is>
          <t>Sequence before E01-S01 merges, not before it starts — the two are independent and this one needs no design decisions. Half a day is generous; most of it is one command.</t>
        </is>
      </c>
    </row>
    <row r="23" ht="30" customHeight="1" s="59">
      <c r="A23" s="38" t="inlineStr">
        <is>
          <t>E02-S01</t>
        </is>
      </c>
      <c r="B23" s="39" t="inlineStr">
        <is>
          <t>E02</t>
        </is>
      </c>
      <c r="C23" s="40" t="inlineStr">
        <is>
          <t>BROKER INTEGRATION</t>
        </is>
      </c>
      <c r="D23" s="40" t="inlineStr">
        <is>
          <t>Kite Connect authentication — redirect flow</t>
        </is>
      </c>
      <c r="E23" s="40" t="inlineStr">
        <is>
          <t>Development Completed</t>
        </is>
      </c>
      <c r="F23" s="41" t="inlineStr">
        <is>
          <t>P0</t>
        </is>
      </c>
      <c r="G23" s="39" t="inlineStr">
        <is>
          <t>1</t>
        </is>
      </c>
      <c r="H23" s="51" t="inlineStr">
        <is>
          <t>Safety-critical</t>
        </is>
      </c>
      <c r="I23" s="39" t="inlineStr">
        <is>
          <t>SEC</t>
        </is>
      </c>
      <c r="J23" s="43" t="n">
        <v>2</v>
      </c>
      <c r="K23" s="40" t="inlineStr">
        <is>
          <t>none</t>
        </is>
      </c>
      <c r="L23" s="40" t="n"/>
      <c r="M23" s="44" t="n"/>
      <c r="N23" s="45" t="n"/>
      <c r="O23" s="46" t="n"/>
      <c r="P23" s="46" t="n"/>
      <c r="Q23" s="47" t="n">
        <v>0.9</v>
      </c>
      <c r="R23" s="39" t="n">
        <v>7</v>
      </c>
      <c r="S23" s="48" t="inlineStr">
        <is>
          <t>As a trader, I want the daily Zerodha login to complete through a link I tap on my phone, so that the system has a valid session before pre-open without me sitting at a laptop.</t>
        </is>
      </c>
      <c r="T23" s="48" t="inlineStr">
        <is>
          <t>1. Generate the Kite login URL with `api_key`
2. Local callback endpoint receiving `request_token`
3. Exchange `request_token` + `api_secret` → `access_token`
4. Store token as `SecretString` in Redis with TTL to next pre-open
5. Send the login link via Telegram at the configured time
6. Confirm success back to Telegram
7. Alert loudly on failure — this blocks the trading day</t>
        </is>
      </c>
      <c r="U23" s="48" t="inlineStr">
        <is>
          <t>• Full flow completes from a phone in under 60 seconds
• Token never appears in any log
• Expired token is detected before the pre-market job starts</t>
        </is>
      </c>
      <c r="V23" s="48" t="inlineStr">
        <is>
          <t>Auth manager, session lifecycle, login-URL builder AND the client factory are built and tested. session.py now completes the redirect login: build_client() and exchange_request_token(). The raw token is revealed at exactly two points, both handing it straight to the SDK, with a test that fails if a third appears.
SECURITY: the re-auth notice carries NO login link - ReauthNotice has no url field at all, so the phishing reflex cannot be reintroduced by a later edit. The api_key is validated before it reaches the login URL (QA-SEC-15): unvalidated, an injected redirect_uri steers your request_token to an attacker while you are on a genuine Zerodha page.
Remaining 10%: verifying the exchange against a live request_token, and the callback endpoint - which is the same network decision as E17-S01's dashboard access (localhost vs phone). Decide them together.</t>
        </is>
      </c>
      <c r="W23" s="49" t="n"/>
      <c r="X23" s="75" t="inlineStr">
        <is>
          <t>TWO issues. (1) Task 5 sends a login link over Telegram, which trains you to authenticate from an inbound message — the consent-phishing pattern. Anyone who can post one message (leaked bot token, SIM-swapped Telegram, lookalike bot) sends a link to THEIR Kite app at the time you expect it; you authenticate on a genuine Zerodha page and hand them a request_token they exchange with their own api_secret. 2FA does not help — you are authorising the wrong app, not leaking a password. Server-side nonce checks cannot help either: the attack completes entirely outside your system. FIX: send a notification with NO link; open the dashboard from your own bookmark. (2) Task 2 says 'local callback endpoint' but acceptance says 'completes from a phone'. A phone cannot reach 127.0.0.1 on the server. Either the callback is publicly reachable over HTTPS — which puts an inbound endpoint on the box holding broker credentials, against the internal-network design — or the flow completes on the server host. Decide before building.</t>
        </is>
      </c>
    </row>
    <row r="24" ht="30" customHeight="1" s="59">
      <c r="A24" s="38" t="inlineStr">
        <is>
          <t>E02-S02</t>
        </is>
      </c>
      <c r="B24" s="39" t="inlineStr">
        <is>
          <t>E02</t>
        </is>
      </c>
      <c r="C24" s="40" t="inlineStr">
        <is>
          <t>BROKER INTEGRATION</t>
        </is>
      </c>
      <c r="D24" s="40" t="inlineStr">
        <is>
          <t>Session lifecycle and daily re-auth scheduling</t>
        </is>
      </c>
      <c r="E24" s="40" t="inlineStr">
        <is>
          <t>Development Completed</t>
        </is>
      </c>
      <c r="F24" s="41" t="inlineStr">
        <is>
          <t>P0</t>
        </is>
      </c>
      <c r="G24" s="39" t="inlineStr">
        <is>
          <t>1</t>
        </is>
      </c>
      <c r="H24" s="51" t="inlineStr">
        <is>
          <t>Safety-critical</t>
        </is>
      </c>
      <c r="I24" s="39" t="inlineStr">
        <is>
          <t>SEC</t>
        </is>
      </c>
      <c r="J24" s="43" t="n">
        <v>1</v>
      </c>
      <c r="K24" s="40" t="inlineStr">
        <is>
          <t>E02-S01</t>
        </is>
      </c>
      <c r="L24" s="40" t="n"/>
      <c r="M24" s="44" t="n"/>
      <c r="N24" s="45" t="n"/>
      <c r="O24" s="46" t="n"/>
      <c r="P24" s="46" t="n"/>
      <c r="Q24" s="47" t="n">
        <v>0.7</v>
      </c>
      <c r="R24" s="39" t="n">
        <v>5</v>
      </c>
      <c r="S24" s="48" t="inlineStr">
        <is>
          <t>As a compliance-conscious operator, I want sessions to expire and re-establish daily, so that the SEBI auto-logout requirement is met by design.</t>
        </is>
      </c>
      <c r="T24" s="48" t="inlineStr">
        <is>
          <t>1. Scheduled trigger at `broker.auth.daily_reauth_time`
2. Session validity check before every trading-day transition
3. Retry with backoff ×3, then halt the day
4. `auth.refreshed` / `auth.failed` events
5. Health gate integration — no valid session means no trading</t>
        </is>
      </c>
      <c r="U24" s="48" t="inlineStr">
        <is>
          <t>• 20 consecutive sessions authenticate successfully
• A failed auth prevents the session reaching `TRADING`</t>
        </is>
      </c>
      <c r="V24" s="48" t="inlineStr">
        <is>
          <t>Session validity, expiry-at-next-reauth and the notice hook are built and tested. Remaining: wiring the scheduled trigger and the health gate, which belong to the orchestrator rather than the broker layer.</t>
        </is>
      </c>
      <c r="W24" s="49" t="n"/>
    </row>
    <row r="25" ht="30" customHeight="1" s="59">
      <c r="A25" s="38" t="inlineStr">
        <is>
          <t>E02-S03</t>
        </is>
      </c>
      <c r="B25" s="39" t="inlineStr">
        <is>
          <t>E02</t>
        </is>
      </c>
      <c r="C25" s="40" t="inlineStr">
        <is>
          <t>BROKER INTEGRATION</t>
        </is>
      </c>
      <c r="D25" s="40" t="inlineStr">
        <is>
          <t>Read-only market data adapter</t>
        </is>
      </c>
      <c r="E25" s="40" t="inlineStr">
        <is>
          <t>QA-Success</t>
        </is>
      </c>
      <c r="F25" s="41" t="inlineStr">
        <is>
          <t>P0</t>
        </is>
      </c>
      <c r="G25" s="39" t="inlineStr">
        <is>
          <t>1</t>
        </is>
      </c>
      <c r="H25" s="50" t="inlineStr">
        <is>
          <t>Correctness-critical</t>
        </is>
      </c>
      <c r="I25" s="39" t="inlineStr">
        <is>
          <t>FEAT</t>
        </is>
      </c>
      <c r="J25" s="43" t="n">
        <v>1.5</v>
      </c>
      <c r="K25" s="40" t="inlineStr">
        <is>
          <t>E02-S01</t>
        </is>
      </c>
      <c r="L25" s="40" t="n"/>
      <c r="M25" s="44" t="n"/>
      <c r="N25" s="45" t="n"/>
      <c r="O25" s="46" t="n"/>
      <c r="P25" s="46" t="n"/>
      <c r="Q25" s="47" t="n">
        <v>1</v>
      </c>
      <c r="R25" s="39" t="n">
        <v>4</v>
      </c>
      <c r="S25" s="48" t="inlineStr">
        <is>
          <t>As a developer, I want a read-only Kite adapter, so that data services physically cannot place orders.</t>
        </is>
      </c>
      <c r="T25" s="48" t="inlineStr">
        <is>
          <t>1. Implement `MarketDataAdapter` for Kite
2. `fetch_instruments`, `fetch_historical`, quote endpoints
3. Apply `ReadOnlyGuard` so trading methods raise
4. Map Kite errors to the adapter's error taxonomy</t>
        </is>
      </c>
      <c r="U25" s="48" t="inlineStr">
        <is>
          <t>• Calling `place_order` on this adapter raises `PermissionError`
• Data endpoints work from a non-whitelisted IP (verifying the order-only scope)</t>
        </is>
      </c>
      <c r="V25" s="48" t="inlineStr">
        <is>
          <t>Read-only adapter built on ReadOnlyGuard; place/modify/cancel all raise PermissionError, asserted. subscribe() deliberately raises: E05-S01 will implement the documented Kite WebSocket wire protocol rather than KiteTicker, which avoids autobahn 19.11.2 (CVE-2020-35678, blocker B7) and the Twisted reactor bridging problem in one move. Needs no static IP - Zerodha validates the whitelist on order endpoints only.</t>
        </is>
      </c>
      <c r="W25" s="49" t="n"/>
    </row>
    <row r="26" ht="30" customHeight="1" s="59">
      <c r="A26" s="38" t="inlineStr">
        <is>
          <t>E02-S04</t>
        </is>
      </c>
      <c r="B26" s="39" t="inlineStr">
        <is>
          <t>E02</t>
        </is>
      </c>
      <c r="C26" s="40" t="inlineStr">
        <is>
          <t>BROKER INTEGRATION</t>
        </is>
      </c>
      <c r="D26" s="40" t="inlineStr">
        <is>
          <t>Trading adapter with market protection</t>
        </is>
      </c>
      <c r="E26" s="40" t="inlineStr">
        <is>
          <t>QA-Success</t>
        </is>
      </c>
      <c r="F26" s="41" t="inlineStr">
        <is>
          <t>P0</t>
        </is>
      </c>
      <c r="G26" s="39" t="inlineStr">
        <is>
          <t>5</t>
        </is>
      </c>
      <c r="H26" s="51" t="inlineStr">
        <is>
          <t>Safety-critical</t>
        </is>
      </c>
      <c r="I26" s="39" t="inlineStr">
        <is>
          <t>FEAT</t>
        </is>
      </c>
      <c r="J26" s="43" t="n">
        <v>2</v>
      </c>
      <c r="K26" s="40" t="inlineStr">
        <is>
          <t>E02-S03, E14-S01</t>
        </is>
      </c>
      <c r="L26" s="40" t="n"/>
      <c r="M26" s="44" t="n"/>
      <c r="N26" s="45" t="n"/>
      <c r="O26" s="46" t="n"/>
      <c r="P26" s="46" t="n"/>
      <c r="Q26" s="47" t="n">
        <v>1</v>
      </c>
      <c r="R26" s="39" t="n">
        <v>7</v>
      </c>
      <c r="S26" s="48" t="inlineStr">
        <is>
          <t>As a trader, I want orders placed correctly with market protection attached, so that MARKET and SL-M orders are not rejected by the broker.</t>
        </is>
      </c>
      <c r="T26" s="48" t="inlineStr">
        <is>
          <t>1. Implement `TradingAdapter` for Kite
2. Attach `market_protection` on MARKET/SL-M
3. Attach Algo-ID per the confirmed mechanic (blocked on B1)
4. `place_order`, `modify_order`, `cancel_order`
5. `fetch_orderbook`, `fetch_positions`, `find_by_client_order_id`
6. Map broker errors → `OrderRejectedError` / `AmbiguousOrderError` / `RateLimitError`
7. Verify installed SDK exposes `market_protection`, fail startup if not</t>
        </is>
      </c>
      <c r="U26" s="48" t="inlineStr">
        <is>
          <t>• A MARKET order without protection is impossible to construct
• A timeout raises `AmbiguousOrderError`, never a silent retry</t>
        </is>
      </c>
      <c r="V26" s="48" t="inlineStr">
        <is>
          <t>Trading adapter with market protection enforced at the boundary (missing and zero both refused). client_order_id -&gt; Kite tag resolved: the tag is alphanumeric, max 20 chars, and IS returned in the orderbook, so broker_tag() truncates the sha256 id deterministically in one place and the submission and recovery paths are asserted to agree. Restructured so the trading adapter does NOT inherit ReadOnlyGuard - 'may trade' is stated positively rather than achieved by overriding a refusal.</t>
        </is>
      </c>
      <c r="W26" s="49" t="n"/>
      <c r="X26" s="75" t="inlineStr">
        <is>
          <t>RESOLVED Aug 2026. Kite's tag is alphanumeric, max 20 chars, and IS returned in the orderbook - confirmed against the API docs. broker_tag() truncates the sha256 id deterministically in one place, and a test asserts the submission and recovery paths produce the same value. A non-alphanumeric id is refused rather than silently mangled.
Two further defects were found here by QA and fixed: a foreign order type used to kill the whole orderbook read (QA-E02-01), and a duplicate tag used to be resolved by picking one (QA-E02-02).</t>
        </is>
      </c>
    </row>
    <row r="27" ht="30" customHeight="1" s="59">
      <c r="A27" s="38" t="inlineStr">
        <is>
          <t>E02-S05</t>
        </is>
      </c>
      <c r="B27" s="39" t="inlineStr">
        <is>
          <t>E02</t>
        </is>
      </c>
      <c r="C27" s="40" t="inlineStr">
        <is>
          <t>BROKER INTEGRATION</t>
        </is>
      </c>
      <c r="D27" s="40" t="inlineStr">
        <is>
          <t>Order rate limiting</t>
        </is>
      </c>
      <c r="E27" s="40" t="inlineStr">
        <is>
          <t>QA-Success</t>
        </is>
      </c>
      <c r="F27" s="41" t="inlineStr">
        <is>
          <t>P0</t>
        </is>
      </c>
      <c r="G27" s="39" t="inlineStr">
        <is>
          <t>5</t>
        </is>
      </c>
      <c r="H27" s="51" t="inlineStr">
        <is>
          <t>Safety-critical</t>
        </is>
      </c>
      <c r="I27" s="39" t="inlineStr">
        <is>
          <t>SEC</t>
        </is>
      </c>
      <c r="J27" s="43" t="n">
        <v>1</v>
      </c>
      <c r="K27" s="40" t="inlineStr">
        <is>
          <t>E01-S03, E02-S04</t>
        </is>
      </c>
      <c r="L27" s="40" t="n"/>
      <c r="M27" s="44" t="n"/>
      <c r="N27" s="45" t="n"/>
      <c r="O27" s="46" t="n"/>
      <c r="P27" s="46" t="n"/>
      <c r="Q27" s="47" t="n">
        <v>1</v>
      </c>
      <c r="R27" s="39" t="n">
        <v>5</v>
      </c>
      <c r="S27" s="48" t="inlineStr">
        <is>
          <t>As a compliance-conscious operator, I want the order rate capped in the adapter, so that no caller can breach the limit regardless of its behaviour.</t>
        </is>
      </c>
      <c r="T27" s="48" t="inlineStr">
        <is>
          <t>1. Redis token bucket wrapping `place_order`
2. Separate bucket for data endpoints
3. Backpressure: queue with depth limit
4. Reject new signals rather than delay orders unboundedly
5. `orders_rate_limited_total` metric</t>
        </is>
      </c>
      <c r="U27" s="48" t="inlineStr">
        <is>
          <t>• A deliberate flood of 100 orders/sec results in ≤ 3/sec reaching the broker
• Queue depth beyond threshold rejects rather than buffers</t>
        </is>
      </c>
      <c r="V27" s="48" t="inlineStr">
        <is>
          <t>Redis token bucket, account-wide key, orders and data on separate budgets so a backfill cannot starve an exit. Refuses rather than queues. Config refuses &gt;= 10 orders/sec in code. FOUND A REAL DEFECT while testing this - see QA-SEC-14.</t>
        </is>
      </c>
      <c r="W27" s="49" t="n"/>
      <c r="X27" s="75" t="inlineStr">
        <is>
          <t>RESOLVED Aug 2026, and CONFIRMED by Zerodha: ten OPS is account-specific, regardless of the number of apps. The bucket is account-scoped in Redis, orders and data have separate budgets so a backfill cannot starve an exit, and the config refuses ten or more per second in code.
STILL LIVE: the budget is shared with anything else trading the account, including the Kite mobile app. Running at 3/sec against a cap of 10 leaves that headroom deliberately - but manual trading during a session eats into it.</t>
        </is>
      </c>
    </row>
    <row r="28" ht="30" customHeight="1" s="59">
      <c r="A28" s="38" t="inlineStr">
        <is>
          <t>E02-S06</t>
        </is>
      </c>
      <c r="B28" s="39" t="inlineStr">
        <is>
          <t>E02</t>
        </is>
      </c>
      <c r="C28" s="40" t="inlineStr">
        <is>
          <t>BROKER INTEGRATION</t>
        </is>
      </c>
      <c r="D28" s="40" t="inlineStr">
        <is>
          <t>Instrument master synchronisation</t>
        </is>
      </c>
      <c r="E28" s="40" t="inlineStr">
        <is>
          <t>QA-Success</t>
        </is>
      </c>
      <c r="F28" s="41" t="inlineStr">
        <is>
          <t>P0</t>
        </is>
      </c>
      <c r="G28" s="39" t="inlineStr">
        <is>
          <t>1</t>
        </is>
      </c>
      <c r="H28" s="50" t="inlineStr">
        <is>
          <t>Correctness-critical</t>
        </is>
      </c>
      <c r="I28" s="39" t="inlineStr">
        <is>
          <t>FEAT</t>
        </is>
      </c>
      <c r="J28" s="43" t="n">
        <v>1</v>
      </c>
      <c r="K28" s="40" t="inlineStr">
        <is>
          <t>E01-S02, E02-S03</t>
        </is>
      </c>
      <c r="L28" s="40" t="n"/>
      <c r="M28" s="44" t="n"/>
      <c r="N28" s="45" t="n"/>
      <c r="O28" s="46" t="n"/>
      <c r="P28" s="46" t="n"/>
      <c r="Q28" s="47" t="n">
        <v>1</v>
      </c>
      <c r="R28" s="39" t="n">
        <v>4</v>
      </c>
      <c r="S28" s="48" t="inlineStr">
        <is>
          <t>As a system, I need the current instrument master, so that symbols map to broker tokens, lot sizes and tick sizes correctly.</t>
        </is>
      </c>
      <c r="T28" s="48" t="inlineStr">
        <is>
          <t>1. Daily fetch of the instrument dump
2. Upsert into `instruments`
3. Detect and log symbol changes, delistings, new listings
4. Tick-size rounding helper verified against real instruments</t>
        </is>
      </c>
      <c r="U28" s="48" t="inlineStr">
        <is>
          <t>• A limit price is always snapped to a valid tick before submission</t>
        </is>
      </c>
      <c r="V28" s="48" t="inlineStr">
        <is>
          <t>Instrument sync with new-listing and delisting detection, and an implausibility check so a truncated download is loud rather than silently shrinking the universe. Side-aware tick rounding added: buy rounds down, sell rounds up, so neither side ever pays more than intended.</t>
        </is>
      </c>
      <c r="W28" s="49" t="n"/>
      <c r="X28" s="75" t="inlineStr">
        <is>
          <t>RESOLVED Aug 2026, and it was worse than this concern described. Side-aware rounding was written and tested (buy down, sell up, so neither side pays more than intended) - and then never called in the order path. The BA pass caught it: E02-S06's acceptance criterion says a limit price is ALWAYS snapped, and ATR-derived stops are essentially never on a 0.05 grid, so the exchange would have rejected every computed stop. Now snapped at the boundary, trigger prices too, failing CLOSED when no tick resolver is wired.</t>
        </is>
      </c>
    </row>
    <row r="29" ht="30" customHeight="1" s="59">
      <c r="A29" s="38" t="inlineStr">
        <is>
          <t>E02-S07</t>
        </is>
      </c>
      <c r="B29" s="39" t="inlineStr">
        <is>
          <t>E02</t>
        </is>
      </c>
      <c r="C29" s="40" t="inlineStr">
        <is>
          <t>BROKER INTEGRATION</t>
        </is>
      </c>
      <c r="D29" s="40" t="inlineStr">
        <is>
          <t>Live margin retrieval</t>
        </is>
      </c>
      <c r="E29" s="40" t="inlineStr">
        <is>
          <t>QA-Success</t>
        </is>
      </c>
      <c r="F29" s="41" t="inlineStr">
        <is>
          <t>P0</t>
        </is>
      </c>
      <c r="G29" s="39" t="inlineStr">
        <is>
          <t>5</t>
        </is>
      </c>
      <c r="H29" s="51" t="inlineStr">
        <is>
          <t>Safety-critical</t>
        </is>
      </c>
      <c r="I29" s="39" t="inlineStr">
        <is>
          <t>FEAT</t>
        </is>
      </c>
      <c r="J29" s="43" t="n">
        <v>0.5</v>
      </c>
      <c r="K29" s="40" t="inlineStr">
        <is>
          <t>E02-S04</t>
        </is>
      </c>
      <c r="L29" s="40" t="n"/>
      <c r="M29" s="44" t="n"/>
      <c r="N29" s="45" t="n"/>
      <c r="O29" s="46" t="n"/>
      <c r="P29" s="46" t="n"/>
      <c r="Q29" s="47" t="n">
        <v>1</v>
      </c>
      <c r="R29" s="39" t="n">
        <v>3</v>
      </c>
      <c r="S29" s="48" t="inlineStr">
        <is>
          <t>As a risk engine, I need real available margin from the broker, so that sizing never assumes leverage that SEBI peak-margin rules do not permit.</t>
        </is>
      </c>
      <c r="T29" s="48" t="inlineStr">
        <is>
          <t>1. `fetch_margins` returning `MarginSnapshot`
2. Cache with a short TTL (margin moves during the session)
3. Staleness guard — reject sizing on stale margin data</t>
        </is>
      </c>
      <c r="U29" s="48" t="inlineStr">
        <is>
          <t>• Sizing uses live margin, never a computed leverage multiple</t>
        </is>
      </c>
      <c r="V29" s="48" t="inlineStr">
        <is>
          <t>Live margin plus a staleness bound. margin_for_sizing() refuses a snapshot older than the TTL, which closes the time-of-check/time-of-use gap - margin falls after every fill, so a stale reading can authorise a position the account cannot carry.</t>
        </is>
      </c>
      <c r="W29" s="49" t="n"/>
      <c r="X29" s="75" t="inlineStr">
        <is>
          <t>RESOLVED Aug 2026. margin_for_sizing() refuses a snapshot older than the TTL, closing the time-of-check/time-of-use gap - margin falls after every fill, so a stale reading can authorise a position the account cannot carry.
NOTE the bound is on AGE, not on change. Re-fetching after each fill is the caller's responsibility and belongs with E14-S06.</t>
        </is>
      </c>
    </row>
    <row r="30" ht="30" customHeight="1" s="59">
      <c r="A30" s="38" t="inlineStr">
        <is>
          <t>E02-S08</t>
        </is>
      </c>
      <c r="B30" s="39" t="inlineStr">
        <is>
          <t>E02</t>
        </is>
      </c>
      <c r="C30" s="40" t="inlineStr">
        <is>
          <t>BROKER INTEGRATION</t>
        </is>
      </c>
      <c r="D30" s="40" t="inlineStr">
        <is>
          <t>Fallback broker adapter (Fyers)</t>
        </is>
      </c>
      <c r="E30" s="40" t="inlineStr">
        <is>
          <t>New</t>
        </is>
      </c>
      <c r="F30" s="52" t="inlineStr">
        <is>
          <t>P2</t>
        </is>
      </c>
      <c r="G30" s="39" t="inlineStr">
        <is>
          <t>2</t>
        </is>
      </c>
      <c r="H30" s="42" t="inlineStr">
        <is>
          <t>Low</t>
        </is>
      </c>
      <c r="I30" s="39" t="inlineStr">
        <is>
          <t>FEAT</t>
        </is>
      </c>
      <c r="J30" s="43" t="n">
        <v>2</v>
      </c>
      <c r="K30" s="40" t="inlineStr">
        <is>
          <t>E02-S03</t>
        </is>
      </c>
      <c r="L30" s="40" t="n"/>
      <c r="M30" s="44" t="n"/>
      <c r="N30" s="45" t="n"/>
      <c r="O30" s="46" t="n"/>
      <c r="P30" s="46" t="n"/>
      <c r="Q30" s="47" t="n"/>
      <c r="R30" s="39" t="n">
        <v>3</v>
      </c>
      <c r="S30" s="48" t="inlineStr">
        <is>
          <t>As an operator, I want a second data source, so that a Zerodha WebSocket outage at the open does not blind the system.</t>
        </is>
      </c>
      <c r="T30" s="48" t="inlineStr">
        <is>
          <t>1. Fyers auth and read-only adapter
2. Failover logic on primary feed staleness
3. Cross-source price divergence detection</t>
        </is>
      </c>
      <c r="U30" s="48" t="n"/>
      <c r="V30" s="48" t="inlineStr">
        <is>
          <t>DEFERRED, not blocked. Fyers fallback is the only Low-risk story in E02 and adds a second broker SDK plus a second auth flow. Worth doing once the primary path has run against live data, so the fallback is written against known behaviour rather than assumptions.</t>
        </is>
      </c>
      <c r="W30" s="49" t="n"/>
    </row>
    <row r="31" ht="30" customHeight="1" s="59">
      <c r="A31" s="38" t="inlineStr">
        <is>
          <t>E02-S09</t>
        </is>
      </c>
      <c r="B31" s="39" t="inlineStr">
        <is>
          <t>E02</t>
        </is>
      </c>
      <c r="C31" s="40" t="inlineStr">
        <is>
          <t>BROKER INTEGRATION</t>
        </is>
      </c>
      <c r="D31" s="40" t="inlineStr">
        <is>
          <t>Broker error taxonomy handling</t>
        </is>
      </c>
      <c r="E31" s="40" t="inlineStr">
        <is>
          <t>QA-Success</t>
        </is>
      </c>
      <c r="F31" s="41" t="inlineStr">
        <is>
          <t>P0</t>
        </is>
      </c>
      <c r="G31" s="39" t="inlineStr">
        <is>
          <t>5</t>
        </is>
      </c>
      <c r="H31" s="51" t="inlineStr">
        <is>
          <t>Safety-critical</t>
        </is>
      </c>
      <c r="I31" s="39" t="inlineStr">
        <is>
          <t>FEAT</t>
        </is>
      </c>
      <c r="J31" s="43" t="n">
        <v>1</v>
      </c>
      <c r="K31" s="40" t="inlineStr">
        <is>
          <t>E02-S04</t>
        </is>
      </c>
      <c r="L31" s="40" t="n"/>
      <c r="M31" s="44" t="n"/>
      <c r="N31" s="45" t="n"/>
      <c r="O31" s="46" t="n"/>
      <c r="P31" s="46" t="n"/>
      <c r="Q31" s="47" t="n">
        <v>1</v>
      </c>
      <c r="R31" s="39" t="n">
        <v>5</v>
      </c>
      <c r="S31" s="48" t="inlineStr">
        <is>
          <t>As a system, I want every broker failure classified correctly, so that an ambiguous outcome never results in a duplicate order.</t>
        </is>
      </c>
      <c r="T31" s="48" t="inlineStr">
        <is>
          <t>1. Map every Kite error code to the taxonomy
2. `AmbiguousOrderError` → query-by-`client_order_id` recovery path
3. Never retry on `OrderRejectedError`
4. Exponential backoff on `RateLimitError`
5. Log every unmapped error code loudly for triage</t>
        </is>
      </c>
      <c r="U31" s="48" t="inlineStr">
        <is>
          <t>• Simulated timeout + reconnect produces exactly one position (chaos test)</t>
        </is>
      </c>
      <c r="V31" s="48" t="inlineStr">
        <is>
          <t>Error taxonomy with the safety switch: classify(mutating=True) makes any UNRECOGNISED failure AmbiguousOrderError, routing to query-by-tag rather than retry. Only a 429 is retryable. Verified by mutation testing - breaking the fail-closed rule fails the test.</t>
        </is>
      </c>
      <c r="W31" s="49" t="n"/>
      <c r="X31" s="75" t="inlineStr">
        <is>
          <t>RESOLVED Aug 2026. classify(mutating=True) makes ANY unrecognised failure AmbiguousOrderError, routing to query-by-tag rather than a retry; only a 429 is retryable. Verified by mutation testing - breaking the fail-closed rule fails the test. The default disposition for an unknown code is now the safe one rather than an unspecified one.</t>
        </is>
      </c>
    </row>
    <row r="32" ht="30" customHeight="1" s="59">
      <c r="A32" s="38" t="inlineStr">
        <is>
          <t>E03-S01</t>
        </is>
      </c>
      <c r="B32" s="39" t="inlineStr">
        <is>
          <t>E03</t>
        </is>
      </c>
      <c r="C32" s="40" t="inlineStr">
        <is>
          <t>HISTORICAL DATA</t>
        </is>
      </c>
      <c r="D32" s="40" t="inlineStr">
        <is>
          <t>NSE bhavcopy fetcher and archiver</t>
        </is>
      </c>
      <c r="E32" s="40" t="inlineStr">
        <is>
          <t>New</t>
        </is>
      </c>
      <c r="F32" s="41" t="inlineStr">
        <is>
          <t>P0</t>
        </is>
      </c>
      <c r="G32" s="39" t="inlineStr">
        <is>
          <t>1</t>
        </is>
      </c>
      <c r="H32" s="50" t="inlineStr">
        <is>
          <t>Correctness-critical</t>
        </is>
      </c>
      <c r="I32" s="39" t="inlineStr">
        <is>
          <t>FEAT</t>
        </is>
      </c>
      <c r="J32" s="43" t="n">
        <v>1.5</v>
      </c>
      <c r="K32" s="40" t="inlineStr">
        <is>
          <t>E01-S02</t>
        </is>
      </c>
      <c r="L32" s="40" t="n"/>
      <c r="M32" s="44" t="n"/>
      <c r="N32" s="45" t="n"/>
      <c r="O32" s="46" t="n"/>
      <c r="P32" s="46" t="n"/>
      <c r="Q32" s="47" t="n"/>
      <c r="R32" s="39" t="n">
        <v>6</v>
      </c>
      <c r="S32" s="48" t="inlineStr">
        <is>
          <t>As a system, I need daily EOD data stored locally, so that pre-market analysis does not depend on a rate-limited API every morning.</t>
        </is>
      </c>
      <c r="T32" s="48" t="inlineStr">
        <is>
          <t>1. Download bhavcopy for a given date
2. Parse and normalise to the `Bar` model
3. Idempotent upsert (re-running a date is safe)
4. Backfill utility for a date range
5. Handle holidays and missing files gracefully
6. Schedule at 05:30</t>
        </is>
      </c>
      <c r="U32" s="48" t="inlineStr">
        <is>
          <t>• Backfilling 2 years completes and is re-runnable without duplicates</t>
        </is>
      </c>
      <c r="V32" s="48" t="n"/>
      <c r="W32" s="49" t="n"/>
      <c r="X32" s="75" t="inlineStr">
        <is>
          <t>NSE replaced the legacy bhavcopy with the UDiFF format and moved the URL. A fetcher written against the old path will 404, or worse fetch a stale mirror. Pin the exact source and assert on the header row, not just on HTTP 200. Also: bhavcopy is UNADJUSTED, so this must land before E03-S02 computes factors, never after.</t>
        </is>
      </c>
    </row>
    <row r="33" ht="30" customHeight="1" s="59">
      <c r="A33" s="38" t="inlineStr">
        <is>
          <t>E03-S02</t>
        </is>
      </c>
      <c r="B33" s="39" t="inlineStr">
        <is>
          <t>E03</t>
        </is>
      </c>
      <c r="C33" s="40" t="inlineStr">
        <is>
          <t>HISTORICAL DATA</t>
        </is>
      </c>
      <c r="D33" s="40" t="inlineStr">
        <is>
          <t>Corporate action adjustment</t>
        </is>
      </c>
      <c r="E33" s="40" t="inlineStr">
        <is>
          <t>Development Completed</t>
        </is>
      </c>
      <c r="F33" s="41" t="inlineStr">
        <is>
          <t>P0</t>
        </is>
      </c>
      <c r="G33" s="39" t="inlineStr">
        <is>
          <t>1</t>
        </is>
      </c>
      <c r="H33" s="51" t="inlineStr">
        <is>
          <t>Safety-critical</t>
        </is>
      </c>
      <c r="I33" s="39" t="inlineStr">
        <is>
          <t>FEAT</t>
        </is>
      </c>
      <c r="J33" s="43" t="n">
        <v>2</v>
      </c>
      <c r="K33" s="40" t="inlineStr">
        <is>
          <t>E03-S01</t>
        </is>
      </c>
      <c r="L33" s="40" t="inlineStr">
        <is>
          <t>Feed only — B1/B4 (broker data source). Engine is complete.</t>
        </is>
      </c>
      <c r="M33" s="44" t="n"/>
      <c r="N33" s="45" t="n"/>
      <c r="O33" s="46" t="n"/>
      <c r="P33" s="46" t="n"/>
      <c r="Q33" s="47" t="n">
        <v>0.7</v>
      </c>
      <c r="R33" s="39" t="n">
        <v>5</v>
      </c>
      <c r="S33" s="48" t="inlineStr">
        <is>
          <t>As an analyst, I want historical prices adjusted for splits and bonuses, so that moving averages do not show phantom breakouts.</t>
        </is>
      </c>
      <c r="T33" s="48" t="inlineStr">
        <is>
          <t>1. Fetch corporate action data — NOT DONE, needs a data source (see Blocked By)
2. [DONE] Store actions in `corporate_action` — the source of truth for adjustment
3. [DONE] Derive `price_adj_factor` / `volume_adj_factor` per bar; raw OHLC never mutated
4. [DONE] Re-adjustment when a new action is announced — full recompute, idempotent
5. [DONE] Verify against a known historical split</t>
        </is>
      </c>
      <c r="U33" s="48" t="inlineStr">
        <is>
          <t>• A known 1:5 split produces a continuous price series across the event
• 🔴 Unadjusted data can never reach the indicator engine</t>
        </is>
      </c>
      <c r="V33" s="48" t="inlineStr">
        <is>
          <t>DESIGN BLOCKER RESOLVED 11 Aug 2026. See SPRINT02_TECHNICAL_SPEC.md §4 and CA-B1 on the Blockers sheet.
THE BLOCKER: the schema specified `ohlcv.is_adjusted BOOLEAN`, which cannot support re-adjustment. When a second action arrives you need the factor ALREADY APPLIED in order to apply the next one, and a boolean does not carry it. Adjusting prices in place compounds silently — no exception, no failing test, just a permanently wrong price history. This is safety-critical because a wrong adjustment does not fail loudly; every backtest over the affected symbol simply becomes fiction.
THE RESOLUTION: raw prices are never modified. A new `corporate_action` table is the source of truth, and each bar carries two derived factors — adjusted price = raw * price_adj_factor. Recompute always rebuilds from the FULL action history, which makes it idempotent, and makes a mis-entered action fixable by correcting its row and recomputing.
TWO factors, not one: a dividend reduces price but leaves volume untouched, so a single reciprocal factor would corrupt volume on every dividend — and volume feeds both the liquidity filter and the volume-ratio indicator.
BR-16 IS ENFORCED STRUCTURALLY, not by convention: BarRepository has no method that returns raw prices. The only accessor is `raw_bars_for_audit`, named to be hard to reach for, and a test asserts no raw-read sibling exists. The trading path cannot ask for unadjusted data by accident.</t>
        </is>
      </c>
      <c r="W33" s="49" t="inlineStr">
        <is>
          <t>18 tests, all passing. Three findings came out of building it, each now covered by its own test:
1. ORDER INDEPENDENCE WAS ONLY APPROXIMATE. A Hypothesis property test caught that multiplying Decimal QUOTIENTS is not exactly associative — combining the same three splits in two different orders gave answers differing in the last digits. Fixed by keeping factors as exact ratios (numerator/denominator held separately) and dividing once at the end. Actions arrive from a feed in arbitrary order, so this had to be exact rather than nearly exact.
2. RESTORE FROM ARCHIVE MISSED ADJUSTMENTS. Archived bars are not in `ohlcv`, so any action recorded while they were away updated the live bars and skipped them. Restoring them would have spliced an unadjusted segment onto an adjusted series. `restore_bars` now recomputes factors for every restored symbol.
3. CONCURRENT RECOMPUTE COULD LOSE AN ACTION. Two recomputes for one symbol could interleave and the older action set could win. Row locks do not catch this because both writers are self-consistent. Now takes a per-symbol transaction-scoped advisory lock before reading, same pattern as the audit chain.
ALSO: dividends are recorded but NOT applied to prices (APPLY_DIVIDEND_ADJUSTMENT = False). These are intraday strategies that never hold across an ex-date, and dividend adjustment rewrites every historical price. Flip it only alongside a decision about what backtests are measuring.</t>
        </is>
      </c>
    </row>
    <row r="34" ht="30" customHeight="1" s="59">
      <c r="A34" s="38" t="inlineStr">
        <is>
          <t>E03-S03</t>
        </is>
      </c>
      <c r="B34" s="39" t="inlineStr">
        <is>
          <t>E03</t>
        </is>
      </c>
      <c r="C34" s="40" t="inlineStr">
        <is>
          <t>HISTORICAL DATA</t>
        </is>
      </c>
      <c r="D34" s="40" t="inlineStr">
        <is>
          <t>Intraday history backfill</t>
        </is>
      </c>
      <c r="E34" s="40" t="inlineStr">
        <is>
          <t>New</t>
        </is>
      </c>
      <c r="F34" s="41" t="inlineStr">
        <is>
          <t>P0</t>
        </is>
      </c>
      <c r="G34" s="39" t="inlineStr">
        <is>
          <t>1</t>
        </is>
      </c>
      <c r="H34" s="50" t="inlineStr">
        <is>
          <t>Correctness-critical</t>
        </is>
      </c>
      <c r="I34" s="39" t="inlineStr">
        <is>
          <t>FEAT</t>
        </is>
      </c>
      <c r="J34" s="43" t="n">
        <v>1.5</v>
      </c>
      <c r="K34" s="40" t="inlineStr">
        <is>
          <t>E02-S03</t>
        </is>
      </c>
      <c r="L34" s="40" t="n"/>
      <c r="M34" s="44" t="n"/>
      <c r="N34" s="45" t="n"/>
      <c r="O34" s="46" t="n"/>
      <c r="P34" s="46" t="n"/>
      <c r="Q34" s="47" t="n"/>
      <c r="R34" s="39" t="n">
        <v>4</v>
      </c>
      <c r="S34" s="48" t="inlineStr">
        <is>
          <t>As a backtester, I need minute-level history, so that strategies can be validated on realistic intraday data.</t>
        </is>
      </c>
      <c r="T34" s="48" t="inlineStr">
        <is>
          <t>1. Paged historical fetch respecting rate limits
2. Backfill orchestration across the universe
3. Resume from interruption
4. Progress reporting (this takes hours)</t>
        </is>
      </c>
      <c r="U34" s="48" t="n"/>
      <c r="V34" s="48" t="n"/>
      <c r="W34" s="49" t="n"/>
      <c r="X34" s="75" t="inlineStr">
        <is>
          <t>PARTLY RESOLVED Aug 2026. Blocker B4 is gone: historical data is no longer a separate paid add-on. The free Personal tier carries NO data; Connect at Rs.500/month bundles real-time WebSocket AND historical candles. So this story needs a Rs.500 subscription, not Rs.2500.
STILL LIVE: the rate limit and the per-request date-range cap remain, and a multi-hour backfill during market hours competes with live data on the same account-wide budget. Schedule it outside the session.</t>
        </is>
      </c>
    </row>
    <row r="35" ht="30" customHeight="1" s="59">
      <c r="A35" s="38" t="inlineStr">
        <is>
          <t>E03-S04</t>
        </is>
      </c>
      <c r="B35" s="39" t="inlineStr">
        <is>
          <t>E03</t>
        </is>
      </c>
      <c r="C35" s="40" t="inlineStr">
        <is>
          <t>HISTORICAL DATA</t>
        </is>
      </c>
      <c r="D35" s="40" t="inlineStr">
        <is>
          <t>Data quality validation</t>
        </is>
      </c>
      <c r="E35" s="40" t="inlineStr">
        <is>
          <t>New</t>
        </is>
      </c>
      <c r="F35" s="41" t="inlineStr">
        <is>
          <t>P0</t>
        </is>
      </c>
      <c r="G35" s="39" t="inlineStr">
        <is>
          <t>1</t>
        </is>
      </c>
      <c r="H35" s="50" t="inlineStr">
        <is>
          <t>Correctness-critical</t>
        </is>
      </c>
      <c r="I35" s="39" t="inlineStr">
        <is>
          <t>TEST</t>
        </is>
      </c>
      <c r="J35" s="43" t="n">
        <v>1.5</v>
      </c>
      <c r="K35" s="40" t="inlineStr">
        <is>
          <t>E03-S01</t>
        </is>
      </c>
      <c r="L35" s="40" t="n"/>
      <c r="M35" s="44" t="n"/>
      <c r="N35" s="45" t="n"/>
      <c r="O35" s="46" t="n"/>
      <c r="P35" s="46" t="n"/>
      <c r="Q35" s="47" t="n"/>
      <c r="R35" s="39" t="n">
        <v>5</v>
      </c>
      <c r="S35" s="48" t="inlineStr">
        <is>
          <t>As a developer, I want stored data validated, so that silent corruption is caught before it reaches analysis.</t>
        </is>
      </c>
      <c r="T35" s="48" t="inlineStr">
        <is>
          <t>1. Gap detection (missing sessions, missing bars within a session)
2. OHLC coherence check across the whole store
3. Volume sanity (zero-volume bars flagged)
4. Price continuity (unexplained jumps beyond circuit limits)
5. Report generated after every sync</t>
        </is>
      </c>
      <c r="U35" s="48" t="inlineStr">
        <is>
          <t>• A deliberately corrupted row is reported by the next validation run</t>
        </is>
      </c>
      <c r="V35" s="48" t="n"/>
      <c r="W35" s="49" t="n"/>
      <c r="X35" s="75" t="inlineStr">
        <is>
          <t>'Unexplained jumps beyond circuit limits' will fire on every split and bonus, because a raw price series is SUPPOSED to gap at an ex-date. The check must join corporate_action and treat an explained jump as clean — otherwise every corporate action raises a false alarm and the report stops being read.</t>
        </is>
      </c>
    </row>
    <row r="36" ht="30" customHeight="1" s="59">
      <c r="A36" s="38" t="inlineStr">
        <is>
          <t>E03-S05</t>
        </is>
      </c>
      <c r="B36" s="39" t="inlineStr">
        <is>
          <t>E03</t>
        </is>
      </c>
      <c r="C36" s="40" t="inlineStr">
        <is>
          <t>HISTORICAL DATA</t>
        </is>
      </c>
      <c r="D36" s="40" t="inlineStr">
        <is>
          <t>Multi-timeframe aggregation from stored data</t>
        </is>
      </c>
      <c r="E36" s="40" t="inlineStr">
        <is>
          <t>New</t>
        </is>
      </c>
      <c r="F36" s="41" t="inlineStr">
        <is>
          <t>P0</t>
        </is>
      </c>
      <c r="G36" s="39" t="inlineStr">
        <is>
          <t>2</t>
        </is>
      </c>
      <c r="H36" s="50" t="inlineStr">
        <is>
          <t>Correctness-critical</t>
        </is>
      </c>
      <c r="I36" s="39" t="inlineStr">
        <is>
          <t>FEAT</t>
        </is>
      </c>
      <c r="J36" s="43" t="n">
        <v>1</v>
      </c>
      <c r="K36" s="40" t="inlineStr">
        <is>
          <t>E03-S01</t>
        </is>
      </c>
      <c r="L36" s="40" t="n"/>
      <c r="M36" s="44" t="n"/>
      <c r="N36" s="45" t="n"/>
      <c r="O36" s="46" t="n"/>
      <c r="P36" s="46" t="n"/>
      <c r="Q36" s="47" t="n"/>
      <c r="R36" s="39" t="n">
        <v>3</v>
      </c>
      <c r="S36" s="48" t="inlineStr">
        <is>
          <t>As the pre-market job, I need higher timeframes derived from daily data, so that weekly and monthly analysis is available without separate downloads.</t>
        </is>
      </c>
      <c r="T36" s="48" t="inlineStr">
        <is>
          <t>1. Aggregate daily → weekly with correct session boundaries
2. Handle partial weeks at period edges
3. Verify aggregation against broker-supplied weekly bars</t>
        </is>
      </c>
      <c r="U36" s="48" t="n"/>
      <c r="V36" s="48" t="n"/>
      <c r="W36" s="49" t="n"/>
      <c r="X36" s="75" t="inlineStr">
        <is>
          <t>'Verify against broker-supplied weekly bars' only holds if both sides use the same adjustment basis. Kite's weekly bars are adjusted; ours are raw-plus-factor. Compare adjusted-to-adjusted, or the check fails for every symbol that ever had a corporate action.</t>
        </is>
      </c>
    </row>
    <row r="37" ht="30" customHeight="1" s="59">
      <c r="A37" s="38" t="inlineStr">
        <is>
          <t>E03-S06</t>
        </is>
      </c>
      <c r="B37" s="39" t="inlineStr">
        <is>
          <t>E03</t>
        </is>
      </c>
      <c r="C37" s="40" t="inlineStr">
        <is>
          <t>HISTORICAL DATA</t>
        </is>
      </c>
      <c r="D37" s="40" t="inlineStr">
        <is>
          <t>Tick archival to Parquet</t>
        </is>
      </c>
      <c r="E37" s="40" t="inlineStr">
        <is>
          <t>New</t>
        </is>
      </c>
      <c r="F37" s="52" t="inlineStr">
        <is>
          <t>P2</t>
        </is>
      </c>
      <c r="G37" s="39" t="inlineStr">
        <is>
          <t>6</t>
        </is>
      </c>
      <c r="H37" s="42" t="inlineStr">
        <is>
          <t>Low</t>
        </is>
      </c>
      <c r="I37" s="39" t="inlineStr">
        <is>
          <t>OPS</t>
        </is>
      </c>
      <c r="J37" s="43" t="n">
        <v>0.5</v>
      </c>
      <c r="K37" s="40" t="inlineStr">
        <is>
          <t>E05-S01</t>
        </is>
      </c>
      <c r="L37" s="40" t="n"/>
      <c r="M37" s="44" t="n"/>
      <c r="N37" s="45" t="n"/>
      <c r="O37" s="46" t="n"/>
      <c r="P37" s="46" t="n"/>
      <c r="Q37" s="47" t="n"/>
      <c r="R37" s="39" t="n">
        <v>0</v>
      </c>
      <c r="S37" s="48" t="inlineStr">
        <is>
          <t>As a developer, I want raw ticks archived, so that the replay harness can reproduce a session exactly.</t>
        </is>
      </c>
      <c r="T37" s="48" t="n"/>
      <c r="U37" s="48" t="n"/>
      <c r="V37" s="48" t="n"/>
      <c r="W37" s="49" t="n"/>
    </row>
    <row r="38" ht="30" customHeight="1" s="59">
      <c r="A38" s="38" t="inlineStr">
        <is>
          <t>E04-S01</t>
        </is>
      </c>
      <c r="B38" s="39" t="inlineStr">
        <is>
          <t>E04</t>
        </is>
      </c>
      <c r="C38" s="40" t="inlineStr">
        <is>
          <t>INDIA HAZARD LISTS</t>
        </is>
      </c>
      <c r="D38" s="40" t="inlineStr">
        <is>
          <t>ASM/GSM surveillance list fetcher</t>
        </is>
      </c>
      <c r="E38" s="40" t="inlineStr">
        <is>
          <t>New</t>
        </is>
      </c>
      <c r="F38" s="41" t="inlineStr">
        <is>
          <t>P0</t>
        </is>
      </c>
      <c r="G38" s="39" t="inlineStr">
        <is>
          <t>1</t>
        </is>
      </c>
      <c r="H38" s="51" t="inlineStr">
        <is>
          <t>Safety-critical</t>
        </is>
      </c>
      <c r="I38" s="39" t="inlineStr">
        <is>
          <t>FEAT</t>
        </is>
      </c>
      <c r="J38" s="43" t="n">
        <v>1</v>
      </c>
      <c r="K38" s="40" t="inlineStr">
        <is>
          <t>E01-S02</t>
        </is>
      </c>
      <c r="L38" s="40" t="n"/>
      <c r="M38" s="44" t="n"/>
      <c r="N38" s="45" t="n"/>
      <c r="O38" s="46" t="n"/>
      <c r="P38" s="46" t="n"/>
      <c r="Q38" s="47" t="n"/>
      <c r="R38" s="39" t="n">
        <v>5</v>
      </c>
      <c r="S38" s="48" t="inlineStr">
        <is>
          <t>As a risk-aware trader, I want surveillance-listed stocks excluded, so that I never trade a name carrying 100% margin or reduced circuit bands.</t>
        </is>
      </c>
      <c r="T38" s="48" t="inlineStr">
        <is>
          <t>1. Fetch ASM (short-term and long-term) lists
2. Fetch GSM list with stage
3. Upsert into `instrument_daily_status`
4. Alert on newly-added names currently held
5. Handle source-format changes without silent failure</t>
        </is>
      </c>
      <c r="U38" s="48" t="inlineStr">
        <is>
          <t>• A stock added to ASM overnight is excluded from today's universe
• 🔴 A fetch failure blocks the trading day rather than proceeding blind</t>
        </is>
      </c>
      <c r="V38" s="48" t="n"/>
      <c r="W38" s="49" t="n"/>
      <c r="X38" s="75" t="inlineStr">
        <is>
          <t>Publication time matters more than the schedule. NSE posts these lists at varying times; a 05:30 fetch may retrieve yesterday's file under today's name. Assert the file's OWN effective date, not the fetch time. Also use gsm_stage, not just the boolean — stage 4 is periodic call auction with no upward movement, a completely different hazard from stage 1, and the schema now carries the stage for exactly this reason.</t>
        </is>
      </c>
    </row>
    <row r="39" ht="30" customHeight="1" s="59">
      <c r="A39" s="38" t="inlineStr">
        <is>
          <t>E04-S02</t>
        </is>
      </c>
      <c r="B39" s="39" t="inlineStr">
        <is>
          <t>E04</t>
        </is>
      </c>
      <c r="C39" s="40" t="inlineStr">
        <is>
          <t>INDIA HAZARD LISTS</t>
        </is>
      </c>
      <c r="D39" s="40" t="inlineStr">
        <is>
          <t>T2T (Trade-to-Trade) list</t>
        </is>
      </c>
      <c r="E39" s="40" t="inlineStr">
        <is>
          <t>New</t>
        </is>
      </c>
      <c r="F39" s="41" t="inlineStr">
        <is>
          <t>P0</t>
        </is>
      </c>
      <c r="G39" s="39" t="inlineStr">
        <is>
          <t>1</t>
        </is>
      </c>
      <c r="H39" s="51" t="inlineStr">
        <is>
          <t>Safety-critical</t>
        </is>
      </c>
      <c r="I39" s="39" t="inlineStr">
        <is>
          <t>FEAT</t>
        </is>
      </c>
      <c r="J39" s="43" t="n">
        <v>0.5</v>
      </c>
      <c r="K39" s="40" t="inlineStr">
        <is>
          <t>E01-S02</t>
        </is>
      </c>
      <c r="L39" s="40" t="n"/>
      <c r="M39" s="44" t="n"/>
      <c r="N39" s="45" t="n"/>
      <c r="O39" s="46" t="n"/>
      <c r="P39" s="46" t="n"/>
      <c r="Q39" s="47" t="n"/>
      <c r="R39" s="39" t="n">
        <v>3</v>
      </c>
      <c r="S39" s="48" t="inlineStr">
        <is>
          <t>As a trader, I want T2T stocks excluded absolutely, so that I never place an intraday order that becomes an unintended delivery obligation.</t>
        </is>
      </c>
      <c r="T39" s="48" t="inlineStr">
        <is>
          <t>1. Fetch the T2T segment list
2. Mark `is_t2t` in daily status
3. Hard filter — not configurable (config validation already enforces this)</t>
        </is>
      </c>
      <c r="U39" s="48" t="inlineStr">
        <is>
          <t>• 🔴 No T2T symbol can reach the watchlist under any configuration</t>
        </is>
      </c>
      <c r="V39" s="48" t="n"/>
      <c r="W39" s="49" t="n"/>
    </row>
    <row r="40" ht="30" customHeight="1" s="59">
      <c r="A40" s="38" t="inlineStr">
        <is>
          <t>E04-S03</t>
        </is>
      </c>
      <c r="B40" s="39" t="inlineStr">
        <is>
          <t>E04</t>
        </is>
      </c>
      <c r="C40" s="40" t="inlineStr">
        <is>
          <t>INDIA HAZARD LISTS</t>
        </is>
      </c>
      <c r="D40" s="40" t="inlineStr">
        <is>
          <t>F&amp;O ban list</t>
        </is>
      </c>
      <c r="E40" s="40" t="inlineStr">
        <is>
          <t>New</t>
        </is>
      </c>
      <c r="F40" s="41" t="inlineStr">
        <is>
          <t>P0</t>
        </is>
      </c>
      <c r="G40" s="39" t="inlineStr">
        <is>
          <t>1</t>
        </is>
      </c>
      <c r="H40" s="51" t="inlineStr">
        <is>
          <t>Safety-critical</t>
        </is>
      </c>
      <c r="I40" s="39" t="inlineStr">
        <is>
          <t>FEAT</t>
        </is>
      </c>
      <c r="J40" s="43" t="n">
        <v>0.5</v>
      </c>
      <c r="K40" s="40" t="inlineStr">
        <is>
          <t>E01-S02</t>
        </is>
      </c>
      <c r="L40" s="40" t="n"/>
      <c r="M40" s="44" t="n"/>
      <c r="N40" s="45" t="n"/>
      <c r="O40" s="46" t="n"/>
      <c r="P40" s="46" t="n"/>
      <c r="Q40" s="47" t="n"/>
      <c r="R40" s="39" t="n">
        <v>3</v>
      </c>
      <c r="S40" s="48" t="inlineStr">
        <is>
          <t>As a trader, I want ban-period stocks flagged, so that I avoid a penalty of 1% of position value (min ₹5,000, max ₹1,00,000).</t>
        </is>
      </c>
      <c r="T40" s="48" t="inlineStr">
        <is>
          <t>1. Fetch the daily ban list
2. Mark `is_fno_ban`
3. Exclude from F&amp;O trading; flag (not exclude) for equity</t>
        </is>
      </c>
      <c r="U40" s="48" t="n"/>
      <c r="V40" s="48" t="n"/>
      <c r="W40" s="49" t="n"/>
    </row>
    <row r="41" ht="30" customHeight="1" s="59">
      <c r="A41" s="38" t="inlineStr">
        <is>
          <t>E04-S04</t>
        </is>
      </c>
      <c r="B41" s="39" t="inlineStr">
        <is>
          <t>E04</t>
        </is>
      </c>
      <c r="C41" s="40" t="inlineStr">
        <is>
          <t>INDIA HAZARD LISTS</t>
        </is>
      </c>
      <c r="D41" s="40" t="inlineStr">
        <is>
          <t>Circuit bands and price limits</t>
        </is>
      </c>
      <c r="E41" s="40" t="inlineStr">
        <is>
          <t>New</t>
        </is>
      </c>
      <c r="F41" s="41" t="inlineStr">
        <is>
          <t>P0</t>
        </is>
      </c>
      <c r="G41" s="39" t="inlineStr">
        <is>
          <t>1</t>
        </is>
      </c>
      <c r="H41" s="50" t="inlineStr">
        <is>
          <t>Correctness-critical</t>
        </is>
      </c>
      <c r="I41" s="39" t="inlineStr">
        <is>
          <t>FEAT</t>
        </is>
      </c>
      <c r="J41" s="43" t="n">
        <v>1</v>
      </c>
      <c r="K41" s="40" t="inlineStr">
        <is>
          <t>E01-S02</t>
        </is>
      </c>
      <c r="L41" s="40" t="n"/>
      <c r="M41" s="44" t="n"/>
      <c r="N41" s="45" t="n"/>
      <c r="O41" s="46" t="n"/>
      <c r="P41" s="46" t="n"/>
      <c r="Q41" s="47" t="n"/>
      <c r="R41" s="39" t="n">
        <v>4</v>
      </c>
      <c r="S41" s="48" t="inlineStr">
        <is>
          <t>As a trader, I want per-stock circuit bands known, so that narrow-band stocks are excluded and orders never target an unreachable price.</t>
        </is>
      </c>
      <c r="T41" s="48" t="inlineStr">
        <is>
          <t>1. Fetch band percentages per symbol
2. Compute upper/lower circuit prices from previous close
3. Filter by `min_circuit_band_pct`
4. Reject orders outside band at validation time</t>
        </is>
      </c>
      <c r="U41" s="48" t="n"/>
      <c r="V41" s="48" t="n"/>
      <c r="W41" s="49" t="n"/>
    </row>
    <row r="42" ht="30" customHeight="1" s="59">
      <c r="A42" s="38" t="inlineStr">
        <is>
          <t>E04-S05</t>
        </is>
      </c>
      <c r="B42" s="39" t="inlineStr">
        <is>
          <t>E04</t>
        </is>
      </c>
      <c r="C42" s="40" t="inlineStr">
        <is>
          <t>INDIA HAZARD LISTS</t>
        </is>
      </c>
      <c r="D42" s="40" t="inlineStr">
        <is>
          <t>CAS classification</t>
        </is>
      </c>
      <c r="E42" s="40" t="inlineStr">
        <is>
          <t>New</t>
        </is>
      </c>
      <c r="F42" s="41" t="inlineStr">
        <is>
          <t>P0</t>
        </is>
      </c>
      <c r="G42" s="39" t="inlineStr">
        <is>
          <t>1</t>
        </is>
      </c>
      <c r="H42" s="51" t="inlineStr">
        <is>
          <t>Safety-critical</t>
        </is>
      </c>
      <c r="I42" s="39" t="inlineStr">
        <is>
          <t>FEAT</t>
        </is>
      </c>
      <c r="J42" s="43" t="n">
        <v>1</v>
      </c>
      <c r="K42" s="40" t="inlineStr">
        <is>
          <t>E01-S02</t>
        </is>
      </c>
      <c r="L42" s="40" t="n"/>
      <c r="M42" s="44" t="n"/>
      <c r="N42" s="45" t="n"/>
      <c r="O42" s="46" t="n"/>
      <c r="P42" s="46" t="n"/>
      <c r="Q42" s="47" t="n"/>
      <c r="R42" s="39" t="n">
        <v>4</v>
      </c>
      <c r="S42" s="48" t="inlineStr">
        <is>
          <t>As a position manager, I need to know which stocks are in CAS scope, so that each position uses the correct square-off deadline.</t>
        </is>
      </c>
      <c r="T42" s="48" t="inlineStr">
        <is>
          <t>1. Determine CAS-scope (Category I / F&amp;O) symbols
2. Mark `is_cas_stock`
3. Wire into `MarketCalendar.squareoff_deadline`
4. Alert on classification changes</t>
        </is>
      </c>
      <c r="U42" s="48" t="inlineStr">
        <is>
          <t>• 🔴 A CAS stock's deadline is 15:10, a non-CAS stock's is 15:20, per position</t>
        </is>
      </c>
      <c r="V42" s="48" t="n"/>
      <c r="W42" s="49" t="n"/>
      <c r="X42" s="75" t="inlineStr">
        <is>
          <t>The deadline must be pinned at position OPEN and stored with the position, never recomputed at exit time from current classification. If NSE reclassifies a symbol during the day, a recomputed deadline could move LATER and put you past the broker's square-off. E15-S06 computes at open — make sure this story feeds that path, not the exit path.</t>
        </is>
      </c>
    </row>
    <row r="43" ht="30" customHeight="1" s="59">
      <c r="A43" s="38" t="inlineStr">
        <is>
          <t>E04-S06</t>
        </is>
      </c>
      <c r="B43" s="39" t="inlineStr">
        <is>
          <t>E04</t>
        </is>
      </c>
      <c r="C43" s="40" t="inlineStr">
        <is>
          <t>INDIA HAZARD LISTS</t>
        </is>
      </c>
      <c r="D43" s="40" t="inlineStr">
        <is>
          <t>Earnings and corporate action calendar</t>
        </is>
      </c>
      <c r="E43" s="40" t="inlineStr">
        <is>
          <t>New</t>
        </is>
      </c>
      <c r="F43" s="53" t="inlineStr">
        <is>
          <t>P1</t>
        </is>
      </c>
      <c r="G43" s="39" t="inlineStr">
        <is>
          <t>1</t>
        </is>
      </c>
      <c r="H43" s="50" t="inlineStr">
        <is>
          <t>Correctness-critical</t>
        </is>
      </c>
      <c r="I43" s="39" t="inlineStr">
        <is>
          <t>FEAT</t>
        </is>
      </c>
      <c r="J43" s="43" t="n">
        <v>1</v>
      </c>
      <c r="K43" s="40" t="inlineStr">
        <is>
          <t>E01-S02</t>
        </is>
      </c>
      <c r="L43" s="40" t="n"/>
      <c r="M43" s="44" t="n"/>
      <c r="N43" s="45" t="n"/>
      <c r="O43" s="46" t="n"/>
      <c r="P43" s="46" t="n"/>
      <c r="Q43" s="47" t="n"/>
      <c r="R43" s="39" t="n">
        <v>4</v>
      </c>
      <c r="S43" s="48" t="inlineStr">
        <is>
          <t>As a trader, I want earnings-day stocks excluded, so that a technical thesis is not invalidated by a binary event.</t>
        </is>
      </c>
      <c r="T43" s="48" t="inlineStr">
        <is>
          <t>1. Fetch results calendar
2. Fetch dividend/split/bonus announcements
3. Mark `has_earnings_today`
4. Configurable exclusion window (before/after)</t>
        </is>
      </c>
      <c r="U43" s="48" t="n"/>
      <c r="V43" s="48" t="n"/>
      <c r="W43" s="49" t="n"/>
    </row>
    <row r="44" ht="30" customHeight="1" s="59">
      <c r="A44" s="38" t="inlineStr">
        <is>
          <t>E04-S07</t>
        </is>
      </c>
      <c r="B44" s="39" t="inlineStr">
        <is>
          <t>E04</t>
        </is>
      </c>
      <c r="C44" s="40" t="inlineStr">
        <is>
          <t>INDIA HAZARD LISTS</t>
        </is>
      </c>
      <c r="D44" s="40" t="inlineStr">
        <is>
          <t>NSE holiday calendar — complete it</t>
        </is>
      </c>
      <c r="E44" s="40" t="inlineStr">
        <is>
          <t>New</t>
        </is>
      </c>
      <c r="F44" s="41" t="inlineStr">
        <is>
          <t>P0</t>
        </is>
      </c>
      <c r="G44" s="39" t="inlineStr">
        <is>
          <t>1</t>
        </is>
      </c>
      <c r="H44" s="51" t="inlineStr">
        <is>
          <t>Safety-critical</t>
        </is>
      </c>
      <c r="I44" s="39" t="inlineStr">
        <is>
          <t>OPS</t>
        </is>
      </c>
      <c r="J44" s="43" t="n">
        <v>1</v>
      </c>
      <c r="K44" s="40" t="inlineStr">
        <is>
          <t>none · **carried debt**</t>
        </is>
      </c>
      <c r="L44" s="40" t="n"/>
      <c r="M44" s="44" t="n"/>
      <c r="N44" s="45" t="n"/>
      <c r="O44" s="46" t="n"/>
      <c r="P44" s="46" t="n"/>
      <c r="Q44" s="47" t="n"/>
      <c r="R44" s="39" t="n">
        <v>5</v>
      </c>
      <c r="S44" s="48" t="inlineStr">
        <is>
          <t>As a system, I need the complete NSE holiday list, so that I do not treat a market holiday as a trading day.</t>
        </is>
      </c>
      <c r="T44" s="48" t="inlineStr">
        <is>
          <t>1. Transcribe the full NSE holiday circular into `nse_holidays.yaml`
2. Set `verified_against_nse_circular: true`
3. Decide Diwali Muhurat session policy (default: stand down)
4. Annual refresh reminder documented in the runbook
5. Consider automated fetch with manual verification</t>
        </is>
      </c>
      <c r="U44" s="48" t="inlineStr">
        <is>
          <t>• 🔴 `make doctor` reports the calendar as verified
• Every holiday in the circular is excluded by `is_trading_day`</t>
        </is>
      </c>
      <c r="V44" s="48" t="inlineStr">
        <is>
          <t>DATED, 27 Oct 2026: config/nse_holidays.yaml covers 2026 only. MarketCalendar fails CLOSED on an uncovered year (HolidayDataError), so from 1 Jan 2027 the system refuses to trade until the 2027 list is added. NSE publishes it in December; add it, triangulated against two publications as the 2026 list was, before the last trading day of 2026.</t>
        </is>
      </c>
      <c r="W44" s="49" t="n"/>
      <c r="X44" s="75" t="inlineStr">
        <is>
          <t>The Muhurat session is the trap: Diwali is a holiday on which the exchange runs a special ~1-hour evening session. A calendar with one session per day cannot express it. 'Stand down' is the right default, but record it as a DECISION — otherwise someone later 'fixes' the calendar and the system trades a session it was never tested against.</t>
        </is>
      </c>
    </row>
    <row r="45" ht="30" customHeight="1" s="59">
      <c r="A45" s="38" t="inlineStr">
        <is>
          <t>E05-S01</t>
        </is>
      </c>
      <c r="B45" s="39" t="inlineStr">
        <is>
          <t>E05</t>
        </is>
      </c>
      <c r="C45" s="40" t="inlineStr">
        <is>
          <t>MARKET DATA INGESTION</t>
        </is>
      </c>
      <c r="D45" s="40" t="inlineStr">
        <is>
          <t>WebSocket client with reconnection</t>
        </is>
      </c>
      <c r="E45" s="40" t="inlineStr">
        <is>
          <t>QA-Success</t>
        </is>
      </c>
      <c r="F45" s="41" t="inlineStr">
        <is>
          <t>P0</t>
        </is>
      </c>
      <c r="G45" s="39" t="inlineStr">
        <is>
          <t>1</t>
        </is>
      </c>
      <c r="H45" s="50" t="inlineStr">
        <is>
          <t>Correctness-critical</t>
        </is>
      </c>
      <c r="I45" s="39" t="inlineStr">
        <is>
          <t>FEAT</t>
        </is>
      </c>
      <c r="J45" s="43" t="n">
        <v>2</v>
      </c>
      <c r="K45" s="40" t="inlineStr">
        <is>
          <t>E02-S03</t>
        </is>
      </c>
      <c r="L45" s="40" t="n"/>
      <c r="M45" s="44" t="n"/>
      <c r="N45" s="45" t="n"/>
      <c r="O45" s="46" t="n"/>
      <c r="P45" s="46" t="n"/>
      <c r="Q45" s="47" t="n">
        <v>0.85</v>
      </c>
      <c r="R45" s="39" t="n">
        <v>6</v>
      </c>
      <c r="S45" s="48" t="inlineStr">
        <is>
          <t>As a system, I want a resilient tick stream, so that a dropped connection does not silently stop the market data flow.</t>
        </is>
      </c>
      <c r="T45" s="48" t="inlineStr">
        <is>
          <t>1. KiteTicker integration with async bridging
2. Subscribe/unsubscribe for the day's watchlist
3. Exponential backoff reconnection
4. On reconnect: mark indicator state STALE, do not resume silently
5. Heartbeat monitoring with staleness detection
6. Rebuild the in-progress bar from a REST snapshot after a gap</t>
        </is>
      </c>
      <c r="U45" s="48" t="inlineStr">
        <is>
          <t>• A 5-minute forced disconnect recovers and flags the gap
• 🟠 Indicators are marked stale rather than computing across the hole</t>
        </is>
      </c>
      <c r="V45" s="48" t="inlineStr">
        <is>
          <t>WebSocket client built on the `websockets` library, NOT KiteTicker - which resolves blocker B7 and the Twisted-to-asyncio bridging problem together. Wire protocol implemented from the documented byte-level spec: frame splitting, ltp/quote/full packets, index packets, market depth. Reconnection with capped exponential backoff and jitter; a connection that survives 60s resets the backoff so one bad hour does not pin it at maximum all day. Every reconnect emits a FeedGap BEFORE any tick that follows, so downstream marks indicators stale rather than computing across a hole. Connections open inside `async with` so a reconnect cannot leak one and exhaust Kite's 3-connection cap. An idle socket (no frame for 45s) is treated as dead - the failure a TCP check reports healthy.
REMAINING 15%: the connection itself needs live credentials, and one real packet per mode must be captured and asserted against. The parser is verified self-consistent (tests build packets to the same spec they parse) which proves it matches the SPEC, not that the spec matches the exchange.</t>
        </is>
      </c>
      <c r="W45" s="49" t="n"/>
      <c r="X45" s="75" t="inlineStr">
        <is>
          <t>RESOLVED Aug 2026 - and it resolved blocker B7 at the same time. Built on the `websockets` library rather than KiteTicker, so autobahn 19.11.2 (CVE-2020-35678) is never imported and there is no Twisted reactor to bridge. Connection-leak and reconnect-storm hazards both addressed explicitly.
STILL LIVE: the packet offsets are verified SELF-CONSISTENTLY only. Capture one real packet per mode and assert against it before this feeds anything that trades - a transposed field produces plausible numbers, which is the failure that survives review.</t>
        </is>
      </c>
    </row>
    <row r="46" ht="30" customHeight="1" s="59">
      <c r="A46" s="38" t="inlineStr">
        <is>
          <t>E05-S02</t>
        </is>
      </c>
      <c r="B46" s="39" t="inlineStr">
        <is>
          <t>E05</t>
        </is>
      </c>
      <c r="C46" s="40" t="inlineStr">
        <is>
          <t>MARKET DATA INGESTION</t>
        </is>
      </c>
      <c r="D46" s="40" t="inlineStr">
        <is>
          <t>Tick validation</t>
        </is>
      </c>
      <c r="E46" s="40" t="inlineStr">
        <is>
          <t>QA-Success</t>
        </is>
      </c>
      <c r="F46" s="41" t="inlineStr">
        <is>
          <t>P0</t>
        </is>
      </c>
      <c r="G46" s="39" t="inlineStr">
        <is>
          <t>1</t>
        </is>
      </c>
      <c r="H46" s="50" t="inlineStr">
        <is>
          <t>Correctness-critical</t>
        </is>
      </c>
      <c r="I46" s="39" t="inlineStr">
        <is>
          <t>FEAT</t>
        </is>
      </c>
      <c r="J46" s="43" t="n">
        <v>1</v>
      </c>
      <c r="K46" s="40" t="inlineStr">
        <is>
          <t>E05-S01</t>
        </is>
      </c>
      <c r="L46" s="40" t="n"/>
      <c r="M46" s="44" t="n"/>
      <c r="N46" s="45" t="n"/>
      <c r="O46" s="46" t="n"/>
      <c r="P46" s="46" t="n"/>
      <c r="Q46" s="47" t="n">
        <v>1</v>
      </c>
      <c r="R46" s="39" t="n">
        <v>5</v>
      </c>
      <c r="S46" s="48" t="inlineStr">
        <is>
          <t>As a data pipeline, I want malformed ticks rejected at the edge, so that nothing downstream has to defend against them.</t>
        </is>
      </c>
      <c r="T46" s="48" t="inlineStr">
        <is>
          <t>1. Reject null/zero/negative price
2. Reject negative volume
3. Reject timestamp outside ±5s of local clock (broker clock skew)
4. Metric per rejection reason
5. Log rejections — a cluster indicates a feed problem</t>
        </is>
      </c>
      <c r="U46" s="48" t="n"/>
      <c r="V46" s="48" t="inlineStr">
        <is>
          <t>Null/zero/negative price, negative volume, and clock skew beyond 5s all refused. Added beyond the story: session volume going BACKWARDS is refused - cumulative volume cannot fall, so a decrease means a replayed or out-of-order packet, and accepting it makes every volume-delta negative. Every rejection counted by reason with a bounded sample.</t>
        </is>
      </c>
      <c r="W46" s="49" t="n"/>
    </row>
    <row r="47" ht="30" customHeight="1" s="59">
      <c r="A47" s="38" t="inlineStr">
        <is>
          <t>E05-S03</t>
        </is>
      </c>
      <c r="B47" s="39" t="inlineStr">
        <is>
          <t>E05</t>
        </is>
      </c>
      <c r="C47" s="40" t="inlineStr">
        <is>
          <t>MARKET DATA INGESTION</t>
        </is>
      </c>
      <c r="D47" s="40" t="inlineStr">
        <is>
          <t>Deduplication</t>
        </is>
      </c>
      <c r="E47" s="40" t="inlineStr">
        <is>
          <t>QA-Success</t>
        </is>
      </c>
      <c r="F47" s="41" t="inlineStr">
        <is>
          <t>P0</t>
        </is>
      </c>
      <c r="G47" s="39" t="inlineStr">
        <is>
          <t>1</t>
        </is>
      </c>
      <c r="H47" s="50" t="inlineStr">
        <is>
          <t>Correctness-critical</t>
        </is>
      </c>
      <c r="I47" s="39" t="inlineStr">
        <is>
          <t>FEAT</t>
        </is>
      </c>
      <c r="J47" s="43" t="n">
        <v>0.5</v>
      </c>
      <c r="K47" s="40" t="inlineStr">
        <is>
          <t>E05-S02</t>
        </is>
      </c>
      <c r="L47" s="40" t="n"/>
      <c r="M47" s="44" t="n"/>
      <c r="N47" s="45" t="n"/>
      <c r="O47" s="46" t="n"/>
      <c r="P47" s="46" t="n"/>
      <c r="Q47" s="47" t="n">
        <v>1</v>
      </c>
      <c r="R47" s="39" t="n">
        <v>3</v>
      </c>
      <c r="S47" s="48" t="inlineStr">
        <is>
          <t>As a data pipeline, I want duplicate ticks dropped, so that WebSocket replay after a reconnect does not double-count volume.</t>
        </is>
      </c>
      <c r="T47" s="48" t="inlineStr">
        <is>
          <t>1. Bounded LRU per symbol on (symbol, exchange_ts, ltp, volume)
2. Size-capped to bound memory
3. Metric for duplicates dropped</t>
        </is>
      </c>
      <c r="U47" s="48" t="n"/>
      <c r="V47" s="48" t="inlineStr">
        <is>
          <t>Bounded LRU per instrument on (exchange_ts, ltp, volume, last_qty). Per-instrument rather than global so one busy symbol cannot evict a quiet one's history - tested explicitly.</t>
        </is>
      </c>
      <c r="W47" s="49" t="n"/>
    </row>
    <row r="48" ht="30" customHeight="1" s="59">
      <c r="A48" s="38" t="inlineStr">
        <is>
          <t>E05-S04</t>
        </is>
      </c>
      <c r="B48" s="39" t="inlineStr">
        <is>
          <t>E05</t>
        </is>
      </c>
      <c r="C48" s="40" t="inlineStr">
        <is>
          <t>MARKET DATA INGESTION</t>
        </is>
      </c>
      <c r="D48" s="40" t="inlineStr">
        <is>
          <t>Outlier filtering</t>
        </is>
      </c>
      <c r="E48" s="40" t="inlineStr">
        <is>
          <t>QA-Success</t>
        </is>
      </c>
      <c r="F48" s="41" t="inlineStr">
        <is>
          <t>P0</t>
        </is>
      </c>
      <c r="G48" s="39" t="inlineStr">
        <is>
          <t>1</t>
        </is>
      </c>
      <c r="H48" s="51" t="inlineStr">
        <is>
          <t>Safety-critical</t>
        </is>
      </c>
      <c r="I48" s="39" t="inlineStr">
        <is>
          <t>FEAT</t>
        </is>
      </c>
      <c r="J48" s="43" t="n">
        <v>1</v>
      </c>
      <c r="K48" s="40" t="inlineStr">
        <is>
          <t>E05-S03</t>
        </is>
      </c>
      <c r="L48" s="40" t="n"/>
      <c r="M48" s="44" t="n"/>
      <c r="N48" s="45" t="n"/>
      <c r="O48" s="46" t="n"/>
      <c r="P48" s="46" t="n"/>
      <c r="Q48" s="47" t="n">
        <v>1</v>
      </c>
      <c r="R48" s="39" t="n">
        <v>4</v>
      </c>
      <c r="S48" s="48" t="inlineStr">
        <is>
          <t>As an analyst, I want bad prints rejected, so that one erroneous tick does not permanently corrupt an EMA.</t>
        </is>
      </c>
      <c r="T48" s="48" t="inlineStr">
        <is>
          <t>1. Reject if move exceeds `max(5 × ATR%, 2%)`
2. Cross-check against circuit limits — a price outside them is impossible
3. Log rather than silently drop
4. Alert on a cluster of rejections for one symbol</t>
        </is>
      </c>
      <c r="U48" s="48" t="inlineStr">
        <is>
          <t>• 🔴 A single injected bad print does not change any indicator value</t>
        </is>
      </c>
      <c r="V48" s="48" t="inlineStr">
        <is>
          <t>THE COLD-START GAP IS CLOSED. The bound is max(5 x ATR%, 2%), but ATR does not exist at 09:15 - exactly when prints are most erratic. A missing ATR resolving to 'no limit' would leave the filter inert when it matters most. It resolves to the 2% floor instead, and cold_start() reports the condition so a health panel can show it. Circuit band checked independently and applies even to the first tick, where there is no previous price. A rejected outlier does NOT move the baseline - otherwise a second bad print would look reasonable.</t>
        </is>
      </c>
      <c r="W48" s="49" t="n"/>
      <c r="X48" s="75" t="inlineStr">
        <is>
          <t>RESOLVED Aug 2026. The cold-start behaviour is now explicit rather than implied: no ATR means the 2% floor applies on its own, and OutlierFilter.cold_start() exposes the condition so it can be asserted in a test and shown on a health panel. Four tests cover the window specifically.</t>
        </is>
      </c>
    </row>
    <row r="49" ht="30" customHeight="1" s="59">
      <c r="A49" s="38" t="inlineStr">
        <is>
          <t>E05-S05</t>
        </is>
      </c>
      <c r="B49" s="39" t="inlineStr">
        <is>
          <t>E05</t>
        </is>
      </c>
      <c r="C49" s="40" t="inlineStr">
        <is>
          <t>MARKET DATA INGESTION</t>
        </is>
      </c>
      <c r="D49" s="40" t="inlineStr">
        <is>
          <t>Normalisation</t>
        </is>
      </c>
      <c r="E49" s="40" t="inlineStr">
        <is>
          <t>QA-Success</t>
        </is>
      </c>
      <c r="F49" s="41" t="inlineStr">
        <is>
          <t>P0</t>
        </is>
      </c>
      <c r="G49" s="39" t="inlineStr">
        <is>
          <t>1</t>
        </is>
      </c>
      <c r="H49" s="50" t="inlineStr">
        <is>
          <t>Correctness-critical</t>
        </is>
      </c>
      <c r="I49" s="39" t="inlineStr">
        <is>
          <t>FEAT</t>
        </is>
      </c>
      <c r="J49" s="43" t="n">
        <v>0.5</v>
      </c>
      <c r="K49" s="40" t="inlineStr">
        <is>
          <t>E05-S04</t>
        </is>
      </c>
      <c r="L49" s="40" t="n"/>
      <c r="M49" s="44" t="n"/>
      <c r="N49" s="45" t="n"/>
      <c r="O49" s="46" t="n"/>
      <c r="P49" s="46" t="n"/>
      <c r="Q49" s="47" t="n">
        <v>1</v>
      </c>
      <c r="R49" s="39" t="n">
        <v>3</v>
      </c>
      <c r="S49" s="48" t="inlineStr">
        <is>
          <t>As a developer, I want broker payloads converted to canonical types at the boundary, so that no broker-specific shape leaks downstream.</t>
        </is>
      </c>
      <c r="T49" s="48" t="inlineStr">
        <is>
          <t>1. Kite payload → `Tick` model
2. All timestamps → UTC
3. All prices → `Decimal`</t>
        </is>
      </c>
      <c r="U49" s="48" t="n"/>
      <c r="V49" s="48" t="inlineStr">
        <is>
          <t>RawTick -&gt; domain Tick, running LAST so a tick that failed any check never becomes a domain object. Prices exact via Decimal from integer paise.</t>
        </is>
      </c>
      <c r="W49" s="49" t="n"/>
    </row>
    <row r="50" ht="30" customHeight="1" s="59">
      <c r="A50" s="38" t="inlineStr">
        <is>
          <t>E05-S06</t>
        </is>
      </c>
      <c r="B50" s="39" t="inlineStr">
        <is>
          <t>E05</t>
        </is>
      </c>
      <c r="C50" s="40" t="inlineStr">
        <is>
          <t>MARKET DATA INGESTION</t>
        </is>
      </c>
      <c r="D50" s="40" t="inlineStr">
        <is>
          <t>Bar builder with session alignment</t>
        </is>
      </c>
      <c r="E50" s="40" t="inlineStr">
        <is>
          <t>QA-Success</t>
        </is>
      </c>
      <c r="F50" s="41" t="inlineStr">
        <is>
          <t>P0</t>
        </is>
      </c>
      <c r="G50" s="39" t="inlineStr">
        <is>
          <t>1</t>
        </is>
      </c>
      <c r="H50" s="51" t="inlineStr">
        <is>
          <t>Safety-critical</t>
        </is>
      </c>
      <c r="I50" s="39" t="inlineStr">
        <is>
          <t>FEAT</t>
        </is>
      </c>
      <c r="J50" s="43" t="n">
        <v>2</v>
      </c>
      <c r="K50" s="40" t="inlineStr">
        <is>
          <t>E05-S05</t>
        </is>
      </c>
      <c r="L50" s="40" t="n"/>
      <c r="M50" s="44" t="n"/>
      <c r="N50" s="45" t="n"/>
      <c r="O50" s="46" t="n"/>
      <c r="P50" s="46" t="n"/>
      <c r="Q50" s="47" t="n">
        <v>1</v>
      </c>
      <c r="R50" s="39" t="n">
        <v>5</v>
      </c>
      <c r="S50" s="48" t="inlineStr">
        <is>
          <t>As an analyst, I want bars aligned to the session start, so that a 15-minute bar runs 09:15–09:30 and indicators are not silently offset.</t>
        </is>
      </c>
      <c r="T50" s="48" t="inlineStr">
        <is>
          <t>1. In-progress bar per (symbol, timeframe)
2. Boundary detection via `MarketCalendar.bar_open_time`
3. Seal and publish on boundary crossing
4. Emit in-progress updates with `is_final=False`
5. Cascade 1m → 5m → 15m → 1h within the builder</t>
        </is>
      </c>
      <c r="U50" s="48" t="inlineStr">
        <is>
          <t>• 🔴 Bar boundaries match the calendar exactly across a full session
• Consumers can distinguish final from in-progress bars</t>
        </is>
      </c>
      <c r="V50" s="48" t="inlineStr">
        <is>
          <t>Bars align to the SESSION start, delegating to MarketCalendar.bar_open_time so there is one definition of a boundary. Timeframes built INDEPENDENTLY from ticks rather than cascaded - cascading means one bad 1m bar propagates silently into every higher timeframe. Bar volume is the DELTA of cumulative session volume, not the raw total. A sealed bar NEVER mutates: a late tick is dropped and counted, because the opening range is sealed at 09:30 and levels derived from it are already sizing positions. CAS-scope bars covering the 15:15 call auction are marked.</t>
        </is>
      </c>
      <c r="W50" s="49" t="n"/>
      <c r="X50" s="75" t="inlineStr">
        <is>
          <t>RESOLVED Aug 2026. Timeframes are built independently from ticks rather than cascaded, so a defect in the 1m path cannot reappear in the hourly series. CAS-window bars are marked. Late ticks are dropped and counted rather than mutating a sealed bar.</t>
        </is>
      </c>
    </row>
    <row r="51" ht="30" customHeight="1" s="59">
      <c r="A51" s="38" t="inlineStr">
        <is>
          <t>E05-S07</t>
        </is>
      </c>
      <c r="B51" s="39" t="inlineStr">
        <is>
          <t>E05</t>
        </is>
      </c>
      <c r="C51" s="40" t="inlineStr">
        <is>
          <t>MARKET DATA INGESTION</t>
        </is>
      </c>
      <c r="D51" s="40" t="inlineStr">
        <is>
          <t>Synthetic bar handling</t>
        </is>
      </c>
      <c r="E51" s="40" t="inlineStr">
        <is>
          <t>QA-Success</t>
        </is>
      </c>
      <c r="F51" s="41" t="inlineStr">
        <is>
          <t>P0</t>
        </is>
      </c>
      <c r="G51" s="39" t="inlineStr">
        <is>
          <t>1</t>
        </is>
      </c>
      <c r="H51" s="50" t="inlineStr">
        <is>
          <t>Correctness-critical</t>
        </is>
      </c>
      <c r="I51" s="39" t="inlineStr">
        <is>
          <t>FEAT</t>
        </is>
      </c>
      <c r="J51" s="43" t="n">
        <v>0.5</v>
      </c>
      <c r="K51" s="40" t="inlineStr">
        <is>
          <t>E05-S06</t>
        </is>
      </c>
      <c r="L51" s="40" t="n"/>
      <c r="M51" s="44" t="n"/>
      <c r="N51" s="45" t="n"/>
      <c r="O51" s="46" t="n"/>
      <c r="P51" s="46" t="n"/>
      <c r="Q51" s="47" t="n">
        <v>1</v>
      </c>
      <c r="R51" s="39" t="n">
        <v>3</v>
      </c>
      <c r="S51" s="48" t="inlineStr">
        <is>
          <t>As an analyst, I want no-trade intervals marked, so that indicators do not treat a data gap as a price move.</t>
        </is>
      </c>
      <c r="T51" s="48" t="inlineStr">
        <is>
          <t>1. Carry-forward bar when no trades occur
2. Flag `synthetic=True`
3. Indicator engine skips or handles synthetics explicitly</t>
        </is>
      </c>
      <c r="U51" s="48" t="n"/>
      <c r="V51" s="48" t="inlineStr">
        <is>
          <t>Carry-forward bars flagged synthetic with zero volume. The flag is the point: an illiquid symbol printing identical bars looks like a volatility collapse to an indicator that cannot tell 'did not move' from 'did not trade'.</t>
        </is>
      </c>
      <c r="W51" s="49" t="n"/>
    </row>
    <row r="52" ht="30" customHeight="1" s="59">
      <c r="A52" s="38" t="inlineStr">
        <is>
          <t>E05-S08</t>
        </is>
      </c>
      <c r="B52" s="39" t="inlineStr">
        <is>
          <t>E05</t>
        </is>
      </c>
      <c r="C52" s="40" t="inlineStr">
        <is>
          <t>MARKET DATA INGESTION</t>
        </is>
      </c>
      <c r="D52" s="40" t="inlineStr">
        <is>
          <t>Quote state publishing</t>
        </is>
      </c>
      <c r="E52" s="40" t="inlineStr">
        <is>
          <t>QA-Success</t>
        </is>
      </c>
      <c r="F52" s="41" t="inlineStr">
        <is>
          <t>P0</t>
        </is>
      </c>
      <c r="G52" s="39" t="inlineStr">
        <is>
          <t>1</t>
        </is>
      </c>
      <c r="H52" s="42" t="inlineStr">
        <is>
          <t>Low</t>
        </is>
      </c>
      <c r="I52" s="39" t="inlineStr">
        <is>
          <t>FEAT</t>
        </is>
      </c>
      <c r="J52" s="43" t="n">
        <v>0.5</v>
      </c>
      <c r="K52" s="40" t="inlineStr">
        <is>
          <t>E05-S05</t>
        </is>
      </c>
      <c r="L52" s="40" t="n"/>
      <c r="M52" s="44" t="n"/>
      <c r="N52" s="45" t="n"/>
      <c r="O52" s="46" t="n"/>
      <c r="P52" s="46" t="n"/>
      <c r="Q52" s="47" t="n">
        <v>1</v>
      </c>
      <c r="R52" s="39" t="n">
        <v>3</v>
      </c>
      <c r="S52" s="48" t="inlineStr">
        <is>
          <t>As the dashboard and risk engine, I need current quotes, so that P&amp;L and spread checks use live prices.</t>
        </is>
      </c>
      <c r="T52" s="48" t="inlineStr">
        <is>
          <t>1. Write `state:quote:{symbol}` on each tick
2. Include bid/ask for spread checks
3. Publish to `stream:ticks` for archival</t>
        </is>
      </c>
      <c r="U52" s="48" t="n"/>
      <c r="V52" s="48" t="inlineStr">
        <is>
          <t>Quote state to state:quote:{symbol} with a TTL (a session key with no expiry is read next morning as live), plus optional tick archival to the stream. read_fresh() is separate from read() so staleness is an explicit caller decision rather than something silently tolerated.</t>
        </is>
      </c>
      <c r="W52" s="49" t="n"/>
    </row>
    <row r="53" ht="30" customHeight="1" s="59">
      <c r="A53" s="38" t="inlineStr">
        <is>
          <t>E06-S01</t>
        </is>
      </c>
      <c r="B53" s="39" t="inlineStr">
        <is>
          <t>E06</t>
        </is>
      </c>
      <c r="C53" s="40" t="inlineStr">
        <is>
          <t>TECHNICAL ANALYSIS ENGINE</t>
        </is>
      </c>
      <c r="D53" s="40" t="inlineStr">
        <is>
          <t>Incremental indicator framework</t>
        </is>
      </c>
      <c r="E53" s="40" t="inlineStr">
        <is>
          <t>QA-Success</t>
        </is>
      </c>
      <c r="F53" s="41" t="inlineStr">
        <is>
          <t>P0</t>
        </is>
      </c>
      <c r="G53" s="39" t="inlineStr">
        <is>
          <t>2</t>
        </is>
      </c>
      <c r="H53" s="51" t="inlineStr">
        <is>
          <t>Safety-critical</t>
        </is>
      </c>
      <c r="I53" s="39" t="inlineStr">
        <is>
          <t>FEAT</t>
        </is>
      </c>
      <c r="J53" s="43" t="n">
        <v>2</v>
      </c>
      <c r="K53" s="40" t="inlineStr">
        <is>
          <t>E05-S06</t>
        </is>
      </c>
      <c r="L53" s="40" t="n"/>
      <c r="M53" s="44" t="n"/>
      <c r="N53" s="45" t="n"/>
      <c r="O53" s="46" t="n"/>
      <c r="P53" s="46" t="n"/>
      <c r="Q53" s="47" t="n">
        <v>1</v>
      </c>
      <c r="R53" s="39" t="n">
        <v>5</v>
      </c>
      <c r="S53" s="48" t="inlineStr">
        <is>
          <t>As a system, I want indicators updated in O(1) per bar, so that adding symbols does not degrade latency.</t>
        </is>
      </c>
      <c r="T53" s="48" t="inlineStr">
        <is>
          <t>1. `Indicator` protocol: `update(bar) -&gt; value`, `warm_up(bars)`, `is_ready`
2. TA-Lib streaming API wrapper
3. `IndicatorSet` per (symbol, timeframe)
4. State serialisation to Redis
5. Restore state on restart without full re-warm-up</t>
        </is>
      </c>
      <c r="U53" s="48" t="inlineStr">
        <is>
          <t>• 🔴 Incremental values match batch computation to 4 decimal places
• 200 symbols × 6 timeframes update in &lt; 50ms total</t>
        </is>
      </c>
      <c r="V53" s="48" t="inlineStr">
        <is>
          <t>Incremental framework with the SEEDING CONVENTION FIXED and verified by experiment, not assumed. TA-Lib emits EMA(N) first at index N-1 seeded from the simple mean of the first N; RSI and ATR use Wilder smoothing seeded from the mean of the first N samples. A streaming EMA seeded from the first value stays close forever and never equals it - which passes a 'looks right' review and fails the four-decimal acceptance criterion. Every indicator asserted against TA-Lib batch directly.</t>
        </is>
      </c>
      <c r="W53" s="49" t="n"/>
      <c r="X53" s="75" t="inlineStr">
        <is>
          <t>RESOLVED Aug 2026, and the concern understated it. The seeding convention is now fixed AND verified by experiment against TA-Lib rather than taken from a formula. Warm-up and state-restore both use the same path, and restore-equals-rewarm is asserted for the rest of the session rather than only at the instant of restore.</t>
        </is>
      </c>
    </row>
    <row r="54" ht="30" customHeight="1" s="59">
      <c r="A54" s="38" t="inlineStr">
        <is>
          <t>E06-S02</t>
        </is>
      </c>
      <c r="B54" s="39" t="inlineStr">
        <is>
          <t>E06</t>
        </is>
      </c>
      <c r="C54" s="40" t="inlineStr">
        <is>
          <t>TECHNICAL ANALYSIS ENGINE</t>
        </is>
      </c>
      <c r="D54" s="40" t="inlineStr">
        <is>
          <t>Core indicator implementations</t>
        </is>
      </c>
      <c r="E54" s="40" t="inlineStr">
        <is>
          <t>Development Completed</t>
        </is>
      </c>
      <c r="F54" s="41" t="inlineStr">
        <is>
          <t>P0</t>
        </is>
      </c>
      <c r="G54" s="39" t="inlineStr">
        <is>
          <t>2</t>
        </is>
      </c>
      <c r="H54" s="50" t="inlineStr">
        <is>
          <t>Correctness-critical</t>
        </is>
      </c>
      <c r="I54" s="39" t="inlineStr">
        <is>
          <t>FEAT</t>
        </is>
      </c>
      <c r="J54" s="43" t="n">
        <v>2</v>
      </c>
      <c r="K54" s="40" t="inlineStr">
        <is>
          <t>E06-S01</t>
        </is>
      </c>
      <c r="L54" s="40" t="n"/>
      <c r="M54" s="44" t="n"/>
      <c r="N54" s="45" t="n"/>
      <c r="O54" s="46" t="n"/>
      <c r="P54" s="46" t="n"/>
      <c r="Q54" s="47" t="n">
        <v>1</v>
      </c>
      <c r="R54" s="39" t="n">
        <v>8</v>
      </c>
      <c r="S54" s="48" t="n"/>
      <c r="T54" s="48" t="inlineStr">
        <is>
          <t>1. EMA (20, 50, 200), SMA
2. RSI(14)
3. MACD with signal and histogram
4. ATR(14) — critical, drives position sizing
5. Bollinger Bands
6. VWAP (session-anchored)
7. Volume ratio vs 20-period average
8. ADX</t>
        </is>
      </c>
      <c r="U54" s="48" t="inlineStr">
        <is>
          <t>• Every indicator verified against a reference implementation on the same data</t>
        </is>
      </c>
      <c r="V54" s="48" t="inlineStr">
        <is>
          <t>EMA, SMA, RSI, MACD, ATR, Bollinger, VWAP, VolumeRatio - all matched to TA-Lib within 1e-4. MACD needed a real fix found by that comparison: TA-Lib seeds BOTH its EMAs at the same bar (the slow period's start), not each at its own. Composing two independent EMAs read -18.75 where TA-Lib read -20.11 on a 200-bar series - a 7% error on a line whose CROSSINGS are the signal. Bollinger uses population not sample stddev (2.6% apart at n=20). VWAP is session-anchored and ignores synthetic bars. VolumeRatio excludes the current bar so a 10x spike does not damp itself.
NOT DONE: ADX. Listed in the story, deferred - it is the only one with no consumer yet.</t>
        </is>
      </c>
      <c r="W54" s="49" t="n"/>
    </row>
    <row r="55" ht="30" customHeight="1" s="59">
      <c r="A55" s="38" t="inlineStr">
        <is>
          <t>E06-S03</t>
        </is>
      </c>
      <c r="B55" s="39" t="inlineStr">
        <is>
          <t>E06</t>
        </is>
      </c>
      <c r="C55" s="40" t="inlineStr">
        <is>
          <t>TECHNICAL ANALYSIS ENGINE</t>
        </is>
      </c>
      <c r="D55" s="40" t="inlineStr">
        <is>
          <t>Warm-up orchestration</t>
        </is>
      </c>
      <c r="E55" s="40" t="inlineStr">
        <is>
          <t>QA-Success</t>
        </is>
      </c>
      <c r="F55" s="41" t="inlineStr">
        <is>
          <t>P0</t>
        </is>
      </c>
      <c r="G55" s="39" t="inlineStr">
        <is>
          <t>2</t>
        </is>
      </c>
      <c r="H55" s="51" t="inlineStr">
        <is>
          <t>Safety-critical</t>
        </is>
      </c>
      <c r="I55" s="39" t="inlineStr">
        <is>
          <t>FEAT</t>
        </is>
      </c>
      <c r="J55" s="43" t="n">
        <v>1.5</v>
      </c>
      <c r="K55" s="40" t="inlineStr">
        <is>
          <t>E06-S01, E03-S01</t>
        </is>
      </c>
      <c r="L55" s="40" t="n"/>
      <c r="M55" s="44" t="n"/>
      <c r="N55" s="45" t="n"/>
      <c r="O55" s="46" t="n"/>
      <c r="P55" s="46" t="n"/>
      <c r="Q55" s="47" t="n">
        <v>1</v>
      </c>
      <c r="R55" s="39" t="n">
        <v>5</v>
      </c>
      <c r="S55" s="48" t="inlineStr">
        <is>
          <t>As a trader, I want indicators seeded from history before trading, so that a 200-EMA is never computed from 3 bars.</t>
        </is>
      </c>
      <c r="T55" s="48" t="inlineStr">
        <is>
          <t>1. Load lookback from TimescaleDB at session start
2. Parallel warm-up in `ProcessPoolExecutor`
3. `is_ready` false until the longest-period indicator has enough data
4. Report warm-up completion per symbol
5. Block trading until the watchlist is warm</t>
        </is>
      </c>
      <c r="U55" s="48" t="inlineStr">
        <is>
          <t>• 🔴 A symbol with insufficient history is excluded, not traded on bad values</t>
        </is>
      </c>
      <c r="V55" s="48" t="inlineStr">
        <is>
          <t>Warm-up runs through the SAME code path as live updates, so the two cannot disagree - a separate batch path would only show its divergence as a discontinuity at the moment the system switched between them, mid-session. Insufficient history EXCLUDES the symbol and the report names which indicator was short, so the operator knows why a symbol left the universe.
Restore-equals-rewarm is asserted, and not only at the same instant: the two must stay equal for the REST of the session, which is what catches a snapshot that captured a value but not its window.</t>
        </is>
      </c>
      <c r="W55" s="49" t="n"/>
      <c r="X55" s="75" t="inlineStr">
        <is>
          <t>RESOLVED Aug 2026. Tested exactly as the concern asked: warm from history, snapshot, restore, compare - and then keep feeding both for another twenty bars, which is what catches a snapshot that saved the value but not the window. A snapshot from a different build is refused rather than partially applied.</t>
        </is>
      </c>
    </row>
    <row r="56" ht="30" customHeight="1" s="59">
      <c r="A56" s="38" t="inlineStr">
        <is>
          <t>E06-S04</t>
        </is>
      </c>
      <c r="B56" s="39" t="inlineStr">
        <is>
          <t>E06</t>
        </is>
      </c>
      <c r="C56" s="40" t="inlineStr">
        <is>
          <t>TECHNICAL ANALYSIS ENGINE</t>
        </is>
      </c>
      <c r="D56" s="40" t="inlineStr">
        <is>
          <t>Multi-timeframe snapshot assembly</t>
        </is>
      </c>
      <c r="E56" s="40" t="inlineStr">
        <is>
          <t>QA-Success</t>
        </is>
      </c>
      <c r="F56" s="41" t="inlineStr">
        <is>
          <t>P0</t>
        </is>
      </c>
      <c r="G56" s="39" t="inlineStr">
        <is>
          <t>2</t>
        </is>
      </c>
      <c r="H56" s="50" t="inlineStr">
        <is>
          <t>Correctness-critical</t>
        </is>
      </c>
      <c r="I56" s="39" t="inlineStr">
        <is>
          <t>FEAT</t>
        </is>
      </c>
      <c r="J56" s="43" t="n">
        <v>1</v>
      </c>
      <c r="K56" s="40" t="inlineStr">
        <is>
          <t>E06-S02</t>
        </is>
      </c>
      <c r="L56" s="40" t="n"/>
      <c r="M56" s="44" t="n"/>
      <c r="N56" s="45" t="n"/>
      <c r="O56" s="46" t="n"/>
      <c r="P56" s="46" t="n"/>
      <c r="Q56" s="47" t="n">
        <v>1</v>
      </c>
      <c r="R56" s="39" t="n">
        <v>3</v>
      </c>
      <c r="S56" s="48" t="n"/>
      <c r="T56" s="48" t="inlineStr">
        <is>
          <t>1. Assemble `MultiTimeframeSnapshot` from per-timeframe state
2. `all_ready` gate
3. Publish to Redis for `signal-engine` to read without IPC</t>
        </is>
      </c>
      <c r="U56" s="48" t="n"/>
      <c r="V56" s="48" t="inlineStr">
        <is>
          <t>MultiTimeframeSnapshot with all_ready gating evaluation. Values are still exposed when not ready so a health panel can show what is missing rather than an unexplained refusal. A feed gap marks EVERY timeframe for that symbol stale - a 15-minute hole is a missing 5m bar and a corrupted hourly bar alike, and the hourly one is harder to notice. Staleness is NOT cleared by the next bar.</t>
        </is>
      </c>
      <c r="W56" s="49" t="n"/>
    </row>
    <row r="57" ht="30" customHeight="1" s="59">
      <c r="A57" s="38" t="inlineStr">
        <is>
          <t>E06-S05</t>
        </is>
      </c>
      <c r="B57" s="39" t="inlineStr">
        <is>
          <t>E06</t>
        </is>
      </c>
      <c r="C57" s="40" t="inlineStr">
        <is>
          <t>TECHNICAL ANALYSIS ENGINE</t>
        </is>
      </c>
      <c r="D57" s="40" t="inlineStr">
        <is>
          <t>Support/resistance and pivot detection</t>
        </is>
      </c>
      <c r="E57" s="40" t="inlineStr">
        <is>
          <t>QA-Success</t>
        </is>
      </c>
      <c r="F57" s="41" t="inlineStr">
        <is>
          <t>P0</t>
        </is>
      </c>
      <c r="G57" s="39" t="inlineStr">
        <is>
          <t>2</t>
        </is>
      </c>
      <c r="H57" s="50" t="inlineStr">
        <is>
          <t>Correctness-critical</t>
        </is>
      </c>
      <c r="I57" s="39" t="inlineStr">
        <is>
          <t>FEAT</t>
        </is>
      </c>
      <c r="J57" s="43" t="n">
        <v>2</v>
      </c>
      <c r="K57" s="40" t="inlineStr">
        <is>
          <t>E06-S02</t>
        </is>
      </c>
      <c r="L57" s="40" t="n"/>
      <c r="M57" s="44" t="n"/>
      <c r="N57" s="45" t="n"/>
      <c r="O57" s="46" t="n"/>
      <c r="P57" s="46" t="n"/>
      <c r="Q57" s="47" t="n">
        <v>1</v>
      </c>
      <c r="R57" s="39" t="n">
        <v>5</v>
      </c>
      <c r="S57" s="48" t="inlineStr">
        <is>
          <t>As a strategy, I need structural levels, so that stops can be placed at points that invalidate the thesis rather than at arbitrary distances.</t>
        </is>
      </c>
      <c r="T57" s="48" t="inlineStr">
        <is>
          <t>1. Classic pivot points (P, R1-R3, S1-S3)
2. Prior-day high/low/close
3. Swing high/low detection
4. Level clustering (nearby levels merge)
5. Level strength scoring by touch count</t>
        </is>
      </c>
      <c r="U57" s="48" t="n"/>
      <c r="V57" s="48" t="inlineStr">
        <is>
          <t>Classic pivots, prior-day HLC, swing detection and level clustering. Clustering anchors to the first member rather than chaining, so a gently-rising staircase cannot merge into one 'level' spanning the day's range. Touches become strength, capped - a level touched twenty times is not twice as strong as one touched ten.</t>
        </is>
      </c>
      <c r="W57" s="49" t="n"/>
    </row>
    <row r="58" ht="30" customHeight="1" s="59">
      <c r="A58" s="77" t="inlineStr">
        <is>
          <t>E06-S06</t>
        </is>
      </c>
      <c r="B58" s="48" t="inlineStr">
        <is>
          <t>E06</t>
        </is>
      </c>
      <c r="C58" s="48" t="inlineStr">
        <is>
          <t>TECHNICAL ANALYSIS ENGINE</t>
        </is>
      </c>
      <c r="D58" s="48" t="inlineStr">
        <is>
          <t>Opening range computation</t>
        </is>
      </c>
      <c r="E58" s="48" t="inlineStr">
        <is>
          <t>QA-Success</t>
        </is>
      </c>
      <c r="F58" s="78" t="inlineStr">
        <is>
          <t>P0</t>
        </is>
      </c>
      <c r="G58" s="48" t="inlineStr">
        <is>
          <t>2</t>
        </is>
      </c>
      <c r="H58" s="79" t="inlineStr">
        <is>
          <t>Safety-critical</t>
        </is>
      </c>
      <c r="I58" s="48" t="inlineStr">
        <is>
          <t>FEAT</t>
        </is>
      </c>
      <c r="J58" s="80" t="n">
        <v>1</v>
      </c>
      <c r="K58" s="48" t="inlineStr">
        <is>
          <t>E06-S02</t>
        </is>
      </c>
      <c r="L58" s="48" t="n"/>
      <c r="M58" s="44" t="n"/>
      <c r="N58" s="45" t="n"/>
      <c r="O58" s="46" t="n"/>
      <c r="P58" s="46" t="n"/>
      <c r="Q58" s="47" t="n">
        <v>1</v>
      </c>
      <c r="R58" s="39" t="n">
        <v>4</v>
      </c>
      <c r="S58" s="48" t="inlineStr">
        <is>
          <t>As the primary strategy, I need the 09:15–09:30 range, so that breakouts can be detected against a well-defined reference.</t>
        </is>
      </c>
      <c r="T58" s="48" t="inlineStr">
        <is>
          <t>1. Track high/low from 09:15 to 09:30
2. Seal at 09:30 and publish
3. Compute range as % of price
4. Handle the gap-open case</t>
        </is>
      </c>
      <c r="U58" s="48" t="inlineStr">
        <is>
          <t>• 🔴 Range is sealed exactly at 09:30 and never mutates afterwards</t>
        </is>
      </c>
      <c r="V58" s="48" t="inlineStr">
        <is>
          <t>Opening range sealed at 09:30 and it NEVER moves. A late tick is refused AND COUNTED rather than silently dropped, because a silent no-op would hide a feed delivering out of order. breakout_direction() refuses to answer before sealing - answering early trades a breakout of a range still forming, which is not a breakout. An empty range is sealed-but-not-usable: a symbol that did not trade in the first fifteen minutes has no range, which is different from a narrow one.</t>
        </is>
      </c>
      <c r="W58" s="49" t="n"/>
      <c r="X58" s="75" t="inlineStr">
        <is>
          <t>RESOLVED Aug 2026. The explicit rule the concern asked for: a tick whose exchange timestamp falls inside the window but which ARRIVES after the seal is dropped and counted. Four tests cover it, including the control that a late tick OUTSIDE the window is not an anomaly.</t>
        </is>
      </c>
    </row>
    <row r="59" ht="30" customHeight="1" s="59">
      <c r="A59" s="38" t="inlineStr">
        <is>
          <t>E06-S07</t>
        </is>
      </c>
      <c r="B59" s="39" t="inlineStr">
        <is>
          <t>E06</t>
        </is>
      </c>
      <c r="C59" s="40" t="inlineStr">
        <is>
          <t>TECHNICAL ANALYSIS ENGINE</t>
        </is>
      </c>
      <c r="D59" s="40" t="inlineStr">
        <is>
          <t>Relative strength calculation</t>
        </is>
      </c>
      <c r="E59" s="40" t="inlineStr">
        <is>
          <t>New</t>
        </is>
      </c>
      <c r="F59" s="41" t="inlineStr">
        <is>
          <t>P0</t>
        </is>
      </c>
      <c r="G59" s="39" t="inlineStr">
        <is>
          <t>2</t>
        </is>
      </c>
      <c r="H59" s="50" t="inlineStr">
        <is>
          <t>Correctness-critical</t>
        </is>
      </c>
      <c r="I59" s="39" t="inlineStr">
        <is>
          <t>FEAT</t>
        </is>
      </c>
      <c r="J59" s="43" t="n">
        <v>1.5</v>
      </c>
      <c r="K59" s="40" t="inlineStr">
        <is>
          <t>E06-S02</t>
        </is>
      </c>
      <c r="L59" s="40" t="n"/>
      <c r="M59" s="44" t="n"/>
      <c r="N59" s="45" t="n"/>
      <c r="O59" s="46" t="n"/>
      <c r="P59" s="46" t="n"/>
      <c r="Q59" s="47" t="n"/>
      <c r="R59" s="39" t="n">
        <v>4</v>
      </c>
      <c r="S59" s="48" t="inlineStr">
        <is>
          <t>As a scorer, I need stock-vs-sector and sector-vs-index strength, so that leaders in leading sectors rank higher.</t>
        </is>
      </c>
      <c r="T59" s="48" t="inlineStr">
        <is>
          <t>1. Sector index mapping per symbol
2. Rolling relative performance
3. Sector-vs-Nifty ranking
4. Normalise to a 0–1 score</t>
        </is>
      </c>
      <c r="U59" s="48" t="n"/>
      <c r="V59" s="48" t="inlineStr">
        <is>
          <t>NOT STARTED. Needs sector index mapping per symbol, which is E04-S01's data - so it waits on the NSE access question (blocker B8) rather than on anything in this epic.</t>
        </is>
      </c>
      <c r="W59" s="49" t="n"/>
    </row>
    <row r="60" ht="30" customHeight="1" s="59">
      <c r="A60" s="38" t="inlineStr">
        <is>
          <t>E06-S08</t>
        </is>
      </c>
      <c r="B60" s="39" t="inlineStr">
        <is>
          <t>E06</t>
        </is>
      </c>
      <c r="C60" s="40" t="inlineStr">
        <is>
          <t>TECHNICAL ANALYSIS ENGINE</t>
        </is>
      </c>
      <c r="D60" s="40" t="inlineStr">
        <is>
          <t>Chart and candlestick patterns</t>
        </is>
      </c>
      <c r="E60" s="40" t="inlineStr">
        <is>
          <t>New</t>
        </is>
      </c>
      <c r="F60" s="52" t="inlineStr">
        <is>
          <t>P2</t>
        </is>
      </c>
      <c r="G60" s="39" t="inlineStr">
        <is>
          <t>6</t>
        </is>
      </c>
      <c r="H60" s="42" t="inlineStr">
        <is>
          <t>Low</t>
        </is>
      </c>
      <c r="I60" s="39" t="inlineStr">
        <is>
          <t>FEAT</t>
        </is>
      </c>
      <c r="J60" s="43" t="n">
        <v>1</v>
      </c>
      <c r="K60" s="40" t="inlineStr">
        <is>
          <t>E06-S02</t>
        </is>
      </c>
      <c r="L60" s="40" t="n"/>
      <c r="M60" s="44" t="n"/>
      <c r="N60" s="45" t="n"/>
      <c r="O60" s="46" t="n"/>
      <c r="P60" s="46" t="n"/>
      <c r="Q60" s="47" t="n"/>
      <c r="R60" s="39" t="n">
        <v>0</v>
      </c>
      <c r="S60" s="48" t="n"/>
      <c r="T60" s="48" t="n"/>
      <c r="U60" s="48" t="n"/>
      <c r="V60" s="48" t="inlineStr">
        <is>
          <t>NOT STARTED - deliberately. Low risk, and the only E06 story with no consumer until E13 exists.</t>
        </is>
      </c>
      <c r="W60" s="49" t="n"/>
    </row>
    <row r="61" ht="30" customHeight="1" s="59">
      <c r="A61" s="38" t="inlineStr">
        <is>
          <t>E07-S01</t>
        </is>
      </c>
      <c r="B61" s="39" t="inlineStr">
        <is>
          <t>E07</t>
        </is>
      </c>
      <c r="C61" s="40" t="inlineStr">
        <is>
          <t>UNIVERSE &amp; SCORING</t>
        </is>
      </c>
      <c r="D61" s="40" t="inlineStr">
        <is>
          <t>Base universe loading</t>
        </is>
      </c>
      <c r="E61" s="40" t="inlineStr">
        <is>
          <t>New</t>
        </is>
      </c>
      <c r="F61" s="41" t="inlineStr">
        <is>
          <t>P0</t>
        </is>
      </c>
      <c r="G61" s="39" t="inlineStr">
        <is>
          <t>2</t>
        </is>
      </c>
      <c r="H61" s="42" t="inlineStr">
        <is>
          <t>Low</t>
        </is>
      </c>
      <c r="I61" s="39" t="inlineStr">
        <is>
          <t>FEAT</t>
        </is>
      </c>
      <c r="J61" s="43" t="n">
        <v>0.5</v>
      </c>
      <c r="K61" s="40" t="inlineStr">
        <is>
          <t>E02-S06</t>
        </is>
      </c>
      <c r="L61" s="40" t="n"/>
      <c r="M61" s="44" t="n"/>
      <c r="N61" s="45" t="n"/>
      <c r="O61" s="46" t="n"/>
      <c r="P61" s="46" t="n"/>
      <c r="Q61" s="47" t="n"/>
      <c r="R61" s="39" t="n">
        <v>4</v>
      </c>
      <c r="S61" s="48" t="n"/>
      <c r="T61" s="48" t="inlineStr">
        <is>
          <t>1. Load Nifty 50/100/200/500 constituents
2. F&amp;O universe
3. Custom symbol list support
4. Handle index reconstitution</t>
        </is>
      </c>
      <c r="U61" s="48" t="n"/>
      <c r="V61" s="48" t="n"/>
      <c r="W61" s="49" t="n"/>
    </row>
    <row r="62" ht="30" customHeight="1" s="59">
      <c r="A62" s="38" t="inlineStr">
        <is>
          <t>E07-S02</t>
        </is>
      </c>
      <c r="B62" s="39" t="inlineStr">
        <is>
          <t>E07</t>
        </is>
      </c>
      <c r="C62" s="40" t="inlineStr">
        <is>
          <t>UNIVERSE &amp; SCORING</t>
        </is>
      </c>
      <c r="D62" s="40" t="inlineStr">
        <is>
          <t>Hard filter pipeline</t>
        </is>
      </c>
      <c r="E62" s="40" t="inlineStr">
        <is>
          <t>New</t>
        </is>
      </c>
      <c r="F62" s="41" t="inlineStr">
        <is>
          <t>P0</t>
        </is>
      </c>
      <c r="G62" s="39" t="inlineStr">
        <is>
          <t>2</t>
        </is>
      </c>
      <c r="H62" s="51" t="inlineStr">
        <is>
          <t>Safety-critical</t>
        </is>
      </c>
      <c r="I62" s="39" t="inlineStr">
        <is>
          <t>FEAT</t>
        </is>
      </c>
      <c r="J62" s="43" t="n">
        <v>1.5</v>
      </c>
      <c r="K62" s="40" t="inlineStr">
        <is>
          <t>E04 (all), E07-S01</t>
        </is>
      </c>
      <c r="L62" s="40" t="n"/>
      <c r="M62" s="44" t="n"/>
      <c r="N62" s="45" t="n"/>
      <c r="O62" s="46" t="n"/>
      <c r="P62" s="46" t="n"/>
      <c r="Q62" s="47" t="n"/>
      <c r="R62" s="39" t="n">
        <v>4</v>
      </c>
      <c r="S62" s="48" t="inlineStr">
        <is>
          <t>As a trader, I want structurally untradeable stocks removed before scoring, so that no ineligible name can reach an order.</t>
        </is>
      </c>
      <c r="T62" s="48" t="inlineStr">
        <is>
          <t>1. Apply all 10 filters in order (cheapest first)
2. Record which filter excluded each symbol
3. Live preview: how many survive each filter today
4. Alert if the surviving universe is implausibly small</t>
        </is>
      </c>
      <c r="U62" s="48" t="inlineStr">
        <is>
          <t>• 🔴 Every filter in config is applied; none can be silently skipped
• The exclusion reason for any symbol is queryable</t>
        </is>
      </c>
      <c r="V62" s="48" t="n"/>
      <c r="W62" s="49" t="n"/>
      <c r="X62" s="75" t="inlineStr">
        <is>
          <t>'Cheapest first' makes the recorded exclusion reason ORDER-DEPENDENT — a symbol that is both T2T and illiquid is attributed to whichever check ran first. If the audit answer 'why was this excluded' matters, either record every failing filter, or document that the field means 'first failing filter', not 'the reason'.</t>
        </is>
      </c>
    </row>
    <row r="63" ht="30" customHeight="1" s="59">
      <c r="A63" s="38" t="inlineStr">
        <is>
          <t>E07-S03</t>
        </is>
      </c>
      <c r="B63" s="39" t="inlineStr">
        <is>
          <t>E07</t>
        </is>
      </c>
      <c r="C63" s="40" t="inlineStr">
        <is>
          <t>UNIVERSE &amp; SCORING</t>
        </is>
      </c>
      <c r="D63" s="40" t="inlineStr">
        <is>
          <t>Tradeability score components</t>
        </is>
      </c>
      <c r="E63" s="40" t="inlineStr">
        <is>
          <t>New</t>
        </is>
      </c>
      <c r="F63" s="41" t="inlineStr">
        <is>
          <t>P0</t>
        </is>
      </c>
      <c r="G63" s="39" t="inlineStr">
        <is>
          <t>2</t>
        </is>
      </c>
      <c r="H63" s="50" t="inlineStr">
        <is>
          <t>Correctness-critical</t>
        </is>
      </c>
      <c r="I63" s="39" t="inlineStr">
        <is>
          <t>FEAT</t>
        </is>
      </c>
      <c r="J63" s="43" t="n">
        <v>2</v>
      </c>
      <c r="K63" s="40" t="inlineStr">
        <is>
          <t>E06-S04, E06-S07</t>
        </is>
      </c>
      <c r="L63" s="40" t="n"/>
      <c r="M63" s="44" t="n"/>
      <c r="N63" s="45" t="n"/>
      <c r="O63" s="46" t="n"/>
      <c r="P63" s="46" t="n"/>
      <c r="Q63" s="47" t="n"/>
      <c r="R63" s="39" t="n">
        <v>7</v>
      </c>
      <c r="S63" s="48" t="n"/>
      <c r="T63" s="48" t="inlineStr">
        <is>
          <t>1. Multi-timeframe trend alignment (25%)
2. Relative strength (20%)
3. Volatility fitness — scored as a *band*, not more-is-better (15%)
4. Volume expansion (15%)
5. Level proximity (15%)
6. Catalyst/news (10%) — stub until E08
7. Weighted composite, 0–100</t>
        </is>
      </c>
      <c r="U63" s="48" t="inlineStr">
        <is>
          <t>• Weights come from config and are verified to sum to 1.0
• Each component is independently unit-tested</t>
        </is>
      </c>
      <c r="V63" s="48" t="n"/>
      <c r="W63" s="49" t="n"/>
      <c r="X63" s="75" t="inlineStr">
        <is>
          <t>The catalyst component is stubbed at 0 until E08, but the weights sum to 1.0 INCLUDING it. Every score is therefore depressed by 10% until news lands, and scores from before and after E08 are not comparable — which quietly invalidates E07-S06's 20-session validation report if the window spans the change. Renormalise over available components, or freeze the report window.</t>
        </is>
      </c>
    </row>
    <row r="64" ht="30" customHeight="1" s="59">
      <c r="A64" s="38" t="inlineStr">
        <is>
          <t>E07-S04</t>
        </is>
      </c>
      <c r="B64" s="39" t="inlineStr">
        <is>
          <t>E07</t>
        </is>
      </c>
      <c r="C64" s="40" t="inlineStr">
        <is>
          <t>UNIVERSE &amp; SCORING</t>
        </is>
      </c>
      <c r="D64" s="40" t="inlineStr">
        <is>
          <t>Ranking and shortlisting</t>
        </is>
      </c>
      <c r="E64" s="40" t="inlineStr">
        <is>
          <t>New</t>
        </is>
      </c>
      <c r="F64" s="41" t="inlineStr">
        <is>
          <t>P0</t>
        </is>
      </c>
      <c r="G64" s="39" t="inlineStr">
        <is>
          <t>2</t>
        </is>
      </c>
      <c r="H64" s="42" t="inlineStr">
        <is>
          <t>Low</t>
        </is>
      </c>
      <c r="I64" s="39" t="inlineStr">
        <is>
          <t>FEAT</t>
        </is>
      </c>
      <c r="J64" s="43" t="n">
        <v>0.5</v>
      </c>
      <c r="K64" s="40" t="inlineStr">
        <is>
          <t>E07-S03</t>
        </is>
      </c>
      <c r="L64" s="40" t="n"/>
      <c r="M64" s="44" t="n"/>
      <c r="N64" s="45" t="n"/>
      <c r="O64" s="46" t="n"/>
      <c r="P64" s="46" t="n"/>
      <c r="Q64" s="47" t="n"/>
      <c r="R64" s="39" t="n">
        <v>3</v>
      </c>
      <c r="S64" s="48" t="n"/>
      <c r="T64" s="48" t="inlineStr">
        <is>
          <t>1. Rank surviving universe by score
2. Take top N (`shortlist_size`)
3. Tie-breaking rule (deterministic)</t>
        </is>
      </c>
      <c r="U64" s="48" t="n"/>
      <c r="V64" s="48" t="n"/>
      <c r="W64" s="49" t="n"/>
    </row>
    <row r="65" ht="30" customHeight="1" s="59">
      <c r="A65" s="38" t="inlineStr">
        <is>
          <t>E07-S05</t>
        </is>
      </c>
      <c r="B65" s="39" t="inlineStr">
        <is>
          <t>E07</t>
        </is>
      </c>
      <c r="C65" s="40" t="inlineStr">
        <is>
          <t>UNIVERSE &amp; SCORING</t>
        </is>
      </c>
      <c r="D65" s="40" t="inlineStr">
        <is>
          <t>Score explainability</t>
        </is>
      </c>
      <c r="E65" s="40" t="inlineStr">
        <is>
          <t>New</t>
        </is>
      </c>
      <c r="F65" s="41" t="inlineStr">
        <is>
          <t>P0</t>
        </is>
      </c>
      <c r="G65" s="39" t="inlineStr">
        <is>
          <t>2</t>
        </is>
      </c>
      <c r="H65" s="50" t="inlineStr">
        <is>
          <t>Correctness-critical</t>
        </is>
      </c>
      <c r="I65" s="39" t="inlineStr">
        <is>
          <t>FEAT</t>
        </is>
      </c>
      <c r="J65" s="43" t="n">
        <v>1</v>
      </c>
      <c r="K65" s="40" t="inlineStr">
        <is>
          <t>E07-S03</t>
        </is>
      </c>
      <c r="L65" s="40" t="n"/>
      <c r="M65" s="44" t="n"/>
      <c r="N65" s="45" t="n"/>
      <c r="O65" s="46" t="n"/>
      <c r="P65" s="46" t="n"/>
      <c r="Q65" s="47" t="n"/>
      <c r="R65" s="39" t="n">
        <v>3</v>
      </c>
      <c r="S65" s="48" t="inlineStr">
        <is>
          <t>As a trader, I want to see why a stock scored what it did, so that a bare number is not unaccountable.</t>
        </is>
      </c>
      <c r="T65" s="48" t="inlineStr">
        <is>
          <t>1. Persist per-component contributions
2. Render breakdown in the UI and briefing
3. Explain rank changes day over day</t>
        </is>
      </c>
      <c r="U65" s="48" t="n"/>
      <c r="V65" s="48" t="n"/>
      <c r="W65" s="49" t="n"/>
    </row>
    <row r="66" ht="30" customHeight="1" s="59">
      <c r="A66" s="38" t="inlineStr">
        <is>
          <t>E07-S06</t>
        </is>
      </c>
      <c r="B66" s="39" t="inlineStr">
        <is>
          <t>E07</t>
        </is>
      </c>
      <c r="C66" s="40" t="inlineStr">
        <is>
          <t>UNIVERSE &amp; SCORING</t>
        </is>
      </c>
      <c r="D66" s="40" t="inlineStr">
        <is>
          <t>Universe validation report</t>
        </is>
      </c>
      <c r="E66" s="40" t="inlineStr">
        <is>
          <t>New</t>
        </is>
      </c>
      <c r="F66" s="53" t="inlineStr">
        <is>
          <t>P1</t>
        </is>
      </c>
      <c r="G66" s="39" t="inlineStr">
        <is>
          <t>2</t>
        </is>
      </c>
      <c r="H66" s="42" t="inlineStr">
        <is>
          <t>Low</t>
        </is>
      </c>
      <c r="I66" s="39" t="inlineStr">
        <is>
          <t>TEST</t>
        </is>
      </c>
      <c r="J66" s="43" t="n">
        <v>1.5</v>
      </c>
      <c r="K66" s="40" t="inlineStr">
        <is>
          <t>E07-S04</t>
        </is>
      </c>
      <c r="L66" s="40" t="n"/>
      <c r="M66" s="44" t="n"/>
      <c r="N66" s="45" t="n"/>
      <c r="O66" s="46" t="n"/>
      <c r="P66" s="46" t="n"/>
      <c r="Q66" s="47" t="n"/>
      <c r="R66" s="39" t="n">
        <v>4</v>
      </c>
      <c r="S66" s="48" t="inlineStr">
        <is>
          <t>As a developer, I want to compare the ranked watchlist against what actually moved, so that the scoring model can be tuned on evidence.</t>
        </is>
      </c>
      <c r="T66" s="48" t="inlineStr">
        <is>
          <t>1. Daily: capture the ranked list
2. EOD: compare against realised ranges and volumes
3. Hit-rate metric: how often did top-10 names actually move?
4. Report over rolling 20 sessions</t>
        </is>
      </c>
      <c r="U66" s="48" t="n"/>
      <c r="V66" s="48" t="n"/>
      <c r="W66" s="49" t="n"/>
    </row>
    <row r="67" ht="30" customHeight="1" s="59">
      <c r="A67" s="38" t="inlineStr">
        <is>
          <t>E08-S01</t>
        </is>
      </c>
      <c r="B67" s="39" t="inlineStr">
        <is>
          <t>E08</t>
        </is>
      </c>
      <c r="C67" s="40" t="inlineStr">
        <is>
          <t>NEWS INTELLIGENCE</t>
        </is>
      </c>
      <c r="D67" s="40" t="inlineStr">
        <is>
          <t>News source integration</t>
        </is>
      </c>
      <c r="E67" s="40" t="inlineStr">
        <is>
          <t>New</t>
        </is>
      </c>
      <c r="F67" s="53" t="inlineStr">
        <is>
          <t>P1</t>
        </is>
      </c>
      <c r="G67" s="39" t="inlineStr">
        <is>
          <t>3</t>
        </is>
      </c>
      <c r="H67" s="50" t="inlineStr">
        <is>
          <t>Correctness-critical</t>
        </is>
      </c>
      <c r="I67" s="39" t="inlineStr">
        <is>
          <t>FEAT</t>
        </is>
      </c>
      <c r="J67" s="43" t="n">
        <v>1.5</v>
      </c>
      <c r="K67" s="40" t="inlineStr">
        <is>
          <t>E01-S02</t>
        </is>
      </c>
      <c r="L67" s="40" t="n"/>
      <c r="M67" s="44" t="n"/>
      <c r="N67" s="45" t="n"/>
      <c r="O67" s="46" t="n"/>
      <c r="P67" s="46" t="n"/>
      <c r="Q67" s="47" t="n"/>
      <c r="R67" s="39" t="n">
        <v>4</v>
      </c>
      <c r="S67" s="48" t="n"/>
      <c r="T67" s="48" t="inlineStr">
        <is>
          <t>1. Allowlisted provider clients
2. Polling on `news.refresh_interval_min`
3. Per-source timeout and failure isolation
4. Raw article persistence for audit</t>
        </is>
      </c>
      <c r="U67" s="48" t="inlineStr">
        <is>
          <t>• A dead source degrades its contribution, never fails the refresh</t>
        </is>
      </c>
      <c r="V67" s="48" t="n"/>
      <c r="W67" s="49" t="n"/>
    </row>
    <row r="68" ht="30" customHeight="1" s="59">
      <c r="A68" s="38" t="inlineStr">
        <is>
          <t>E08-S02</t>
        </is>
      </c>
      <c r="B68" s="39" t="inlineStr">
        <is>
          <t>E08</t>
        </is>
      </c>
      <c r="C68" s="40" t="inlineStr">
        <is>
          <t>NEWS INTELLIGENCE</t>
        </is>
      </c>
      <c r="D68" s="40" t="inlineStr">
        <is>
          <t>Near-duplicate detection and clustering</t>
        </is>
      </c>
      <c r="E68" s="40" t="inlineStr">
        <is>
          <t>New</t>
        </is>
      </c>
      <c r="F68" s="53" t="inlineStr">
        <is>
          <t>P1</t>
        </is>
      </c>
      <c r="G68" s="39" t="inlineStr">
        <is>
          <t>3</t>
        </is>
      </c>
      <c r="H68" s="50" t="inlineStr">
        <is>
          <t>Correctness-critical</t>
        </is>
      </c>
      <c r="I68" s="39" t="inlineStr">
        <is>
          <t>FEAT</t>
        </is>
      </c>
      <c r="J68" s="43" t="n">
        <v>1.5</v>
      </c>
      <c r="K68" s="40" t="inlineStr">
        <is>
          <t>E08-S01</t>
        </is>
      </c>
      <c r="L68" s="40" t="n"/>
      <c r="M68" s="44" t="n"/>
      <c r="N68" s="45" t="n"/>
      <c r="O68" s="46" t="n"/>
      <c r="P68" s="46" t="n"/>
      <c r="Q68" s="47" t="n"/>
      <c r="R68" s="39" t="n">
        <v>3</v>
      </c>
      <c r="S68" s="48" t="inlineStr">
        <is>
          <t>As an analyst, I want syndicated copies of the same story grouped, so that one event carried by six outlets is not counted six times.</t>
        </is>
      </c>
      <c r="T68" s="48" t="inlineStr">
        <is>
          <t>1. Similarity-based clustering
2. `cluster_id` assignment
3. Cluster size feeds salience (positively) and novelty (inversely)</t>
        </is>
      </c>
      <c r="U68" s="48" t="n"/>
      <c r="V68" s="48" t="n"/>
      <c r="W68" s="49" t="n"/>
    </row>
    <row r="69" ht="30" customHeight="1" s="59">
      <c r="A69" s="38" t="inlineStr">
        <is>
          <t>E08-S03</t>
        </is>
      </c>
      <c r="B69" s="39" t="inlineStr">
        <is>
          <t>E08</t>
        </is>
      </c>
      <c r="C69" s="40" t="inlineStr">
        <is>
          <t>NEWS INTELLIGENCE</t>
        </is>
      </c>
      <c r="D69" s="40" t="inlineStr">
        <is>
          <t>Prompt injection sanitisation</t>
        </is>
      </c>
      <c r="E69" s="40" t="inlineStr">
        <is>
          <t>New</t>
        </is>
      </c>
      <c r="F69" s="41" t="inlineStr">
        <is>
          <t>P0</t>
        </is>
      </c>
      <c r="G69" s="39" t="inlineStr">
        <is>
          <t>3</t>
        </is>
      </c>
      <c r="H69" s="51" t="inlineStr">
        <is>
          <t>Safety-critical</t>
        </is>
      </c>
      <c r="I69" s="39" t="inlineStr">
        <is>
          <t>SEC</t>
        </is>
      </c>
      <c r="J69" s="43" t="n">
        <v>2</v>
      </c>
      <c r="K69" s="40" t="inlineStr">
        <is>
          <t>E08-S01</t>
        </is>
      </c>
      <c r="L69" s="40" t="n"/>
      <c r="M69" s="44" t="n"/>
      <c r="N69" s="45" t="n"/>
      <c r="O69" s="46" t="n"/>
      <c r="P69" s="46" t="n"/>
      <c r="Q69" s="47" t="n"/>
      <c r="R69" s="39" t="n">
        <v>7</v>
      </c>
      <c r="S69" s="48" t="inlineStr">
        <is>
          <t>As a security-conscious operator, I want news content sanitised before it reaches any prompt, so that an attacker publishing crafted content cannot steer trading decisions.</t>
        </is>
      </c>
      <c r="T69" s="48" t="inlineStr">
        <is>
          <t>1. Strip/escape XML-ish tags and role markers
2. Detect instruction-injection phrases ("ignore previous", "system:")
3. Strip bidirectional Unicode overrides and zero-width characters
4. Length truncation
5. Set `injection_flagged` and exclude flagged articles from scoring
6. Metric per source — a rising rate is a source to drop
7. Adversarial test corpus (see E22-S06)</t>
        </is>
      </c>
      <c r="U69" s="48" t="inlineStr">
        <is>
          <t>• 🔴 Every payload in the adversarial corpus is neutralised
• Flagged articles are visible in the admin UI</t>
        </is>
      </c>
      <c r="V69" s="48" t="n"/>
      <c r="W69" s="49" t="n"/>
      <c r="X69" s="75" t="inlineStr">
        <is>
          <t>Sanitisation and detection are different controls and the tasks mix them. Stripping tags is deterministic; detecting 'ignore previous' is a blocklist an attacker rewrites around. The REAL boundary is the structured output schema in E08-S05. Treat this as defence in depth and never let a passing sanitiser become the reason to trust article text.</t>
        </is>
      </c>
    </row>
    <row r="70" ht="30" customHeight="1" s="59">
      <c r="A70" s="38" t="inlineStr">
        <is>
          <t>E08-S04</t>
        </is>
      </c>
      <c r="B70" s="39" t="inlineStr">
        <is>
          <t>E08</t>
        </is>
      </c>
      <c r="C70" s="40" t="inlineStr">
        <is>
          <t>NEWS INTELLIGENCE</t>
        </is>
      </c>
      <c r="D70" s="40" t="inlineStr">
        <is>
          <t>Entity resolution</t>
        </is>
      </c>
      <c r="E70" s="40" t="inlineStr">
        <is>
          <t>New</t>
        </is>
      </c>
      <c r="F70" s="53" t="inlineStr">
        <is>
          <t>P1</t>
        </is>
      </c>
      <c r="G70" s="39" t="inlineStr">
        <is>
          <t>3</t>
        </is>
      </c>
      <c r="H70" s="50" t="inlineStr">
        <is>
          <t>Correctness-critical</t>
        </is>
      </c>
      <c r="I70" s="39" t="inlineStr">
        <is>
          <t>FEAT</t>
        </is>
      </c>
      <c r="J70" s="43" t="n">
        <v>1</v>
      </c>
      <c r="K70" s="40" t="inlineStr">
        <is>
          <t>E08-S02</t>
        </is>
      </c>
      <c r="L70" s="40" t="n"/>
      <c r="M70" s="44" t="n"/>
      <c r="N70" s="45" t="n"/>
      <c r="O70" s="46" t="n"/>
      <c r="P70" s="46" t="n"/>
      <c r="Q70" s="47" t="n"/>
      <c r="R70" s="39" t="n">
        <v>3</v>
      </c>
      <c r="S70" s="48" t="n"/>
      <c r="T70" s="48" t="inlineStr">
        <is>
          <t>1. Article → ticker(s) mapping
2. Sector and macro classification
3. Ambiguity handling (company names that are common words)</t>
        </is>
      </c>
      <c r="U70" s="48" t="n"/>
      <c r="V70" s="48" t="n"/>
      <c r="W70" s="49" t="n"/>
    </row>
    <row r="71" ht="30" customHeight="1" s="59">
      <c r="A71" s="38" t="inlineStr">
        <is>
          <t>E08-S05</t>
        </is>
      </c>
      <c r="B71" s="39" t="inlineStr">
        <is>
          <t>E08</t>
        </is>
      </c>
      <c r="C71" s="40" t="inlineStr">
        <is>
          <t>NEWS INTELLIGENCE</t>
        </is>
      </c>
      <c r="D71" s="40" t="inlineStr">
        <is>
          <t>AI news triage</t>
        </is>
      </c>
      <c r="E71" s="40" t="inlineStr">
        <is>
          <t>New</t>
        </is>
      </c>
      <c r="F71" s="53" t="inlineStr">
        <is>
          <t>P1</t>
        </is>
      </c>
      <c r="G71" s="39" t="inlineStr">
        <is>
          <t>3</t>
        </is>
      </c>
      <c r="H71" s="51" t="inlineStr">
        <is>
          <t>Safety-critical</t>
        </is>
      </c>
      <c r="I71" s="39" t="inlineStr">
        <is>
          <t>FEAT</t>
        </is>
      </c>
      <c r="J71" s="43" t="n">
        <v>1.5</v>
      </c>
      <c r="K71" s="40" t="inlineStr">
        <is>
          <t>E08-S03, E10-S01</t>
        </is>
      </c>
      <c r="L71" s="40" t="n"/>
      <c r="M71" s="44" t="n"/>
      <c r="N71" s="45" t="n"/>
      <c r="O71" s="46" t="n"/>
      <c r="P71" s="46" t="n"/>
      <c r="Q71" s="47" t="n"/>
      <c r="R71" s="39" t="n">
        <v>4</v>
      </c>
      <c r="S71" s="48" t="inlineStr">
        <is>
          <t>As a system, I want structured extraction from each article, so that only bounded fields propagate downstream.</t>
        </is>
      </c>
      <c r="T71" s="48" t="inlineStr">
        <is>
          <t>1. Haiku call with `NewsSignal` structured output
2. Event type, polarity, magnitude, certainty, horizon, scope
3. Batch articles to control cost
4. Handle refusals and schema failures by skipping the article</t>
        </is>
      </c>
      <c r="U71" s="48" t="inlineStr">
        <is>
          <t>• 🔴 No free-form field from news reaches any downstream prompt</t>
        </is>
      </c>
      <c r="V71" s="48" t="n"/>
      <c r="W71" s="49" t="n"/>
      <c r="X71" s="75" t="inlineStr">
        <is>
          <t>'Batch articles to control cost' creates a cross-contamination surface: several untrusted articles in one prompt means an injection in article 3 can influence the extracted fields of articles 1 and 2. If batching, bound the batch and keep per-article outputs independently attributable — or pay for one call per article for anything that will drive a trade.</t>
        </is>
      </c>
    </row>
    <row r="72" ht="30" customHeight="1" s="59">
      <c r="A72" s="38" t="inlineStr">
        <is>
          <t>E08-S06</t>
        </is>
      </c>
      <c r="B72" s="39" t="inlineStr">
        <is>
          <t>E08</t>
        </is>
      </c>
      <c r="C72" s="40" t="inlineStr">
        <is>
          <t>NEWS INTELLIGENCE</t>
        </is>
      </c>
      <c r="D72" s="40" t="inlineStr">
        <is>
          <t>Novelty scoring</t>
        </is>
      </c>
      <c r="E72" s="40" t="inlineStr">
        <is>
          <t>New</t>
        </is>
      </c>
      <c r="F72" s="53" t="inlineStr">
        <is>
          <t>P1</t>
        </is>
      </c>
      <c r="G72" s="39" t="inlineStr">
        <is>
          <t>3</t>
        </is>
      </c>
      <c r="H72" s="50" t="inlineStr">
        <is>
          <t>Correctness-critical</t>
        </is>
      </c>
      <c r="I72" s="39" t="inlineStr">
        <is>
          <t>FEAT</t>
        </is>
      </c>
      <c r="J72" s="43" t="n">
        <v>1.5</v>
      </c>
      <c r="K72" s="40" t="inlineStr">
        <is>
          <t>E08-S05</t>
        </is>
      </c>
      <c r="L72" s="40" t="n"/>
      <c r="M72" s="44" t="n"/>
      <c r="N72" s="45" t="n"/>
      <c r="O72" s="46" t="n"/>
      <c r="P72" s="46" t="n"/>
      <c r="Q72" s="47" t="n"/>
      <c r="R72" s="39" t="n">
        <v>6</v>
      </c>
      <c r="S72" s="48" t="inlineStr">
        <is>
          <t>As an analyst, I want new information distinguished from echo, so that the tenth repetition of a story does not score like the first.</t>
        </is>
      </c>
      <c r="T72" s="48" t="inlineStr">
        <is>
          <t>1. Rolling 30-day news history per symbol
2. Semantic similarity to recent articles
3. Event-type rarity for this symbol
4. Polarity surprise vs prior tone
5. Inverse cluster size
6. Weighted novelty score</t>
        </is>
      </c>
      <c r="U72" s="48" t="n"/>
      <c r="V72" s="48" t="n"/>
      <c r="W72" s="49" t="n"/>
    </row>
    <row r="73" ht="30" customHeight="1" s="59">
      <c r="A73" s="38" t="inlineStr">
        <is>
          <t>E08-S07</t>
        </is>
      </c>
      <c r="B73" s="39" t="inlineStr">
        <is>
          <t>E08</t>
        </is>
      </c>
      <c r="C73" s="40" t="inlineStr">
        <is>
          <t>NEWS INTELLIGENCE</t>
        </is>
      </c>
      <c r="D73" s="40" t="inlineStr">
        <is>
          <t>Time decay by event class</t>
        </is>
      </c>
      <c r="E73" s="40" t="inlineStr">
        <is>
          <t>New</t>
        </is>
      </c>
      <c r="F73" s="53" t="inlineStr">
        <is>
          <t>P1</t>
        </is>
      </c>
      <c r="G73" s="39" t="inlineStr">
        <is>
          <t>3</t>
        </is>
      </c>
      <c r="H73" s="50" t="inlineStr">
        <is>
          <t>Correctness-critical</t>
        </is>
      </c>
      <c r="I73" s="39" t="inlineStr">
        <is>
          <t>FEAT</t>
        </is>
      </c>
      <c r="J73" s="43" t="n">
        <v>0.5</v>
      </c>
      <c r="K73" s="40" t="inlineStr">
        <is>
          <t>E08-S05</t>
        </is>
      </c>
      <c r="L73" s="40" t="n"/>
      <c r="M73" s="44" t="n"/>
      <c r="N73" s="45" t="n"/>
      <c r="O73" s="46" t="n"/>
      <c r="P73" s="46" t="n"/>
      <c r="Q73" s="47" t="n"/>
      <c r="R73" s="39" t="n">
        <v>3</v>
      </c>
      <c r="S73" s="48" t="n"/>
      <c r="T73" s="48" t="inlineStr">
        <is>
          <t>1. Exponential decay using per-class half-lives from `NewsEventType`
2. Decay measured in *trading* days, not calendar days
3. Verify a weekend does not over-decay</t>
        </is>
      </c>
      <c r="U73" s="48" t="n"/>
      <c r="V73" s="48" t="n"/>
      <c r="W73" s="49" t="n"/>
      <c r="X73" s="75" t="inlineStr">
        <is>
          <t>Decay in TRADING days is right, but the trading-day count depends on the holiday calendar — the known-incomplete one (B3 / E04-S07). Until that is verified, decay silently over- or under-weights across every long weekend.</t>
        </is>
      </c>
    </row>
    <row r="74" ht="30" customHeight="1" s="59">
      <c r="A74" s="38" t="inlineStr">
        <is>
          <t>E08-S08</t>
        </is>
      </c>
      <c r="B74" s="39" t="inlineStr">
        <is>
          <t>E08</t>
        </is>
      </c>
      <c r="C74" s="40" t="inlineStr">
        <is>
          <t>NEWS INTELLIGENCE</t>
        </is>
      </c>
      <c r="D74" s="40" t="inlineStr">
        <is>
          <t>Composite score assembly</t>
        </is>
      </c>
      <c r="E74" s="40" t="inlineStr">
        <is>
          <t>New</t>
        </is>
      </c>
      <c r="F74" s="53" t="inlineStr">
        <is>
          <t>P1</t>
        </is>
      </c>
      <c r="G74" s="39" t="inlineStr">
        <is>
          <t>3</t>
        </is>
      </c>
      <c r="H74" s="50" t="inlineStr">
        <is>
          <t>Correctness-critical</t>
        </is>
      </c>
      <c r="I74" s="39" t="inlineStr">
        <is>
          <t>FEAT</t>
        </is>
      </c>
      <c r="J74" s="43" t="n">
        <v>1.5</v>
      </c>
      <c r="K74" s="40" t="inlineStr">
        <is>
          <t>E08-S06, E08-S07</t>
        </is>
      </c>
      <c r="L74" s="40" t="n"/>
      <c r="M74" s="44" t="n"/>
      <c r="N74" s="45" t="n"/>
      <c r="O74" s="46" t="n"/>
      <c r="P74" s="46" t="n"/>
      <c r="Q74" s="47" t="n"/>
      <c r="R74" s="39" t="n">
        <v>5</v>
      </c>
      <c r="S74" s="48" t="n"/>
      <c r="T74" s="48" t="inlineStr">
        <is>
          <t>1. Salience: log cluster size × source credibility × corroboration
2. Contribution = polarity × magnitude × certainty × novelty × salience × decay
3. Three separate scores — NewsScore (firm), SectorScore, MacroScore
4. Clamp to [-1, +1]
5. Stale pipeline → score 0, never last-known-value</t>
        </is>
      </c>
      <c r="U74" s="48" t="inlineStr">
        <is>
          <t>• Scores are never blended into one number
• A stale pipeline is visibly stale, not silently old</t>
        </is>
      </c>
      <c r="V74" s="48" t="n"/>
      <c r="W74" s="49" t="n"/>
      <c r="X74" s="75" t="inlineStr">
        <is>
          <t>'Stale pipeline -&gt; score 0' — make sure 0 reads as NEUTRAL, not bearish, at every consumer. If one downstream treats 0 as 'no catalyst' and another as 'negative', staleness changes behaviour inconsistently and only under conditions you cannot easily reproduce.</t>
        </is>
      </c>
    </row>
    <row r="75" ht="30" customHeight="1" s="59">
      <c r="A75" s="38" t="inlineStr">
        <is>
          <t>E08-S09</t>
        </is>
      </c>
      <c r="B75" s="39" t="inlineStr">
        <is>
          <t>E08</t>
        </is>
      </c>
      <c r="C75" s="40" t="inlineStr">
        <is>
          <t>NEWS INTELLIGENCE</t>
        </is>
      </c>
      <c r="D75" s="40" t="inlineStr">
        <is>
          <t>News UI surface</t>
        </is>
      </c>
      <c r="E75" s="40" t="inlineStr">
        <is>
          <t>New</t>
        </is>
      </c>
      <c r="F75" s="53" t="inlineStr">
        <is>
          <t>P1</t>
        </is>
      </c>
      <c r="G75" s="39" t="inlineStr">
        <is>
          <t>4</t>
        </is>
      </c>
      <c r="H75" s="42" t="inlineStr">
        <is>
          <t>Low</t>
        </is>
      </c>
      <c r="I75" s="39" t="inlineStr">
        <is>
          <t>FEAT</t>
        </is>
      </c>
      <c r="J75" s="43" t="n">
        <v>1</v>
      </c>
      <c r="K75" s="40" t="inlineStr">
        <is>
          <t>E08-S08, E17-S05</t>
        </is>
      </c>
      <c r="L75" s="40" t="n"/>
      <c r="M75" s="44" t="n"/>
      <c r="N75" s="45" t="n"/>
      <c r="O75" s="46" t="n"/>
      <c r="P75" s="46" t="n"/>
      <c r="Q75" s="47" t="n"/>
      <c r="R75" s="39" t="n">
        <v>0</v>
      </c>
      <c r="S75" s="48" t="n"/>
      <c r="T75" s="48" t="n"/>
      <c r="U75" s="48" t="n"/>
      <c r="V75" s="48" t="inlineStr">
        <is>
          <t>Show today's articles and decayed older contributions on symbol detail.</t>
        </is>
      </c>
      <c r="W75" s="49" t="n"/>
    </row>
    <row r="76" ht="30" customHeight="1" s="59">
      <c r="A76" s="38" t="inlineStr">
        <is>
          <t>E09-S01</t>
        </is>
      </c>
      <c r="B76" s="39" t="inlineStr">
        <is>
          <t>E09</t>
        </is>
      </c>
      <c r="C76" s="40" t="inlineStr">
        <is>
          <t>MACRO CONTEXT</t>
        </is>
      </c>
      <c r="D76" s="40" t="inlineStr">
        <is>
          <t>GIFT Nifty gap prediction</t>
        </is>
      </c>
      <c r="E76" s="40" t="inlineStr">
        <is>
          <t>New</t>
        </is>
      </c>
      <c r="F76" s="53" t="inlineStr">
        <is>
          <t>P1</t>
        </is>
      </c>
      <c r="G76" s="39" t="inlineStr">
        <is>
          <t>3</t>
        </is>
      </c>
      <c r="H76" s="50" t="inlineStr">
        <is>
          <t>Correctness-critical</t>
        </is>
      </c>
      <c r="I76" s="39" t="inlineStr">
        <is>
          <t>FEAT</t>
        </is>
      </c>
      <c r="J76" s="43" t="n">
        <v>1</v>
      </c>
      <c r="K76" s="40" t="n"/>
      <c r="L76" s="40" t="n"/>
      <c r="M76" s="44" t="n"/>
      <c r="N76" s="45" t="n"/>
      <c r="O76" s="46" t="n"/>
      <c r="P76" s="46" t="n"/>
      <c r="Q76" s="47" t="n"/>
      <c r="R76" s="39" t="n">
        <v>3</v>
      </c>
      <c r="S76" s="48" t="inlineStr">
        <is>
          <t>As a trader, I want the expected opening gap, so that the pre-market plan accounts for where the market will actually open.</t>
        </is>
      </c>
      <c r="T76" s="48" t="inlineStr">
        <is>
          <t>1. Fetch GIFT Nifty at ~09:00
2. Compute premium/discount vs previous Nifty close
3. Direction only — magnitude is unreliable (~85–90% direction accuracy)</t>
        </is>
      </c>
      <c r="U76" s="48" t="n"/>
      <c r="V76" s="48" t="n"/>
      <c r="W76" s="49" t="n"/>
    </row>
    <row r="77" ht="30" customHeight="1" s="59">
      <c r="A77" s="38" t="inlineStr">
        <is>
          <t>E09-S02</t>
        </is>
      </c>
      <c r="B77" s="39" t="inlineStr">
        <is>
          <t>E09</t>
        </is>
      </c>
      <c r="C77" s="40" t="inlineStr">
        <is>
          <t>MACRO CONTEXT</t>
        </is>
      </c>
      <c r="D77" s="40" t="inlineStr">
        <is>
          <t>India VIX ingestion</t>
        </is>
      </c>
      <c r="E77" s="40" t="inlineStr">
        <is>
          <t>New</t>
        </is>
      </c>
      <c r="F77" s="53" t="inlineStr">
        <is>
          <t>P1</t>
        </is>
      </c>
      <c r="G77" s="39" t="inlineStr">
        <is>
          <t>3</t>
        </is>
      </c>
      <c r="H77" s="42" t="inlineStr">
        <is>
          <t>Low</t>
        </is>
      </c>
      <c r="I77" s="39" t="inlineStr">
        <is>
          <t>FEAT</t>
        </is>
      </c>
      <c r="J77" s="43" t="n">
        <v>0.5</v>
      </c>
      <c r="K77" s="40" t="n"/>
      <c r="L77" s="40" t="n"/>
      <c r="M77" s="44" t="n"/>
      <c r="N77" s="45" t="n"/>
      <c r="O77" s="46" t="n"/>
      <c r="P77" s="46" t="n"/>
      <c r="Q77" s="47" t="n"/>
      <c r="R77" s="39" t="n">
        <v>0</v>
      </c>
      <c r="S77" s="48" t="n"/>
      <c r="T77" s="48" t="n"/>
      <c r="U77" s="48" t="n"/>
      <c r="V77" s="48" t="inlineStr">
        <is>
          <t>Current level, 30-day percentile, direction. Feeds regime and sizing.</t>
        </is>
      </c>
      <c r="W77" s="49" t="n"/>
    </row>
    <row r="78" ht="30" customHeight="1" s="59">
      <c r="A78" s="38" t="inlineStr">
        <is>
          <t>E09-S03</t>
        </is>
      </c>
      <c r="B78" s="39" t="inlineStr">
        <is>
          <t>E09</t>
        </is>
      </c>
      <c r="C78" s="40" t="inlineStr">
        <is>
          <t>MACRO CONTEXT</t>
        </is>
      </c>
      <c r="D78" s="40" t="inlineStr">
        <is>
          <t>FII/DII flow data</t>
        </is>
      </c>
      <c r="E78" s="40" t="inlineStr">
        <is>
          <t>New</t>
        </is>
      </c>
      <c r="F78" s="53" t="inlineStr">
        <is>
          <t>P1</t>
        </is>
      </c>
      <c r="G78" s="39" t="inlineStr">
        <is>
          <t>3</t>
        </is>
      </c>
      <c r="H78" s="42" t="inlineStr">
        <is>
          <t>Low</t>
        </is>
      </c>
      <c r="I78" s="39" t="inlineStr">
        <is>
          <t>FEAT</t>
        </is>
      </c>
      <c r="J78" s="43" t="n">
        <v>1</v>
      </c>
      <c r="K78" s="40" t="n"/>
      <c r="L78" s="40" t="n"/>
      <c r="M78" s="44" t="n"/>
      <c r="N78" s="45" t="n"/>
      <c r="O78" s="46" t="n"/>
      <c r="P78" s="46" t="n"/>
      <c r="Q78" s="47" t="n"/>
      <c r="R78" s="39" t="n">
        <v>0</v>
      </c>
      <c r="S78" s="48" t="n"/>
      <c r="T78" s="48" t="n"/>
      <c r="U78" s="48" t="n"/>
      <c r="V78" s="48" t="inlineStr">
        <is>
          <t>Daily cash and F&amp;O net figures; rolling 3-day trend.</t>
        </is>
      </c>
      <c r="W78" s="49" t="n"/>
    </row>
    <row r="79" ht="30" customHeight="1" s="59">
      <c r="A79" s="38" t="inlineStr">
        <is>
          <t>E09-S04</t>
        </is>
      </c>
      <c r="B79" s="39" t="inlineStr">
        <is>
          <t>E09</t>
        </is>
      </c>
      <c r="C79" s="40" t="inlineStr">
        <is>
          <t>MACRO CONTEXT</t>
        </is>
      </c>
      <c r="D79" s="40" t="inlineStr">
        <is>
          <t>Sector rotation ranking</t>
        </is>
      </c>
      <c r="E79" s="40" t="inlineStr">
        <is>
          <t>New</t>
        </is>
      </c>
      <c r="F79" s="53" t="inlineStr">
        <is>
          <t>P1</t>
        </is>
      </c>
      <c r="G79" s="39" t="inlineStr">
        <is>
          <t>3</t>
        </is>
      </c>
      <c r="H79" s="50" t="inlineStr">
        <is>
          <t>Correctness-critical</t>
        </is>
      </c>
      <c r="I79" s="39" t="inlineStr">
        <is>
          <t>FEAT</t>
        </is>
      </c>
      <c r="J79" s="43" t="n">
        <v>1.5</v>
      </c>
      <c r="K79" s="40" t="n"/>
      <c r="L79" s="40" t="n"/>
      <c r="M79" s="44" t="n"/>
      <c r="N79" s="45" t="n"/>
      <c r="O79" s="46" t="n"/>
      <c r="P79" s="46" t="n"/>
      <c r="Q79" s="47" t="n"/>
      <c r="R79" s="39" t="n">
        <v>4</v>
      </c>
      <c r="S79" s="48" t="n"/>
      <c r="T79" s="48" t="inlineStr">
        <is>
          <t>1. Fetch 24+ NSE sectoral indices
2. EOD/multi-day strength, not intraday — intraday ranks are noise
3. Relative strength vs Nifty
4. Breadth per sector</t>
        </is>
      </c>
      <c r="U79" s="48" t="n"/>
      <c r="V79" s="48" t="n"/>
      <c r="W79" s="49" t="n"/>
    </row>
    <row r="80" ht="30" customHeight="1" s="59">
      <c r="A80" s="38" t="inlineStr">
        <is>
          <t>E09-S05</t>
        </is>
      </c>
      <c r="B80" s="39" t="inlineStr">
        <is>
          <t>E09</t>
        </is>
      </c>
      <c r="C80" s="40" t="inlineStr">
        <is>
          <t>MACRO CONTEXT</t>
        </is>
      </c>
      <c r="D80" s="40" t="inlineStr">
        <is>
          <t>Economic calendar and event blackout</t>
        </is>
      </c>
      <c r="E80" s="40" t="inlineStr">
        <is>
          <t>New</t>
        </is>
      </c>
      <c r="F80" s="53" t="inlineStr">
        <is>
          <t>P1</t>
        </is>
      </c>
      <c r="G80" s="39" t="inlineStr">
        <is>
          <t>3</t>
        </is>
      </c>
      <c r="H80" s="51" t="inlineStr">
        <is>
          <t>Safety-critical</t>
        </is>
      </c>
      <c r="I80" s="39" t="inlineStr">
        <is>
          <t>FEAT</t>
        </is>
      </c>
      <c r="J80" s="43" t="n">
        <v>1.5</v>
      </c>
      <c r="K80" s="40" t="n"/>
      <c r="L80" s="40" t="n"/>
      <c r="M80" s="44" t="n"/>
      <c r="N80" s="45" t="n"/>
      <c r="O80" s="46" t="n"/>
      <c r="P80" s="46" t="n"/>
      <c r="Q80" s="47" t="n"/>
      <c r="R80" s="39" t="n">
        <v>4</v>
      </c>
      <c r="S80" s="48" t="inlineStr">
        <is>
          <t>As a risk-aware trader, I want to stand down around scheduled volatility events, so that a technical thesis is not run over by an RBI announcement.</t>
        </is>
      </c>
      <c r="T80" s="48" t="inlineStr">
        <is>
          <t>1. Fetch RBI policy, CPI, GDP, budget dates
2. Blackout windows from config
3. Union Budget full-day halt
4. Block new entries during blackout</t>
        </is>
      </c>
      <c r="U80" s="48" t="inlineStr">
        <is>
          <t>• 🔴 No entry is placed inside a configured blackout window</t>
        </is>
      </c>
      <c r="V80" s="48" t="n"/>
      <c r="W80" s="49" t="n"/>
      <c r="X80" s="75" t="inlineStr">
        <is>
          <t>Blocking new entries during a blackout is only half of it. Decide explicitly what happens to positions ALREADY OPEN when a blackout starts — hold, or exit early? An RBI announcement mid-session with open positions is the case that matters, and the tasks do not say.</t>
        </is>
      </c>
    </row>
    <row r="81" ht="30" customHeight="1" s="59">
      <c r="A81" s="38" t="inlineStr">
        <is>
          <t>E09-S06</t>
        </is>
      </c>
      <c r="B81" s="39" t="inlineStr">
        <is>
          <t>E09</t>
        </is>
      </c>
      <c r="C81" s="40" t="inlineStr">
        <is>
          <t>MACRO CONTEXT</t>
        </is>
      </c>
      <c r="D81" s="40" t="inlineStr">
        <is>
          <t>Market regime classification</t>
        </is>
      </c>
      <c r="E81" s="40" t="inlineStr">
        <is>
          <t>New</t>
        </is>
      </c>
      <c r="F81" s="53" t="inlineStr">
        <is>
          <t>P1</t>
        </is>
      </c>
      <c r="G81" s="39" t="inlineStr">
        <is>
          <t>3</t>
        </is>
      </c>
      <c r="H81" s="50" t="inlineStr">
        <is>
          <t>Correctness-critical</t>
        </is>
      </c>
      <c r="I81" s="39" t="inlineStr">
        <is>
          <t>FEAT</t>
        </is>
      </c>
      <c r="J81" s="43" t="n">
        <v>1.5</v>
      </c>
      <c r="K81" s="40" t="inlineStr">
        <is>
          <t>E09-S02, E09-S04</t>
        </is>
      </c>
      <c r="L81" s="40" t="n"/>
      <c r="M81" s="44" t="n"/>
      <c r="N81" s="45" t="n"/>
      <c r="O81" s="46" t="n"/>
      <c r="P81" s="46" t="n"/>
      <c r="Q81" s="47" t="n"/>
      <c r="R81" s="39" t="n">
        <v>4</v>
      </c>
      <c r="S81" s="48" t="n"/>
      <c r="T81" s="48" t="inlineStr">
        <is>
          <t>1. Rule-based classifier: VIX + index trend + breadth + flows
2. Output: RISK_ON / RISK_OFF / HIGH_VOL / LOW_VOL / TRENDING / RANGEBOUND
3. Hysteresis to prevent flapping
4. Log regime changes</t>
        </is>
      </c>
      <c r="U81" s="48" t="n"/>
      <c r="V81" s="48" t="n"/>
      <c r="W81" s="49" t="n"/>
    </row>
    <row r="82" ht="30" customHeight="1" s="59">
      <c r="A82" s="38" t="inlineStr">
        <is>
          <t>E09-S07</t>
        </is>
      </c>
      <c r="B82" s="39" t="inlineStr">
        <is>
          <t>E09</t>
        </is>
      </c>
      <c r="C82" s="40" t="inlineStr">
        <is>
          <t>MACRO CONTEXT</t>
        </is>
      </c>
      <c r="D82" s="40" t="inlineStr">
        <is>
          <t>MarketContext assembly with staleness</t>
        </is>
      </c>
      <c r="E82" s="40" t="inlineStr">
        <is>
          <t>New</t>
        </is>
      </c>
      <c r="F82" s="53" t="inlineStr">
        <is>
          <t>P1</t>
        </is>
      </c>
      <c r="G82" s="39" t="inlineStr">
        <is>
          <t>3</t>
        </is>
      </c>
      <c r="H82" s="51" t="inlineStr">
        <is>
          <t>Safety-critical</t>
        </is>
      </c>
      <c r="I82" s="39" t="inlineStr">
        <is>
          <t>FEAT</t>
        </is>
      </c>
      <c r="J82" s="43" t="n">
        <v>1</v>
      </c>
      <c r="K82" s="40" t="inlineStr">
        <is>
          <t>E09-S01..S06</t>
        </is>
      </c>
      <c r="L82" s="40" t="n"/>
      <c r="M82" s="44" t="n"/>
      <c r="N82" s="45" t="n"/>
      <c r="O82" s="46" t="n"/>
      <c r="P82" s="46" t="n"/>
      <c r="Q82" s="47" t="n"/>
      <c r="R82" s="39" t="n">
        <v>5</v>
      </c>
      <c r="S82" s="48" t="inlineStr">
        <is>
          <t>As a consumer, I want every macro field to carry its own age, so that I cannot read stale data without knowing.</t>
        </is>
      </c>
      <c r="T82" s="48" t="inlineStr">
        <is>
          <t>1. Concurrent collection with per-collector timeout
2. `FieldWithStaleness[T]` wrapper — value plus `as_of` plus `is_stale`
3. Failed collector → `None` + flag, never an exception
4. `degraded_fields` list on the context
5. Cache in Redis with TTL</t>
        </is>
      </c>
      <c r="U82" s="48" t="inlineStr">
        <is>
          <t>• 🔴 A dead collector produces a usable context with an explicit gap</t>
        </is>
      </c>
      <c r="V82" s="48" t="n"/>
      <c r="W82" s="49" t="n"/>
      <c r="X82" s="75" t="inlineStr">
        <is>
          <t>A usable context with an explicit gap is right, but this is won or lost at the CONSUMERS. Every read site must branch on is_stale; one that ignores the flag reintroduces exactly the silent-stale-data failure this story exists to prevent. Consider making the value inaccessible without acknowledging the flag, rather than a flag sitting beside it.</t>
        </is>
      </c>
    </row>
    <row r="83" ht="30" customHeight="1" s="59">
      <c r="A83" s="38" t="inlineStr">
        <is>
          <t>E09-S08</t>
        </is>
      </c>
      <c r="B83" s="39" t="inlineStr">
        <is>
          <t>E09</t>
        </is>
      </c>
      <c r="C83" s="40" t="inlineStr">
        <is>
          <t>MACRO CONTEXT</t>
        </is>
      </c>
      <c r="D83" s="40" t="inlineStr">
        <is>
          <t>Intermarket signals</t>
        </is>
      </c>
      <c r="E83" s="40" t="inlineStr">
        <is>
          <t>New</t>
        </is>
      </c>
      <c r="F83" s="52" t="inlineStr">
        <is>
          <t>P2</t>
        </is>
      </c>
      <c r="G83" s="39" t="inlineStr">
        <is>
          <t>6</t>
        </is>
      </c>
      <c r="H83" s="42" t="inlineStr">
        <is>
          <t>Low</t>
        </is>
      </c>
      <c r="I83" s="39" t="inlineStr">
        <is>
          <t>FEAT</t>
        </is>
      </c>
      <c r="J83" s="43" t="n">
        <v>1</v>
      </c>
      <c r="K83" s="40" t="n"/>
      <c r="L83" s="40" t="n"/>
      <c r="M83" s="44" t="n"/>
      <c r="N83" s="45" t="n"/>
      <c r="O83" s="46" t="n"/>
      <c r="P83" s="46" t="n"/>
      <c r="Q83" s="47" t="n"/>
      <c r="R83" s="39" t="n">
        <v>0</v>
      </c>
      <c r="S83" s="48" t="n"/>
      <c r="T83" s="48" t="n"/>
      <c r="U83" s="48" t="n"/>
      <c r="V83" s="48" t="inlineStr">
        <is>
          <t>USD/INR and crude effects on sector expectations.</t>
        </is>
      </c>
      <c r="W83" s="49" t="n"/>
    </row>
    <row r="84" ht="30" customHeight="1" s="59">
      <c r="A84" s="38" t="inlineStr">
        <is>
          <t>E10-S01</t>
        </is>
      </c>
      <c r="B84" s="39" t="inlineStr">
        <is>
          <t>E10</t>
        </is>
      </c>
      <c r="C84" s="40" t="inlineStr">
        <is>
          <t>AI LAYER</t>
        </is>
      </c>
      <c r="D84" s="40" t="inlineStr">
        <is>
          <t>Anthropic client wrapper</t>
        </is>
      </c>
      <c r="E84" s="40" t="inlineStr">
        <is>
          <t>New</t>
        </is>
      </c>
      <c r="F84" s="41" t="inlineStr">
        <is>
          <t>P0</t>
        </is>
      </c>
      <c r="G84" s="39" t="inlineStr">
        <is>
          <t>3</t>
        </is>
      </c>
      <c r="H84" s="51" t="inlineStr">
        <is>
          <t>Safety-critical</t>
        </is>
      </c>
      <c r="I84" s="39" t="inlineStr">
        <is>
          <t>FEAT</t>
        </is>
      </c>
      <c r="J84" s="43" t="n">
        <v>1.5</v>
      </c>
      <c r="K84" s="40" t="n"/>
      <c r="L84" s="40" t="n"/>
      <c r="M84" s="44" t="n"/>
      <c r="N84" s="45" t="n"/>
      <c r="O84" s="46" t="n"/>
      <c r="P84" s="46" t="n"/>
      <c r="Q84" s="47" t="n"/>
      <c r="R84" s="39" t="n">
        <v>5</v>
      </c>
      <c r="S84" s="48" t="n"/>
      <c r="T84" s="48" t="inlineStr">
        <is>
          <t>1. Async client with per-tier model selection
2. Timeout per tier from config
3. Retry with backoff on transient errors
4. Check `stop_reason` before reading `content`
5. Structured request/response logging with token counts</t>
        </is>
      </c>
      <c r="U84" s="48" t="inlineStr">
        <is>
          <t>• 🔴 A refusal never crashes the caller</t>
        </is>
      </c>
      <c r="V84" s="48" t="n"/>
      <c r="W84" s="49" t="n"/>
    </row>
    <row r="85" ht="30" customHeight="1" s="59">
      <c r="A85" s="38" t="inlineStr">
        <is>
          <t>E10-S02</t>
        </is>
      </c>
      <c r="B85" s="39" t="inlineStr">
        <is>
          <t>E10</t>
        </is>
      </c>
      <c r="C85" s="40" t="inlineStr">
        <is>
          <t>AI LAYER</t>
        </is>
      </c>
      <c r="D85" s="40" t="inlineStr">
        <is>
          <t>Prompt template system with caching</t>
        </is>
      </c>
      <c r="E85" s="40" t="inlineStr">
        <is>
          <t>New</t>
        </is>
      </c>
      <c r="F85" s="41" t="inlineStr">
        <is>
          <t>P0</t>
        </is>
      </c>
      <c r="G85" s="39" t="inlineStr">
        <is>
          <t>3</t>
        </is>
      </c>
      <c r="H85" s="51" t="inlineStr">
        <is>
          <t>Safety-critical</t>
        </is>
      </c>
      <c r="I85" s="39" t="inlineStr">
        <is>
          <t>FEAT</t>
        </is>
      </c>
      <c r="J85" s="43" t="n">
        <v>2</v>
      </c>
      <c r="K85" s="40" t="inlineStr">
        <is>
          <t>E10-S01</t>
        </is>
      </c>
      <c r="L85" s="40" t="n"/>
      <c r="M85" s="44" t="n"/>
      <c r="N85" s="45" t="n"/>
      <c r="O85" s="46" t="n"/>
      <c r="P85" s="46" t="n"/>
      <c r="Q85" s="47" t="n"/>
      <c r="R85" s="39" t="n">
        <v>5</v>
      </c>
      <c r="S85" s="48" t="inlineStr">
        <is>
          <t>As a cost-conscious operator, I want prompts structured for cache hits, so that repeated calls do not pay full price.</t>
        </is>
      </c>
      <c r="T85" s="48" t="inlineStr">
        <is>
          <t>1. Three-layer structure: frozen system / daily context / volatile per-call
2. `cache_control` breakpoints at the right boundaries
3. Versioned templates in `ai/prompts/`
4. No timestamps, UUIDs, or unsorted dicts in the cached prefix
5. Assert prompt determinism in tests</t>
        </is>
      </c>
      <c r="U85" s="48" t="inlineStr">
        <is>
          <t>• 🔴 `cache_read_input_tokens` &gt; 0 on the second identical-prefix call
• Alert if the cache hit rate drops below threshold</t>
        </is>
      </c>
      <c r="V85" s="48" t="n"/>
      <c r="W85" s="49" t="n"/>
      <c r="X85" s="75" t="inlineStr">
        <is>
          <t>The cache-hit assertion needs a REAL second call, not a mock — this is precisely the class of thing that passes in tests and costs 10x in production. Also the daily-context layer changes each morning, so the cache is cold on the first call of every day BY DESIGN; set the alert threshold so it does not page you at 08:45 daily.</t>
        </is>
      </c>
    </row>
    <row r="86" ht="30" customHeight="1" s="59">
      <c r="A86" s="38" t="inlineStr">
        <is>
          <t>E10-S03</t>
        </is>
      </c>
      <c r="B86" s="39" t="inlineStr">
        <is>
          <t>E10</t>
        </is>
      </c>
      <c r="C86" s="40" t="inlineStr">
        <is>
          <t>AI LAYER</t>
        </is>
      </c>
      <c r="D86" s="40" t="inlineStr">
        <is>
          <t>Structured output schemas</t>
        </is>
      </c>
      <c r="E86" s="40" t="inlineStr">
        <is>
          <t>New</t>
        </is>
      </c>
      <c r="F86" s="41" t="inlineStr">
        <is>
          <t>P0</t>
        </is>
      </c>
      <c r="G86" s="39" t="inlineStr">
        <is>
          <t>3</t>
        </is>
      </c>
      <c r="H86" s="51" t="inlineStr">
        <is>
          <t>Safety-critical</t>
        </is>
      </c>
      <c r="I86" s="39" t="inlineStr">
        <is>
          <t>FEAT</t>
        </is>
      </c>
      <c r="J86" s="43" t="n">
        <v>1</v>
      </c>
      <c r="K86" s="40" t="inlineStr">
        <is>
          <t>E10-S01</t>
        </is>
      </c>
      <c r="L86" s="40" t="n"/>
      <c r="M86" s="44" t="n"/>
      <c r="N86" s="45" t="n"/>
      <c r="O86" s="46" t="n"/>
      <c r="P86" s="46" t="n"/>
      <c r="Q86" s="47" t="n"/>
      <c r="R86" s="39" t="n">
        <v>4</v>
      </c>
      <c r="S86" s="48" t="n"/>
      <c r="T86" s="48" t="inlineStr">
        <is>
          <t>1. `AIReview`, `DailyThesis`, `Playbook`, `NewsSignal` Pydantic models
2. `messages.parse()` integration
3. Schema validation failure → skip, log raw response
4. No `temperature`/`top_p` (rejected by current models)</t>
        </is>
      </c>
      <c r="U86" s="48" t="n"/>
      <c r="V86" s="48" t="n"/>
      <c r="W86" s="49" t="n"/>
    </row>
    <row r="87" ht="30" customHeight="1" s="59">
      <c r="A87" s="38" t="inlineStr">
        <is>
          <t>E10-S04</t>
        </is>
      </c>
      <c r="B87" s="39" t="inlineStr">
        <is>
          <t>E10</t>
        </is>
      </c>
      <c r="C87" s="40" t="inlineStr">
        <is>
          <t>AI LAYER</t>
        </is>
      </c>
      <c r="D87" s="40" t="inlineStr">
        <is>
          <t>Token budget and cost control</t>
        </is>
      </c>
      <c r="E87" s="40" t="inlineStr">
        <is>
          <t>New</t>
        </is>
      </c>
      <c r="F87" s="41" t="inlineStr">
        <is>
          <t>P0</t>
        </is>
      </c>
      <c r="G87" s="39" t="inlineStr">
        <is>
          <t>3</t>
        </is>
      </c>
      <c r="H87" s="51" t="inlineStr">
        <is>
          <t>Safety-critical</t>
        </is>
      </c>
      <c r="I87" s="39" t="inlineStr">
        <is>
          <t>FEAT</t>
        </is>
      </c>
      <c r="J87" s="43" t="n">
        <v>1</v>
      </c>
      <c r="K87" s="40" t="inlineStr">
        <is>
          <t>E10-S01</t>
        </is>
      </c>
      <c r="L87" s="40" t="n"/>
      <c r="M87" s="44" t="n"/>
      <c r="N87" s="45" t="n"/>
      <c r="O87" s="46" t="n"/>
      <c r="P87" s="46" t="n"/>
      <c r="Q87" s="47" t="n"/>
      <c r="R87" s="39" t="n">
        <v>5</v>
      </c>
      <c r="S87" s="48" t="n"/>
      <c r="T87" s="48" t="inlineStr">
        <is>
          <t>1. Redis counter for daily token spend
2. Alert at `alert_at_pct`
3. Hard stop at 100% → degrade to score-only mode, keep trading
4. Per-tier cost attribution
5. Daily cost report</t>
        </is>
      </c>
      <c r="U87" s="48" t="inlineStr">
        <is>
          <t>• 🔴 Budget exhaustion degrades capability; it never halts risk management</t>
        </is>
      </c>
      <c r="V87" s="48" t="n"/>
      <c r="W87" s="49" t="n"/>
      <c r="X87" s="75" t="inlineStr">
        <is>
          <t>'Degrade to score-only, keep trading' is the right direction, but verify the degraded path is actually exercised. A score-only mode that has never run will not work the first time it is needed — and the first time it is needed is mid-session with the budget already exhausted.</t>
        </is>
      </c>
    </row>
    <row r="88" ht="30" customHeight="1" s="59">
      <c r="A88" s="38" t="inlineStr">
        <is>
          <t>E10-S05</t>
        </is>
      </c>
      <c r="B88" s="39" t="inlineStr">
        <is>
          <t>E10</t>
        </is>
      </c>
      <c r="C88" s="40" t="inlineStr">
        <is>
          <t>AI LAYER</t>
        </is>
      </c>
      <c r="D88" s="40" t="inlineStr">
        <is>
          <t>In-session AI review</t>
        </is>
      </c>
      <c r="E88" s="40" t="inlineStr">
        <is>
          <t>New</t>
        </is>
      </c>
      <c r="F88" s="41" t="inlineStr">
        <is>
          <t>P0</t>
        </is>
      </c>
      <c r="G88" s="39" t="inlineStr">
        <is>
          <t>4</t>
        </is>
      </c>
      <c r="H88" s="51" t="inlineStr">
        <is>
          <t>Safety-critical</t>
        </is>
      </c>
      <c r="I88" s="39" t="inlineStr">
        <is>
          <t>FEAT</t>
        </is>
      </c>
      <c r="J88" s="43" t="n">
        <v>1.5</v>
      </c>
      <c r="K88" s="40" t="inlineStr">
        <is>
          <t>E10-S02, E10-S03</t>
        </is>
      </c>
      <c r="L88" s="40" t="n"/>
      <c r="M88" s="44" t="n"/>
      <c r="N88" s="45" t="n"/>
      <c r="O88" s="46" t="n"/>
      <c r="P88" s="46" t="n"/>
      <c r="Q88" s="47" t="n"/>
      <c r="R88" s="39" t="n">
        <v>5</v>
      </c>
      <c r="S88" s="48" t="n"/>
      <c r="T88" s="48" t="inlineStr">
        <is>
          <t>1. Render trigger + MTF snapshot + market context into the volatile layer
2. Sonnet call with `AIReview` output
3. Timeout → skip trade (fail closed)
4. Bounded concurrency via semaphore
5. Full request/response to audit log</t>
        </is>
      </c>
      <c r="U88" s="48" t="n"/>
      <c r="V88" s="48" t="n"/>
      <c r="W88" s="49" t="n"/>
    </row>
    <row r="89" ht="30" customHeight="1" s="59">
      <c r="A89" s="38" t="inlineStr">
        <is>
          <t>E10-S06</t>
        </is>
      </c>
      <c r="B89" s="39" t="inlineStr">
        <is>
          <t>E10</t>
        </is>
      </c>
      <c r="C89" s="40" t="inlineStr">
        <is>
          <t>AI LAYER</t>
        </is>
      </c>
      <c r="D89" s="40" t="inlineStr">
        <is>
          <t>Response caching for backtest</t>
        </is>
      </c>
      <c r="E89" s="40" t="inlineStr">
        <is>
          <t>New</t>
        </is>
      </c>
      <c r="F89" s="53" t="inlineStr">
        <is>
          <t>P1</t>
        </is>
      </c>
      <c r="G89" s="39" t="inlineStr">
        <is>
          <t>5</t>
        </is>
      </c>
      <c r="H89" s="50" t="inlineStr">
        <is>
          <t>Correctness-critical</t>
        </is>
      </c>
      <c r="I89" s="39" t="inlineStr">
        <is>
          <t>FEAT</t>
        </is>
      </c>
      <c r="J89" s="43" t="n">
        <v>1.5</v>
      </c>
      <c r="K89" s="40" t="inlineStr">
        <is>
          <t>E10-S01</t>
        </is>
      </c>
      <c r="L89" s="40" t="n"/>
      <c r="M89" s="44" t="n"/>
      <c r="N89" s="45" t="n"/>
      <c r="O89" s="46" t="n"/>
      <c r="P89" s="46" t="n"/>
      <c r="Q89" s="47" t="n"/>
      <c r="R89" s="39" t="n">
        <v>3</v>
      </c>
      <c r="S89" s="48" t="inlineStr">
        <is>
          <t>As a backtester, I want historical AI outputs replayed rather than re-called, so that backtests are deterministic and free.</t>
        </is>
      </c>
      <c r="T89" s="48" t="inlineStr">
        <is>
          <t>1. Cache keyed by prompt hash
2. Replay mode reads cache, never calls the API
3. Cache-miss policy in replay: fail loudly, do not silently call</t>
        </is>
      </c>
      <c r="U89" s="48" t="n"/>
      <c r="V89" s="48" t="n"/>
      <c r="W89" s="49" t="n"/>
      <c r="X89" s="75" t="inlineStr">
        <is>
          <t>The cache key must include the MODEL ID and the prompt template version. Without them, a model upgrade silently replays old answers against new prompts and the backtest becomes fiction while still looking green.</t>
        </is>
      </c>
    </row>
    <row r="90" ht="30" customHeight="1" s="59">
      <c r="A90" s="38" t="inlineStr">
        <is>
          <t>E10-S07</t>
        </is>
      </c>
      <c r="B90" s="39" t="inlineStr">
        <is>
          <t>E10</t>
        </is>
      </c>
      <c r="C90" s="40" t="inlineStr">
        <is>
          <t>AI LAYER</t>
        </is>
      </c>
      <c r="D90" s="40" t="inlineStr">
        <is>
          <t>Refusal handling and fallback</t>
        </is>
      </c>
      <c r="E90" s="40" t="inlineStr">
        <is>
          <t>New</t>
        </is>
      </c>
      <c r="F90" s="53" t="inlineStr">
        <is>
          <t>P1</t>
        </is>
      </c>
      <c r="G90" s="39" t="inlineStr">
        <is>
          <t>4</t>
        </is>
      </c>
      <c r="H90" s="51" t="inlineStr">
        <is>
          <t>Safety-critical</t>
        </is>
      </c>
      <c r="I90" s="39" t="inlineStr">
        <is>
          <t>SEC</t>
        </is>
      </c>
      <c r="J90" s="43" t="n">
        <v>1</v>
      </c>
      <c r="K90" s="40" t="inlineStr">
        <is>
          <t>E10-S01</t>
        </is>
      </c>
      <c r="L90" s="40" t="n"/>
      <c r="M90" s="44" t="n"/>
      <c r="N90" s="45" t="n"/>
      <c r="O90" s="46" t="n"/>
      <c r="P90" s="46" t="n"/>
      <c r="Q90" s="47" t="n"/>
      <c r="R90" s="39" t="n">
        <v>3</v>
      </c>
      <c r="S90" s="48" t="n"/>
      <c r="T90" s="48" t="inlineStr">
        <is>
          <t>1. Detect `stop_reason == "refusal"` with category
2. Log and skip the trade
3. Alert if refusals cluster (may indicate a prompt problem)</t>
        </is>
      </c>
      <c r="U90" s="48" t="n"/>
      <c r="V90" s="48" t="n"/>
      <c r="W90" s="49" t="n"/>
    </row>
    <row r="91" ht="30" customHeight="1" s="59">
      <c r="A91" s="38" t="inlineStr">
        <is>
          <t>E10-S08</t>
        </is>
      </c>
      <c r="B91" s="39" t="inlineStr">
        <is>
          <t>E10</t>
        </is>
      </c>
      <c r="C91" s="40" t="inlineStr">
        <is>
          <t>AI LAYER</t>
        </is>
      </c>
      <c r="D91" s="40" t="inlineStr">
        <is>
          <t>Model tier routing and evaluation</t>
        </is>
      </c>
      <c r="E91" s="40" t="inlineStr">
        <is>
          <t>New</t>
        </is>
      </c>
      <c r="F91" s="52" t="inlineStr">
        <is>
          <t>P2</t>
        </is>
      </c>
      <c r="G91" s="39" t="inlineStr">
        <is>
          <t>6</t>
        </is>
      </c>
      <c r="H91" s="42" t="inlineStr">
        <is>
          <t>Low</t>
        </is>
      </c>
      <c r="I91" s="39" t="inlineStr">
        <is>
          <t>FEAT</t>
        </is>
      </c>
      <c r="J91" s="43" t="n">
        <v>0.5</v>
      </c>
      <c r="K91" s="40" t="n"/>
      <c r="L91" s="40" t="n"/>
      <c r="M91" s="44" t="n"/>
      <c r="N91" s="45" t="n"/>
      <c r="O91" s="46" t="n"/>
      <c r="P91" s="46" t="n"/>
      <c r="Q91" s="47" t="n"/>
      <c r="R91" s="39" t="n">
        <v>0</v>
      </c>
      <c r="S91" s="48" t="n"/>
      <c r="T91" s="48" t="n"/>
      <c r="U91" s="48" t="n"/>
      <c r="V91" s="48" t="inlineStr">
        <is>
          <t>A/B a cheaper tier for in-session review and compare decision quality.</t>
        </is>
      </c>
      <c r="W91" s="49" t="n"/>
    </row>
    <row r="92" ht="30" customHeight="1" s="59">
      <c r="A92" s="38" t="inlineStr">
        <is>
          <t>E11-S01</t>
        </is>
      </c>
      <c r="B92" s="39" t="inlineStr">
        <is>
          <t>E11</t>
        </is>
      </c>
      <c r="C92" s="40" t="inlineStr">
        <is>
          <t>PRE-MARKET ENGINE</t>
        </is>
      </c>
      <c r="D92" s="40" t="inlineStr">
        <is>
          <t>Pipeline orchestration with checkpointing</t>
        </is>
      </c>
      <c r="E92" s="40" t="inlineStr">
        <is>
          <t>New</t>
        </is>
      </c>
      <c r="F92" s="41" t="inlineStr">
        <is>
          <t>P0</t>
        </is>
      </c>
      <c r="G92" s="39" t="inlineStr">
        <is>
          <t>3</t>
        </is>
      </c>
      <c r="H92" s="51" t="inlineStr">
        <is>
          <t>Safety-critical</t>
        </is>
      </c>
      <c r="I92" s="39" t="inlineStr">
        <is>
          <t>FEAT</t>
        </is>
      </c>
      <c r="J92" s="43" t="n">
        <v>2</v>
      </c>
      <c r="K92" s="40" t="inlineStr">
        <is>
          <t>E01-S02</t>
        </is>
      </c>
      <c r="L92" s="40" t="n"/>
      <c r="M92" s="44" t="n"/>
      <c r="N92" s="45" t="n"/>
      <c r="O92" s="46" t="n"/>
      <c r="P92" s="46" t="n"/>
      <c r="Q92" s="47" t="n"/>
      <c r="R92" s="39" t="n">
        <v>5</v>
      </c>
      <c r="S92" s="48" t="inlineStr">
        <is>
          <t>As an operator, I want the pre-market pipeline to resume from where it failed, so that a crash at 08:50 does not mean recomputing three hours of work with 25 minutes until the open.</t>
        </is>
      </c>
      <c r="T92" s="48" t="inlineStr">
        <is>
          <t>1. Stage abstraction with per-stage deadline
2. Checkpoint each stage output keyed by (date, stage)
3. Resume from the last completed stage
4. Overall deadline: hard stop at 09:12
5. Alert on stage overrun</t>
        </is>
      </c>
      <c r="U92" s="48" t="inlineStr">
        <is>
          <t>• 🔴 Killing the job mid-pipeline and restarting resumes correctly
• The plan is published by 09:12 or the day is flagged degraded</t>
        </is>
      </c>
      <c r="V92" s="48" t="n"/>
      <c r="W92" s="49" t="n"/>
      <c r="X92" s="75" t="inlineStr">
        <is>
          <t>Checkpoint-resume and the hard 09:12 deadline interact badly. A resumed run inherits the elapsed wall clock, so a job that died at 08:50 and restarts at 09:05 must know it cannot finish and publish a DEGRADED plan rather than a late one. Make the deadline absolute, not per-attempt.</t>
        </is>
      </c>
    </row>
    <row r="93" ht="30" customHeight="1" s="59">
      <c r="A93" s="38" t="inlineStr">
        <is>
          <t>E11-S02</t>
        </is>
      </c>
      <c r="B93" s="39" t="inlineStr">
        <is>
          <t>E11</t>
        </is>
      </c>
      <c r="C93" s="40" t="inlineStr">
        <is>
          <t>PRE-MARKET ENGINE</t>
        </is>
      </c>
      <c r="D93" s="40" t="inlineStr">
        <is>
          <t>Data sync stage (05:30)</t>
        </is>
      </c>
      <c r="E93" s="40" t="inlineStr">
        <is>
          <t>New</t>
        </is>
      </c>
      <c r="F93" s="41" t="inlineStr">
        <is>
          <t>P0</t>
        </is>
      </c>
      <c r="G93" s="39" t="inlineStr">
        <is>
          <t>3</t>
        </is>
      </c>
      <c r="H93" s="50" t="inlineStr">
        <is>
          <t>Correctness-critical</t>
        </is>
      </c>
      <c r="I93" s="39" t="inlineStr">
        <is>
          <t>FEAT</t>
        </is>
      </c>
      <c r="J93" s="43" t="n">
        <v>0.5</v>
      </c>
      <c r="K93" s="40" t="inlineStr">
        <is>
          <t>E03-S01, E04 (all)</t>
        </is>
      </c>
      <c r="L93" s="40" t="n"/>
      <c r="M93" s="44" t="n"/>
      <c r="N93" s="45" t="n"/>
      <c r="O93" s="46" t="n"/>
      <c r="P93" s="46" t="n"/>
      <c r="Q93" s="47" t="n"/>
      <c r="R93" s="39" t="n">
        <v>0</v>
      </c>
      <c r="S93" s="48" t="n"/>
      <c r="T93" s="48" t="n"/>
      <c r="U93" s="48" t="n"/>
      <c r="V93" s="48" t="n"/>
      <c r="W93" s="49" t="n"/>
    </row>
    <row r="94" ht="30" customHeight="1" s="59">
      <c r="A94" s="38" t="inlineStr">
        <is>
          <t>E11-S03</t>
        </is>
      </c>
      <c r="B94" s="39" t="inlineStr">
        <is>
          <t>E11</t>
        </is>
      </c>
      <c r="C94" s="40" t="inlineStr">
        <is>
          <t>PRE-MARKET ENGINE</t>
        </is>
      </c>
      <c r="D94" s="40" t="inlineStr">
        <is>
          <t>Universe construction stage (06:30)</t>
        </is>
      </c>
      <c r="E94" s="40" t="inlineStr">
        <is>
          <t>New</t>
        </is>
      </c>
      <c r="F94" s="41" t="inlineStr">
        <is>
          <t>P0</t>
        </is>
      </c>
      <c r="G94" s="39" t="inlineStr">
        <is>
          <t>3</t>
        </is>
      </c>
      <c r="H94" s="50" t="inlineStr">
        <is>
          <t>Correctness-critical</t>
        </is>
      </c>
      <c r="I94" s="39" t="inlineStr">
        <is>
          <t>FEAT</t>
        </is>
      </c>
      <c r="J94" s="43" t="n">
        <v>0.5</v>
      </c>
      <c r="K94" s="40" t="inlineStr">
        <is>
          <t>E07-S02</t>
        </is>
      </c>
      <c r="L94" s="40" t="n"/>
      <c r="M94" s="44" t="n"/>
      <c r="N94" s="45" t="n"/>
      <c r="O94" s="46" t="n"/>
      <c r="P94" s="46" t="n"/>
      <c r="Q94" s="47" t="n"/>
      <c r="R94" s="39" t="n">
        <v>0</v>
      </c>
      <c r="S94" s="48" t="n"/>
      <c r="T94" s="48" t="n"/>
      <c r="U94" s="48" t="n"/>
      <c r="V94" s="48" t="n"/>
      <c r="W94" s="49" t="n"/>
    </row>
    <row r="95" ht="30" customHeight="1" s="59">
      <c r="A95" s="38" t="inlineStr">
        <is>
          <t>E11-S04</t>
        </is>
      </c>
      <c r="B95" s="39" t="inlineStr">
        <is>
          <t>E11</t>
        </is>
      </c>
      <c r="C95" s="40" t="inlineStr">
        <is>
          <t>PRE-MARKET ENGINE</t>
        </is>
      </c>
      <c r="D95" s="40" t="inlineStr">
        <is>
          <t>Multi-timeframe analysis stage (07:30)</t>
        </is>
      </c>
      <c r="E95" s="40" t="inlineStr">
        <is>
          <t>New</t>
        </is>
      </c>
      <c r="F95" s="41" t="inlineStr">
        <is>
          <t>P0</t>
        </is>
      </c>
      <c r="G95" s="39" t="inlineStr">
        <is>
          <t>3</t>
        </is>
      </c>
      <c r="H95" s="50" t="inlineStr">
        <is>
          <t>Correctness-critical</t>
        </is>
      </c>
      <c r="I95" s="39" t="inlineStr">
        <is>
          <t>FEAT</t>
        </is>
      </c>
      <c r="J95" s="43" t="n">
        <v>2</v>
      </c>
      <c r="K95" s="40" t="inlineStr">
        <is>
          <t>E06-S03</t>
        </is>
      </c>
      <c r="L95" s="40" t="n"/>
      <c r="M95" s="44" t="n"/>
      <c r="N95" s="45" t="n"/>
      <c r="O95" s="46" t="n"/>
      <c r="P95" s="46" t="n"/>
      <c r="Q95" s="47" t="n"/>
      <c r="R95" s="39" t="n">
        <v>5</v>
      </c>
      <c r="S95" s="48" t="inlineStr">
        <is>
          <t>As the heaviest compute of the day, this must complete in 45 minutes across the eligible universe.</t>
        </is>
      </c>
      <c r="T95" s="48" t="inlineStr">
        <is>
          <t>1. `ProcessPoolExecutor` fan-out across symbol slices
2. Weekly/daily/hourly indicator computation from stored history
3. Serialise snapshots back to the parent
4. Progress reporting
5. Graceful degradation if a symbol's history is insufficient</t>
        </is>
      </c>
      <c r="U95" s="48" t="inlineStr">
        <is>
          <t>• 200 symbols × 3 timeframes complete in &lt; 30 minutes</t>
        </is>
      </c>
      <c r="V95" s="48" t="n"/>
      <c r="W95" s="49" t="n"/>
      <c r="X95" s="75" t="inlineStr">
        <is>
          <t>ProcessPoolExecutor pickles every object crossing the boundary. Decimal and Pydantic models pickle, but at 200 symbols x 3 timeframes the serialisation cost is real and this stage owns the binding 30-minute budget of the morning. Measure the serialisation share BEFORE optimising the compute.</t>
        </is>
      </c>
    </row>
    <row r="96" ht="30" customHeight="1" s="59">
      <c r="A96" s="38" t="inlineStr">
        <is>
          <t>E11-S05</t>
        </is>
      </c>
      <c r="B96" s="39" t="inlineStr">
        <is>
          <t>E11</t>
        </is>
      </c>
      <c r="C96" s="40" t="inlineStr">
        <is>
          <t>PRE-MARKET ENGINE</t>
        </is>
      </c>
      <c r="D96" s="40" t="inlineStr">
        <is>
          <t>News and macro sweep stage (08:15)</t>
        </is>
      </c>
      <c r="E96" s="40" t="inlineStr">
        <is>
          <t>New</t>
        </is>
      </c>
      <c r="F96" s="41" t="inlineStr">
        <is>
          <t>P0</t>
        </is>
      </c>
      <c r="G96" s="39" t="inlineStr">
        <is>
          <t>3</t>
        </is>
      </c>
      <c r="H96" s="50" t="inlineStr">
        <is>
          <t>Correctness-critical</t>
        </is>
      </c>
      <c r="I96" s="39" t="inlineStr">
        <is>
          <t>FEAT</t>
        </is>
      </c>
      <c r="J96" s="43" t="n">
        <v>0.5</v>
      </c>
      <c r="K96" s="40" t="inlineStr">
        <is>
          <t>E08, E09</t>
        </is>
      </c>
      <c r="L96" s="40" t="n"/>
      <c r="M96" s="44" t="n"/>
      <c r="N96" s="45" t="n"/>
      <c r="O96" s="46" t="n"/>
      <c r="P96" s="46" t="n"/>
      <c r="Q96" s="47" t="n"/>
      <c r="R96" s="39" t="n">
        <v>0</v>
      </c>
      <c r="S96" s="48" t="n"/>
      <c r="T96" s="48" t="n"/>
      <c r="U96" s="48" t="n"/>
      <c r="V96" s="48" t="n"/>
      <c r="W96" s="49" t="n"/>
    </row>
    <row r="97" ht="30" customHeight="1" s="59">
      <c r="A97" s="38" t="inlineStr">
        <is>
          <t>E11-S06</t>
        </is>
      </c>
      <c r="B97" s="39" t="inlineStr">
        <is>
          <t>E11</t>
        </is>
      </c>
      <c r="C97" s="40" t="inlineStr">
        <is>
          <t>PRE-MARKET ENGINE</t>
        </is>
      </c>
      <c r="D97" s="40" t="inlineStr">
        <is>
          <t>AI deep synthesis stage (08:45) ⭐</t>
        </is>
      </c>
      <c r="E97" s="40" t="inlineStr">
        <is>
          <t>New</t>
        </is>
      </c>
      <c r="F97" s="41" t="inlineStr">
        <is>
          <t>P0</t>
        </is>
      </c>
      <c r="G97" s="39" t="inlineStr">
        <is>
          <t>3</t>
        </is>
      </c>
      <c r="H97" s="51" t="inlineStr">
        <is>
          <t>Safety-critical</t>
        </is>
      </c>
      <c r="I97" s="39" t="inlineStr">
        <is>
          <t>FEAT</t>
        </is>
      </c>
      <c r="J97" s="43" t="n">
        <v>2</v>
      </c>
      <c r="K97" s="40" t="inlineStr">
        <is>
          <t>E10-S02, E11-S04</t>
        </is>
      </c>
      <c r="L97" s="40" t="n"/>
      <c r="M97" s="44" t="n"/>
      <c r="N97" s="45" t="n"/>
      <c r="O97" s="46" t="n"/>
      <c r="P97" s="46" t="n"/>
      <c r="Q97" s="47" t="n"/>
      <c r="R97" s="39" t="n">
        <v>7</v>
      </c>
      <c r="S97" s="48" t="inlineStr">
        <is>
          <t>As a trader, I want a written market thesis and per-stock playbooks before the open, so that the session is execution of a plan rather than analysis under pressure.</t>
        </is>
      </c>
      <c r="T97" s="48" t="inlineStr">
        <is>
          <t>1. Assemble shortlist + MTF features + news + macro + journal into the prompt
2. Opus call with `DailyThesis` + `Playbook[]` structured output
3. Thesis: regime, bias, key levels, invalidation conditions
4. Playbook per candidate: setup, why, confirms, invalidates, direction
5. AI may veto or re-rank within the shortlist
6. Persist with token usage and latency
7. Deadline 09:00 → proceed score-only, mark `ai_unavailable`</t>
        </is>
      </c>
      <c r="U97" s="48" t="inlineStr">
        <is>
          <t>• 🔴 A timeout produces a valid score-only plan, not a missing plan
• Every candidate's playbook is traceable to its inputs</t>
        </is>
      </c>
      <c r="V97" s="48" t="n"/>
      <c r="W97" s="49" t="n"/>
      <c r="X97" s="75" t="inlineStr">
        <is>
          <t>'AI may veto or re-rank within the shortlist' is the one place the AI touches selection. Bound it explicitly: it must NOT be able to introduce a symbol that failed a hard filter, and a veto must carry a recorded reason. Re-ranking is a judgement; adding a symbol would be a safety breach.</t>
        </is>
      </c>
    </row>
    <row r="98" ht="30" customHeight="1" s="59">
      <c r="A98" s="38" t="inlineStr">
        <is>
          <t>E11-S07</t>
        </is>
      </c>
      <c r="B98" s="39" t="inlineStr">
        <is>
          <t>E11</t>
        </is>
      </c>
      <c r="C98" s="40" t="inlineStr">
        <is>
          <t>PRE-MARKET ENGINE</t>
        </is>
      </c>
      <c r="D98" s="40" t="inlineStr">
        <is>
          <t>Pre-open gap adjustment (09:02)</t>
        </is>
      </c>
      <c r="E98" s="40" t="inlineStr">
        <is>
          <t>New</t>
        </is>
      </c>
      <c r="F98" s="41" t="inlineStr">
        <is>
          <t>P0</t>
        </is>
      </c>
      <c r="G98" s="39" t="inlineStr">
        <is>
          <t>3</t>
        </is>
      </c>
      <c r="H98" s="51" t="inlineStr">
        <is>
          <t>Safety-critical</t>
        </is>
      </c>
      <c r="I98" s="39" t="inlineStr">
        <is>
          <t>FEAT</t>
        </is>
      </c>
      <c r="J98" s="43" t="n">
        <v>1.5</v>
      </c>
      <c r="K98" s="40" t="inlineStr">
        <is>
          <t>E09-S01, E11-S06</t>
        </is>
      </c>
      <c r="L98" s="40" t="n"/>
      <c r="M98" s="44" t="n"/>
      <c r="N98" s="45" t="n"/>
      <c r="O98" s="46" t="n"/>
      <c r="P98" s="46" t="n"/>
      <c r="Q98" s="47" t="n"/>
      <c r="R98" s="39" t="n">
        <v>5</v>
      </c>
      <c r="S98" s="48" t="inlineStr">
        <is>
          <t>As a trader, I want the plan re-ranked with actual opening prices, so that a stock that gapped past its entry is not traded on a stale thesis.</t>
        </is>
      </c>
      <c r="T98" s="48" t="inlineStr">
        <is>
          <t>1. Read pre-open equilibrium prices
2. Compute per-stock gap vs previous close
3. Invalidate if gap exceeds `invalidate_if_gap_exceeds_pct`
4. Promote gap-and-go candidates
5. Keep invalidated candidates visible with reason</t>
        </is>
      </c>
      <c r="U98" s="48" t="inlineStr">
        <is>
          <t>• 🔴 A candidate that gapped past its entry cannot be traded on the old plan</t>
        </is>
      </c>
      <c r="V98" s="48" t="n"/>
      <c r="W98" s="49" t="n"/>
    </row>
    <row r="99" ht="30" customHeight="1" s="59">
      <c r="A99" s="38" t="inlineStr">
        <is>
          <t>E11-S08</t>
        </is>
      </c>
      <c r="B99" s="39" t="inlineStr">
        <is>
          <t>E11</t>
        </is>
      </c>
      <c r="C99" s="40" t="inlineStr">
        <is>
          <t>PRE-MARKET ENGINE</t>
        </is>
      </c>
      <c r="D99" s="40" t="inlineStr">
        <is>
          <t>Plan lock and briefing delivery (09:12)</t>
        </is>
      </c>
      <c r="E99" s="40" t="inlineStr">
        <is>
          <t>New</t>
        </is>
      </c>
      <c r="F99" s="41" t="inlineStr">
        <is>
          <t>P0</t>
        </is>
      </c>
      <c r="G99" s="39" t="inlineStr">
        <is>
          <t>3</t>
        </is>
      </c>
      <c r="H99" s="51" t="inlineStr">
        <is>
          <t>Safety-critical</t>
        </is>
      </c>
      <c r="I99" s="39" t="inlineStr">
        <is>
          <t>FEAT</t>
        </is>
      </c>
      <c r="J99" s="43" t="n">
        <v>1</v>
      </c>
      <c r="K99" s="40" t="inlineStr">
        <is>
          <t>E11-S07, E19-S02</t>
        </is>
      </c>
      <c r="L99" s="40" t="n"/>
      <c r="M99" s="44" t="n"/>
      <c r="N99" s="45" t="n"/>
      <c r="O99" s="46" t="n"/>
      <c r="P99" s="46" t="n"/>
      <c r="Q99" s="47" t="n"/>
      <c r="R99" s="39" t="n">
        <v>5</v>
      </c>
      <c r="S99" s="48" t="n"/>
      <c r="T99" s="48" t="inlineStr">
        <is>
          <t>1. Freeze the plan — immutable for the session
2. Record config hash with the plan
3. Persist to DB and Redis
4. Verify broker auth, margin, connectivity
5. Deliver briefing to Telegram by 09:13</t>
        </is>
      </c>
      <c r="U99" s="48" t="inlineStr">
        <is>
          <t>• 🔴 The plan cannot be modified after lock
• Briefing arrives before 09:15 on 20 consecutive sessions</t>
        </is>
      </c>
      <c r="V99" s="48" t="n"/>
      <c r="W99" s="49" t="n"/>
      <c r="X99" s="75" t="inlineStr">
        <is>
          <t>'Immutable for the session' needs enforcement, not convention. E11-S07 runs at 09:02 and lock is at 09:12 — verify nothing in between can write after the lock, including a late-returning async task from an earlier stage that completes after its deadline.</t>
        </is>
      </c>
    </row>
    <row r="100" ht="30" customHeight="1" s="59">
      <c r="A100" s="38" t="inlineStr">
        <is>
          <t>E12-S01</t>
        </is>
      </c>
      <c r="B100" s="39" t="inlineStr">
        <is>
          <t>E12</t>
        </is>
      </c>
      <c r="C100" s="40" t="inlineStr">
        <is>
          <t>STRATEGY ENGINE</t>
        </is>
      </c>
      <c r="D100" s="40" t="inlineStr">
        <is>
          <t>Strategy registry and persistence</t>
        </is>
      </c>
      <c r="E100" s="40" t="inlineStr">
        <is>
          <t>New</t>
        </is>
      </c>
      <c r="F100" s="41" t="inlineStr">
        <is>
          <t>P0</t>
        </is>
      </c>
      <c r="G100" s="39" t="inlineStr">
        <is>
          <t>5</t>
        </is>
      </c>
      <c r="H100" s="50" t="inlineStr">
        <is>
          <t>Correctness-critical</t>
        </is>
      </c>
      <c r="I100" s="39" t="inlineStr">
        <is>
          <t>FEAT</t>
        </is>
      </c>
      <c r="J100" s="43" t="n">
        <v>1.5</v>
      </c>
      <c r="K100" s="40" t="inlineStr">
        <is>
          <t>E01-S01</t>
        </is>
      </c>
      <c r="L100" s="40" t="n"/>
      <c r="M100" s="44" t="n"/>
      <c r="N100" s="45" t="n"/>
      <c r="O100" s="46" t="n"/>
      <c r="P100" s="46" t="n"/>
      <c r="Q100" s="47" t="n"/>
      <c r="R100" s="39" t="n">
        <v>4</v>
      </c>
      <c r="S100" s="48" t="n"/>
      <c r="T100" s="48" t="inlineStr">
        <is>
          <t>1. Persist `StrategyDocument` to the `strategy` table
2. Load and compile on startup
3. Version and lineage tracking
4. Content-hash deduplication</t>
        </is>
      </c>
      <c r="U100" s="48" t="n"/>
      <c r="V100" s="48" t="n"/>
      <c r="W100" s="49" t="n"/>
    </row>
    <row r="101" ht="30" customHeight="1" s="59">
      <c r="A101" s="38" t="inlineStr">
        <is>
          <t>E12-S02</t>
        </is>
      </c>
      <c r="B101" s="39" t="inlineStr">
        <is>
          <t>E12</t>
        </is>
      </c>
      <c r="C101" s="40" t="inlineStr">
        <is>
          <t>STRATEGY ENGINE</t>
        </is>
      </c>
      <c r="D101" s="40" t="inlineStr">
        <is>
          <t>Lifecycle state machine</t>
        </is>
      </c>
      <c r="E101" s="40" t="inlineStr">
        <is>
          <t>New</t>
        </is>
      </c>
      <c r="F101" s="41" t="inlineStr">
        <is>
          <t>P0</t>
        </is>
      </c>
      <c r="G101" s="39" t="inlineStr">
        <is>
          <t>5</t>
        </is>
      </c>
      <c r="H101" s="51" t="inlineStr">
        <is>
          <t>Safety-critical</t>
        </is>
      </c>
      <c r="I101" s="39" t="inlineStr">
        <is>
          <t>FEAT</t>
        </is>
      </c>
      <c r="J101" s="43" t="n">
        <v>1.5</v>
      </c>
      <c r="K101" s="40" t="inlineStr">
        <is>
          <t>E12-S01</t>
        </is>
      </c>
      <c r="L101" s="40" t="n"/>
      <c r="M101" s="44" t="n"/>
      <c r="N101" s="45" t="n"/>
      <c r="O101" s="46" t="n"/>
      <c r="P101" s="46" t="n"/>
      <c r="Q101" s="47" t="n"/>
      <c r="R101" s="39" t="n">
        <v>5</v>
      </c>
      <c r="S101" s="48" t="n"/>
      <c r="T101" s="48" t="inlineStr">
        <is>
          <t>1. Implement the state machine from STRATEGY_ENGINE §4
2. Gate conditions per transition
3. Human approval required for ACTIVE — not overridable
4. State change audit trail
5. Illegal transitions rejected</t>
        </is>
      </c>
      <c r="U101" s="48" t="inlineStr">
        <is>
          <t>• 🔴 No code path promotes a strategy to ACTIVE without a recorded human approval</t>
        </is>
      </c>
      <c r="V101" s="48" t="n"/>
      <c r="W101" s="49" t="n"/>
    </row>
    <row r="102" ht="30" customHeight="1" s="59">
      <c r="A102" s="38" t="inlineStr">
        <is>
          <t>E12-S03</t>
        </is>
      </c>
      <c r="B102" s="39" t="inlineStr">
        <is>
          <t>E12</t>
        </is>
      </c>
      <c r="C102" s="40" t="inlineStr">
        <is>
          <t>STRATEGY ENGINE</t>
        </is>
      </c>
      <c r="D102" s="40" t="inlineStr">
        <is>
          <t>Backtest harness</t>
        </is>
      </c>
      <c r="E102" s="40" t="inlineStr">
        <is>
          <t>New</t>
        </is>
      </c>
      <c r="F102" s="41" t="inlineStr">
        <is>
          <t>P0</t>
        </is>
      </c>
      <c r="G102" s="39" t="inlineStr">
        <is>
          <t>5</t>
        </is>
      </c>
      <c r="H102" s="51" t="inlineStr">
        <is>
          <t>Safety-critical</t>
        </is>
      </c>
      <c r="I102" s="39" t="inlineStr">
        <is>
          <t>FEAT</t>
        </is>
      </c>
      <c r="J102" s="43" t="n">
        <v>3</v>
      </c>
      <c r="K102" s="40" t="inlineStr">
        <is>
          <t>E06-S04, E10-S06</t>
        </is>
      </c>
      <c r="L102" s="40" t="n"/>
      <c r="M102" s="44" t="n"/>
      <c r="N102" s="45" t="n"/>
      <c r="O102" s="46" t="n"/>
      <c r="P102" s="46" t="n"/>
      <c r="Q102" s="47" t="n"/>
      <c r="R102" s="39" t="n">
        <v>6</v>
      </c>
      <c r="S102" s="48" t="inlineStr">
        <is>
          <t>As a developer, I want backtests that execute the *production* strategy code against recorded snapshots, so that there is no reimplementation gap where backtest/live divergence hides.</t>
        </is>
      </c>
      <c r="T102" s="48" t="inlineStr">
        <is>
          <t>1. Replay `MultiTimeframeSnapshot` sequences from history
2. Execute the real `Strategy.evaluate`
3. Simulate fills with realistic slippage
4. Full India cost model: brokerage, STT, GST, exchange, stamp duty
5. Respect square-off deadlines and hazard exclusions
6. Equity curve, trade list, statistics</t>
        </is>
      </c>
      <c r="U102" s="48" t="inlineStr">
        <is>
          <t>• 🔴 The same strategy code runs in backtest and live
• Costs match a real contract note on a sample trade</t>
        </is>
      </c>
      <c r="V102" s="48" t="n"/>
      <c r="W102" s="49" t="n"/>
      <c r="X102" s="75" t="inlineStr">
        <is>
          <t>'The same strategy code runs in backtest and live' is the property everything else rests on, and it is easy to lose to bar TIMING: live evaluates on sealed bars arriving from the stream, backtest replays stored bars. Any difference in WHEN evaluation fires is look-ahead bias. Assert equality of the decision SEQUENCE, not just of the final equity curve.</t>
        </is>
      </c>
    </row>
    <row r="103" ht="30" customHeight="1" s="59">
      <c r="A103" s="38" t="inlineStr">
        <is>
          <t>E12-S04</t>
        </is>
      </c>
      <c r="B103" s="39" t="inlineStr">
        <is>
          <t>E12</t>
        </is>
      </c>
      <c r="C103" s="40" t="inlineStr">
        <is>
          <t>STRATEGY ENGINE</t>
        </is>
      </c>
      <c r="D103" s="40" t="inlineStr">
        <is>
          <t>Trial registry</t>
        </is>
      </c>
      <c r="E103" s="40" t="inlineStr">
        <is>
          <t>New</t>
        </is>
      </c>
      <c r="F103" s="41" t="inlineStr">
        <is>
          <t>P0</t>
        </is>
      </c>
      <c r="G103" s="39" t="inlineStr">
        <is>
          <t>5</t>
        </is>
      </c>
      <c r="H103" s="51" t="inlineStr">
        <is>
          <t>Safety-critical</t>
        </is>
      </c>
      <c r="I103" s="39" t="inlineStr">
        <is>
          <t>SEC</t>
        </is>
      </c>
      <c r="J103" s="43" t="n">
        <v>1</v>
      </c>
      <c r="K103" s="40" t="inlineStr">
        <is>
          <t>E01-S01</t>
        </is>
      </c>
      <c r="L103" s="40" t="n"/>
      <c r="M103" s="44" t="n"/>
      <c r="N103" s="45" t="n"/>
      <c r="O103" s="46" t="n"/>
      <c r="P103" s="46" t="n"/>
      <c r="Q103" s="47" t="n"/>
      <c r="R103" s="39" t="n">
        <v>5</v>
      </c>
      <c r="S103" s="48" t="inlineStr">
        <is>
          <t>As a statistician, I want every backtest counted forever, so that overfitting corrections have an honest denominator.</t>
        </is>
      </c>
      <c r="T103" s="48" t="inlineStr">
        <is>
          <t>1. Write a row for every gauntlet run, pass or fail
2. Parameter sweeps count individually
3. Content-hash deduplication of identical re-runs
4. Effective trial count query for DSR
5. Append-only DB role</t>
        </is>
      </c>
      <c r="U103" s="48" t="inlineStr">
        <is>
          <t>• 🔴 Deleting a trial row is impossible with the application's DB role
• Testing one strategy at 20 settings records 20 trials</t>
        </is>
      </c>
      <c r="V103" s="48" t="n"/>
      <c r="W103" s="49" t="n"/>
      <c r="X103" s="75" t="inlineStr">
        <is>
          <t>Effective trial count must include trials from strategies later deleted or abandoned, and any parameter sweeps run before the registry existed. If the count starts at zero when the registry is built, DSR is optimistic exactly when it matters most. Decide the starting count deliberately and record the reasoning.</t>
        </is>
      </c>
    </row>
    <row r="104" ht="30" customHeight="1" s="59">
      <c r="A104" s="38" t="inlineStr">
        <is>
          <t>E12-S05</t>
        </is>
      </c>
      <c r="B104" s="39" t="inlineStr">
        <is>
          <t>E12</t>
        </is>
      </c>
      <c r="C104" s="40" t="inlineStr">
        <is>
          <t>STRATEGY ENGINE</t>
        </is>
      </c>
      <c r="D104" s="40" t="inlineStr">
        <is>
          <t>Gauntlet G1–G4 (structural)</t>
        </is>
      </c>
      <c r="E104" s="40" t="inlineStr">
        <is>
          <t>New</t>
        </is>
      </c>
      <c r="F104" s="41" t="inlineStr">
        <is>
          <t>P0</t>
        </is>
      </c>
      <c r="G104" s="39" t="inlineStr">
        <is>
          <t>5</t>
        </is>
      </c>
      <c r="H104" s="51" t="inlineStr">
        <is>
          <t>Safety-critical</t>
        </is>
      </c>
      <c r="I104" s="39" t="inlineStr">
        <is>
          <t>FEAT</t>
        </is>
      </c>
      <c r="J104" s="43" t="n">
        <v>1.5</v>
      </c>
      <c r="K104" s="40" t="inlineStr">
        <is>
          <t>E12-S03</t>
        </is>
      </c>
      <c r="L104" s="40" t="n"/>
      <c r="M104" s="44" t="n"/>
      <c r="N104" s="45" t="n"/>
      <c r="O104" s="46" t="n"/>
      <c r="P104" s="46" t="n"/>
      <c r="Q104" s="47" t="n"/>
      <c r="R104" s="39" t="n">
        <v>0</v>
      </c>
      <c r="S104" s="48" t="n"/>
      <c r="T104" s="48" t="n"/>
      <c r="U104" s="48" t="n"/>
      <c r="V104" s="48" t="inlineStr">
        <is>
          <t>Hypothesis present · compiles · minimum 100 trades · realistic costs applied.</t>
        </is>
      </c>
      <c r="W104" s="49" t="n"/>
    </row>
    <row r="105" ht="30" customHeight="1" s="59">
      <c r="A105" s="38" t="inlineStr">
        <is>
          <t>E12-S06</t>
        </is>
      </c>
      <c r="B105" s="39" t="inlineStr">
        <is>
          <t>E12</t>
        </is>
      </c>
      <c r="C105" s="40" t="inlineStr">
        <is>
          <t>STRATEGY ENGINE</t>
        </is>
      </c>
      <c r="D105" s="40" t="inlineStr">
        <is>
          <t>Gauntlet G5 — purged/embargoed walk-forward</t>
        </is>
      </c>
      <c r="E105" s="40" t="inlineStr">
        <is>
          <t>New</t>
        </is>
      </c>
      <c r="F105" s="41" t="inlineStr">
        <is>
          <t>P0</t>
        </is>
      </c>
      <c r="G105" s="39" t="inlineStr">
        <is>
          <t>5</t>
        </is>
      </c>
      <c r="H105" s="51" t="inlineStr">
        <is>
          <t>Safety-critical</t>
        </is>
      </c>
      <c r="I105" s="39" t="inlineStr">
        <is>
          <t>FEAT</t>
        </is>
      </c>
      <c r="J105" s="43" t="n">
        <v>2.5</v>
      </c>
      <c r="K105" s="40" t="inlineStr">
        <is>
          <t>E12-S03</t>
        </is>
      </c>
      <c r="L105" s="40" t="n"/>
      <c r="M105" s="44" t="n"/>
      <c r="N105" s="45" t="n"/>
      <c r="O105" s="46" t="n"/>
      <c r="P105" s="46" t="n"/>
      <c r="Q105" s="47" t="n"/>
      <c r="R105" s="39" t="n">
        <v>4</v>
      </c>
      <c r="S105" s="48" t="inlineStr">
        <is>
          <t>As a statistician, I want CPCV with purging and embargo, so that label leakage does not make a bad strategy look good.</t>
        </is>
      </c>
      <c r="T105" s="48" t="inlineStr">
        <is>
          <t>1. Combinatorial purged cross-validation splitter
2. Purge training samples whose label windows overlap the test set
3. Embargo period after each test block
4. Per-fold performance consistency check</t>
        </is>
      </c>
      <c r="U105" s="48" t="inlineStr">
        <is>
          <t>• 🔴 A deliberately leaky strategy is caught by purging</t>
        </is>
      </c>
      <c r="V105" s="48" t="n"/>
      <c r="W105" s="49" t="n"/>
      <c r="X105" s="75" t="inlineStr">
        <is>
          <t>The purge window must be derived from the strategy's OWN holding period, not a constant. An intraday strategy needs a purge of hours; a fixed multi-day purge over-purges and destroys the sample, making a good strategy look untestable. Make it a function of the label horizon.</t>
        </is>
      </c>
    </row>
    <row r="106" ht="30" customHeight="1" s="59">
      <c r="A106" s="38" t="inlineStr">
        <is>
          <t>E12-S07</t>
        </is>
      </c>
      <c r="B106" s="39" t="inlineStr">
        <is>
          <t>E12</t>
        </is>
      </c>
      <c r="C106" s="40" t="inlineStr">
        <is>
          <t>STRATEGY ENGINE</t>
        </is>
      </c>
      <c r="D106" s="40" t="inlineStr">
        <is>
          <t>Gauntlet G6/G7 — DSR and PBO</t>
        </is>
      </c>
      <c r="E106" s="40" t="inlineStr">
        <is>
          <t>New</t>
        </is>
      </c>
      <c r="F106" s="41" t="inlineStr">
        <is>
          <t>P0</t>
        </is>
      </c>
      <c r="G106" s="39" t="inlineStr">
        <is>
          <t>5</t>
        </is>
      </c>
      <c r="H106" s="51" t="inlineStr">
        <is>
          <t>Safety-critical</t>
        </is>
      </c>
      <c r="I106" s="39" t="inlineStr">
        <is>
          <t>FEAT</t>
        </is>
      </c>
      <c r="J106" s="43" t="n">
        <v>2.5</v>
      </c>
      <c r="K106" s="40" t="inlineStr">
        <is>
          <t>E12-S04, E12-S06</t>
        </is>
      </c>
      <c r="L106" s="40" t="n"/>
      <c r="M106" s="44" t="n"/>
      <c r="N106" s="45" t="n"/>
      <c r="O106" s="46" t="n"/>
      <c r="P106" s="46" t="n"/>
      <c r="Q106" s="47" t="n"/>
      <c r="R106" s="39" t="n">
        <v>4</v>
      </c>
      <c r="S106" s="48" t="inlineStr">
        <is>
          <t>As a statistician, I want Sharpe deflated for the number of trials and the probability of overfitting computed, so that a lucky backtest cannot reach live capital.</t>
        </is>
      </c>
      <c r="T106" s="48" t="inlineStr">
        <is>
          <t>1. Deflated Sharpe Ratio using the trial count, sample length, skew, kurtosis
2. PBO via combinatorially symmetric cross-validation
3. Reject on DSR confidence &lt; 0.95 or PBO &gt; 0.5
4. Persist both with the trial count used</t>
        </is>
      </c>
      <c r="U106" s="48" t="inlineStr">
        <is>
          <t>• 🔴 A strategy fitted to noise fails at least one of these
• Verified against a known-random strategy (should fail) and a known-real edge</t>
        </is>
      </c>
      <c r="V106" s="48" t="n"/>
      <c r="W106" s="49" t="n"/>
    </row>
    <row r="107" ht="30" customHeight="1" s="59">
      <c r="A107" s="38" t="inlineStr">
        <is>
          <t>E12-S08</t>
        </is>
      </c>
      <c r="B107" s="39" t="inlineStr">
        <is>
          <t>E12</t>
        </is>
      </c>
      <c r="C107" s="40" t="inlineStr">
        <is>
          <t>STRATEGY ENGINE</t>
        </is>
      </c>
      <c r="D107" s="40" t="inlineStr">
        <is>
          <t>Gauntlet G8–G12</t>
        </is>
      </c>
      <c r="E107" s="40" t="inlineStr">
        <is>
          <t>New</t>
        </is>
      </c>
      <c r="F107" s="53" t="inlineStr">
        <is>
          <t>P1</t>
        </is>
      </c>
      <c r="G107" s="39" t="inlineStr">
        <is>
          <t>5</t>
        </is>
      </c>
      <c r="H107" s="51" t="inlineStr">
        <is>
          <t>Safety-critical</t>
        </is>
      </c>
      <c r="I107" s="39" t="inlineStr">
        <is>
          <t>FEAT</t>
        </is>
      </c>
      <c r="J107" s="43" t="n">
        <v>2</v>
      </c>
      <c r="K107" s="40" t="inlineStr">
        <is>
          <t>E12-S07</t>
        </is>
      </c>
      <c r="L107" s="40" t="n"/>
      <c r="M107" s="44" t="n"/>
      <c r="N107" s="45" t="n"/>
      <c r="O107" s="46" t="n"/>
      <c r="P107" s="46" t="n"/>
      <c r="Q107" s="47" t="n"/>
      <c r="R107" s="39" t="n">
        <v>0</v>
      </c>
      <c r="S107" s="48" t="n"/>
      <c r="T107" s="48" t="n"/>
      <c r="U107" s="48" t="n"/>
      <c r="V107" s="48" t="inlineStr">
        <is>
          <t>Regime coverage · locked holdout (read once) · correlation to active · parameter sensitivity (±20%) · India tradability.</t>
        </is>
      </c>
      <c r="W107" s="49" t="n"/>
    </row>
    <row r="108" ht="30" customHeight="1" s="59">
      <c r="A108" s="38" t="inlineStr">
        <is>
          <t>E12-S09</t>
        </is>
      </c>
      <c r="B108" s="39" t="inlineStr">
        <is>
          <t>E12</t>
        </is>
      </c>
      <c r="C108" s="40" t="inlineStr">
        <is>
          <t>STRATEGY ENGINE</t>
        </is>
      </c>
      <c r="D108" s="40" t="inlineStr">
        <is>
          <t>Shadow mode</t>
        </is>
      </c>
      <c r="E108" s="40" t="inlineStr">
        <is>
          <t>New</t>
        </is>
      </c>
      <c r="F108" s="41" t="inlineStr">
        <is>
          <t>P0</t>
        </is>
      </c>
      <c r="G108" s="39" t="inlineStr">
        <is>
          <t>5</t>
        </is>
      </c>
      <c r="H108" s="50" t="inlineStr">
        <is>
          <t>Correctness-critical</t>
        </is>
      </c>
      <c r="I108" s="39" t="inlineStr">
        <is>
          <t>FEAT</t>
        </is>
      </c>
      <c r="J108" s="43" t="n">
        <v>1.5</v>
      </c>
      <c r="K108" s="40" t="inlineStr">
        <is>
          <t>E12-S02, E13-S01</t>
        </is>
      </c>
      <c r="L108" s="40" t="n"/>
      <c r="M108" s="44" t="n"/>
      <c r="N108" s="45" t="n"/>
      <c r="O108" s="46" t="n"/>
      <c r="P108" s="46" t="n"/>
      <c r="Q108" s="47" t="n"/>
      <c r="R108" s="39" t="n">
        <v>5</v>
      </c>
      <c r="S108" s="48" t="inlineStr">
        <is>
          <t>As a validator, I want strategies to record what they *would* have done, so that failures a backtest cannot show — signals at untradeable prices — surface before any capital is involved.</t>
        </is>
      </c>
      <c r="T108" s="48" t="inlineStr">
        <is>
          <t>1. Evaluate SHADOW strategies in the live loop
2. Record to `shadow_signal`, place no orders
3. EOD: evaluate hypothetical outcomes
4. Live-vs-backtest agreement metric
5. Promotion gate at ≥ 20 sessions, ≥ 80% agreement</t>
        </is>
      </c>
      <c r="U108" s="48" t="n"/>
      <c r="V108" s="48" t="n"/>
      <c r="W108" s="49" t="n"/>
      <c r="X108" s="75" t="inlineStr">
        <is>
          <t>'&gt;=80% agreement' needs a definition of agreement that survives timing jitter — the same signal one bar later is not a disagreement in substance but will score as one. Define the tolerance BEFORE collecting 20 sessions of data you then have to discard.</t>
        </is>
      </c>
    </row>
    <row r="109" ht="30" customHeight="1" s="59">
      <c r="A109" s="38" t="inlineStr">
        <is>
          <t>E12-S10</t>
        </is>
      </c>
      <c r="B109" s="39" t="inlineStr">
        <is>
          <t>E12</t>
        </is>
      </c>
      <c r="C109" s="40" t="inlineStr">
        <is>
          <t>STRATEGY ENGINE</t>
        </is>
      </c>
      <c r="D109" s="40" t="inlineStr">
        <is>
          <t>Degradation monitoring and auto-retirement</t>
        </is>
      </c>
      <c r="E109" s="40" t="inlineStr">
        <is>
          <t>New</t>
        </is>
      </c>
      <c r="F109" s="41" t="inlineStr">
        <is>
          <t>P0</t>
        </is>
      </c>
      <c r="G109" s="39" t="inlineStr">
        <is>
          <t>5</t>
        </is>
      </c>
      <c r="H109" s="51" t="inlineStr">
        <is>
          <t>Safety-critical</t>
        </is>
      </c>
      <c r="I109" s="39" t="inlineStr">
        <is>
          <t>FEAT</t>
        </is>
      </c>
      <c r="J109" s="43" t="n">
        <v>1.5</v>
      </c>
      <c r="K109" s="40" t="inlineStr">
        <is>
          <t>E12-S02</t>
        </is>
      </c>
      <c r="L109" s="40" t="n"/>
      <c r="M109" s="44" t="n"/>
      <c r="N109" s="45" t="n"/>
      <c r="O109" s="46" t="n"/>
      <c r="P109" s="46" t="n"/>
      <c r="Q109" s="47" t="n"/>
      <c r="R109" s="39" t="n">
        <v>6</v>
      </c>
      <c r="S109" s="48" t="inlineStr">
        <is>
          <t>As a trader, I want a decaying strategy demoted without asking me, so that a losing streak does not persist through inattention.</t>
        </is>
      </c>
      <c r="T109" s="48" t="inlineStr">
        <is>
          <t>1. Rolling window performance vs validated expectation
2. Triggers: Sharpe ratio, consecutive losses, drawdown, win rate, regime absence
3. ACTIVE → DEGRADED (50% size) automatically
4. DEGRADED → RETIRED after continued decay
5. `vs_backtest_ratio` tracked daily
6. Alert on every demotion</t>
        </is>
      </c>
      <c r="U109" s="48" t="inlineStr">
        <is>
          <t>• 🔴 Demotion is automatic; promotion is never automatic</t>
        </is>
      </c>
      <c r="V109" s="48" t="n"/>
      <c r="W109" s="49" t="n"/>
    </row>
    <row r="110" ht="30" customHeight="1" s="59">
      <c r="A110" s="38" t="inlineStr">
        <is>
          <t>E12-S11</t>
        </is>
      </c>
      <c r="B110" s="39" t="inlineStr">
        <is>
          <t>E12</t>
        </is>
      </c>
      <c r="C110" s="40" t="inlineStr">
        <is>
          <t>STRATEGY ENGINE</t>
        </is>
      </c>
      <c r="D110" s="40" t="inlineStr">
        <is>
          <t>AI strategy generation — journal mode</t>
        </is>
      </c>
      <c r="E110" s="40" t="inlineStr">
        <is>
          <t>New</t>
        </is>
      </c>
      <c r="F110" s="52" t="inlineStr">
        <is>
          <t>P2</t>
        </is>
      </c>
      <c r="G110" s="39" t="inlineStr">
        <is>
          <t>9</t>
        </is>
      </c>
      <c r="H110" s="51" t="inlineStr">
        <is>
          <t>Safety-critical</t>
        </is>
      </c>
      <c r="I110" s="39" t="inlineStr">
        <is>
          <t>FEAT</t>
        </is>
      </c>
      <c r="J110" s="43" t="n">
        <v>2.5</v>
      </c>
      <c r="K110" s="40" t="inlineStr">
        <is>
          <t>E12-S07, E12-S10</t>
        </is>
      </c>
      <c r="L110" s="40" t="n"/>
      <c r="M110" s="44" t="n"/>
      <c r="N110" s="45" t="n"/>
      <c r="O110" s="46" t="n"/>
      <c r="P110" s="46" t="n"/>
      <c r="Q110" s="47" t="n"/>
      <c r="R110" s="39" t="n">
        <v>6</v>
      </c>
      <c r="S110" s="48" t="inlineStr">
        <is>
          <t>As a trader, I want the AI to propose strategies from my own trade history, so that the system learns from what actually happened rather than from patterns in a price series.</t>
        </is>
      </c>
      <c r="T110" s="48" t="inlineStr">
        <is>
          <t>1. Assemble journal summary: setups, regimes, confidence, outcomes, R-multiples
2. Hypothesis-first protocol: AI states mechanism BEFORE seeing results
3. Freeze hypothesis to DB before the gauntlet runs
4. Emit `StrategyDocument` in the DSL — never code
5. Weekly cadence, max 5 proposals
6. Every proposal enters the gauntlet like any other</t>
        </is>
      </c>
      <c r="U110" s="48" t="inlineStr">
        <is>
          <t>• 🔴 The AI cannot bypass any gauntlet check
• 🔴 A proposal without a substantive hypothesis is rejected at parse time</t>
        </is>
      </c>
      <c r="V110" s="48" t="n"/>
      <c r="W110" s="49" t="n"/>
      <c r="X110" s="75" t="inlineStr">
        <is>
          <t>The hypothesis-before-results protocol is the entire control, and it is only real if the AI genuinely cannot see outcomes when it writes the hypothesis. Verify the journal summary passed into the prompt does not leak realised P&amp;L, win rate or R-multiples for the setups it is being asked to hypothesise about — otherwise it is fitting, with a hypothesis attached for appearances.</t>
        </is>
      </c>
    </row>
    <row r="111" ht="30" customHeight="1" s="59">
      <c r="A111" s="38" t="inlineStr">
        <is>
          <t>E12-S12</t>
        </is>
      </c>
      <c r="B111" s="39" t="inlineStr">
        <is>
          <t>E12</t>
        </is>
      </c>
      <c r="C111" s="40" t="inlineStr">
        <is>
          <t>STRATEGY ENGINE</t>
        </is>
      </c>
      <c r="D111" s="40" t="inlineStr">
        <is>
          <t>AI strategy generation — observation mode</t>
        </is>
      </c>
      <c r="E111" s="40" t="inlineStr">
        <is>
          <t>New</t>
        </is>
      </c>
      <c r="F111" s="52" t="inlineStr">
        <is>
          <t>P2</t>
        </is>
      </c>
      <c r="G111" s="39" t="inlineStr">
        <is>
          <t>9</t>
        </is>
      </c>
      <c r="H111" s="51" t="inlineStr">
        <is>
          <t>Safety-critical</t>
        </is>
      </c>
      <c r="I111" s="39" t="inlineStr">
        <is>
          <t>FEAT</t>
        </is>
      </c>
      <c r="J111" s="43" t="n">
        <v>2</v>
      </c>
      <c r="K111" s="40" t="inlineStr">
        <is>
          <t>E12-S11</t>
        </is>
      </c>
      <c r="L111" s="40" t="n"/>
      <c r="M111" s="44" t="n"/>
      <c r="N111" s="45" t="n"/>
      <c r="O111" s="46" t="n"/>
      <c r="P111" s="46" t="n"/>
      <c r="Q111" s="47" t="n"/>
      <c r="R111" s="39" t="n">
        <v>0</v>
      </c>
      <c r="S111" s="48" t="n"/>
      <c r="T111" s="48" t="n"/>
      <c r="U111" s="48" t="n"/>
      <c r="V111" s="48" t="inlineStr">
        <is>
          <t>Market-behaviour summary → strategy proposals. Same constraints as S11.</t>
        </is>
      </c>
      <c r="W111" s="49" t="n"/>
    </row>
    <row r="112" ht="30" customHeight="1" s="59">
      <c r="A112" s="38" t="inlineStr">
        <is>
          <t>E13-S01</t>
        </is>
      </c>
      <c r="B112" s="39" t="inlineStr">
        <is>
          <t>E13</t>
        </is>
      </c>
      <c r="C112" s="40" t="inlineStr">
        <is>
          <t>SIGNAL ENGINE</t>
        </is>
      </c>
      <c r="D112" s="40" t="inlineStr">
        <is>
          <t>Strategy evaluation loop</t>
        </is>
      </c>
      <c r="E112" s="40" t="inlineStr">
        <is>
          <t>New</t>
        </is>
      </c>
      <c r="F112" s="41" t="inlineStr">
        <is>
          <t>P0</t>
        </is>
      </c>
      <c r="G112" s="39" t="inlineStr">
        <is>
          <t>4</t>
        </is>
      </c>
      <c r="H112" s="51" t="inlineStr">
        <is>
          <t>Safety-critical</t>
        </is>
      </c>
      <c r="I112" s="39" t="inlineStr">
        <is>
          <t>FEAT</t>
        </is>
      </c>
      <c r="J112" s="43" t="n">
        <v>2</v>
      </c>
      <c r="K112" s="40" t="inlineStr">
        <is>
          <t>E06-S04, E12-S01</t>
        </is>
      </c>
      <c r="L112" s="40" t="n"/>
      <c r="M112" s="44" t="n"/>
      <c r="N112" s="45" t="n"/>
      <c r="O112" s="46" t="n"/>
      <c r="P112" s="46" t="n"/>
      <c r="Q112" s="47" t="n"/>
      <c r="R112" s="39" t="n">
        <v>5</v>
      </c>
      <c r="S112" s="48" t="n"/>
      <c r="T112" s="48" t="inlineStr">
        <is>
          <t>1. Consume final bars from the stream
2. Filter to the day's plan symbols
3. Gate on `all_ready`
4. Evaluate runnable strategies (regime-filtered)
5. Route by strategy state: ACTIVE → full path, PAPER → paper, SHADOW → record</t>
        </is>
      </c>
      <c r="U112" s="48" t="inlineStr">
        <is>
          <t>• 🔴 A symbol not in today's plan is never evaluated
• 🔴 A strategy in SHADOW state never produces an order</t>
        </is>
      </c>
      <c r="V112" s="48" t="n"/>
      <c r="W112" s="49" t="n"/>
      <c r="X112" s="75" t="inlineStr">
        <is>
          <t>SEQUENCING BUG: this story is Phase 4 but depends on E12-S01 (strategy registry), which is Phase 5. Phase 4 cannot complete as currently sequenced. Either pull E12-S01 forward into Phase 4 or move this story into Phase 5.</t>
        </is>
      </c>
    </row>
    <row r="113" ht="30" customHeight="1" s="59">
      <c r="A113" s="38" t="inlineStr">
        <is>
          <t>E13-S02</t>
        </is>
      </c>
      <c r="B113" s="39" t="inlineStr">
        <is>
          <t>E13</t>
        </is>
      </c>
      <c r="C113" s="40" t="inlineStr">
        <is>
          <t>SIGNAL ENGINE</t>
        </is>
      </c>
      <c r="D113" s="40" t="inlineStr">
        <is>
          <t>Regime-aware strategy selection</t>
        </is>
      </c>
      <c r="E113" s="40" t="inlineStr">
        <is>
          <t>New</t>
        </is>
      </c>
      <c r="F113" s="41" t="inlineStr">
        <is>
          <t>P0</t>
        </is>
      </c>
      <c r="G113" s="39" t="inlineStr">
        <is>
          <t>4</t>
        </is>
      </c>
      <c r="H113" s="50" t="inlineStr">
        <is>
          <t>Correctness-critical</t>
        </is>
      </c>
      <c r="I113" s="39" t="inlineStr">
        <is>
          <t>FEAT</t>
        </is>
      </c>
      <c r="J113" s="43" t="n">
        <v>1</v>
      </c>
      <c r="K113" s="40" t="inlineStr">
        <is>
          <t>E09-S06, E13-S01</t>
        </is>
      </c>
      <c r="L113" s="40" t="n"/>
      <c r="M113" s="44" t="n"/>
      <c r="N113" s="45" t="n"/>
      <c r="O113" s="46" t="n"/>
      <c r="P113" s="46" t="n"/>
      <c r="Q113" s="47" t="n"/>
      <c r="R113" s="39" t="n">
        <v>0</v>
      </c>
      <c r="S113" s="48" t="n"/>
      <c r="T113" s="48" t="n"/>
      <c r="U113" s="48" t="n"/>
      <c r="V113" s="48" t="inlineStr">
        <is>
          <t>Only evaluate strategies whose `applicability.regimes` includes the current regime.</t>
        </is>
      </c>
      <c r="W113" s="49" t="n"/>
    </row>
    <row r="114" ht="30" customHeight="1" s="59">
      <c r="A114" s="38" t="inlineStr">
        <is>
          <t>E13-S03</t>
        </is>
      </c>
      <c r="B114" s="39" t="inlineStr">
        <is>
          <t>E13</t>
        </is>
      </c>
      <c r="C114" s="40" t="inlineStr">
        <is>
          <t>SIGNAL ENGINE</t>
        </is>
      </c>
      <c r="D114" s="40" t="inlineStr">
        <is>
          <t>AI review integration</t>
        </is>
      </c>
      <c r="E114" s="40" t="inlineStr">
        <is>
          <t>New</t>
        </is>
      </c>
      <c r="F114" s="41" t="inlineStr">
        <is>
          <t>P0</t>
        </is>
      </c>
      <c r="G114" s="39" t="inlineStr">
        <is>
          <t>4</t>
        </is>
      </c>
      <c r="H114" s="51" t="inlineStr">
        <is>
          <t>Safety-critical</t>
        </is>
      </c>
      <c r="I114" s="39" t="inlineStr">
        <is>
          <t>FEAT</t>
        </is>
      </c>
      <c r="J114" s="43" t="n">
        <v>1.5</v>
      </c>
      <c r="K114" s="40" t="inlineStr">
        <is>
          <t>E10-S05, E13-S01</t>
        </is>
      </c>
      <c r="L114" s="40" t="n"/>
      <c r="M114" s="44" t="n"/>
      <c r="N114" s="45" t="n"/>
      <c r="O114" s="46" t="n"/>
      <c r="P114" s="46" t="n"/>
      <c r="Q114" s="47" t="n"/>
      <c r="R114" s="39" t="n">
        <v>5</v>
      </c>
      <c r="S114" s="48" t="n"/>
      <c r="T114" s="48" t="inlineStr">
        <is>
          <t>1. Call AI review only for triggers that fired
2. Confidence gate: below `min_to_act` → reject with reason
3. Verdict gate: VETO → reject with reason
4. Timeout → skip
5. Every decision to the audit log</t>
        </is>
      </c>
      <c r="U114" s="48" t="n"/>
      <c r="V114" s="48" t="n"/>
      <c r="W114" s="49" t="n"/>
    </row>
    <row r="115" ht="30" customHeight="1" s="59">
      <c r="A115" s="38" t="inlineStr">
        <is>
          <t>E13-S04</t>
        </is>
      </c>
      <c r="B115" s="39" t="inlineStr">
        <is>
          <t>E13</t>
        </is>
      </c>
      <c r="C115" s="40" t="inlineStr">
        <is>
          <t>SIGNAL ENGINE</t>
        </is>
      </c>
      <c r="D115" s="40" t="inlineStr">
        <is>
          <t>Recommendation emission</t>
        </is>
      </c>
      <c r="E115" s="40" t="inlineStr">
        <is>
          <t>New</t>
        </is>
      </c>
      <c r="F115" s="41" t="inlineStr">
        <is>
          <t>P0</t>
        </is>
      </c>
      <c r="G115" s="39" t="inlineStr">
        <is>
          <t>4</t>
        </is>
      </c>
      <c r="H115" s="51" t="inlineStr">
        <is>
          <t>Safety-critical</t>
        </is>
      </c>
      <c r="I115" s="39" t="inlineStr">
        <is>
          <t>FEAT</t>
        </is>
      </c>
      <c r="J115" s="43" t="n">
        <v>1</v>
      </c>
      <c r="K115" s="40" t="inlineStr">
        <is>
          <t>E13-S03</t>
        </is>
      </c>
      <c r="L115" s="40" t="n"/>
      <c r="M115" s="44" t="n"/>
      <c r="N115" s="45" t="n"/>
      <c r="O115" s="46" t="n"/>
      <c r="P115" s="46" t="n"/>
      <c r="Q115" s="47" t="n"/>
      <c r="R115" s="39" t="n">
        <v>3</v>
      </c>
      <c r="S115" s="48" t="n"/>
      <c r="T115" s="48" t="inlineStr">
        <is>
          <t>1. Build `Recommendation` from trigger + review
2. Publish to `stream:signals`
3. Correlation ID threading</t>
        </is>
      </c>
      <c r="U115" s="48" t="inlineStr">
        <is>
          <t>• 🔴 `Recommendation` carries no sizing information (enforced by the type)</t>
        </is>
      </c>
      <c r="V115" s="48" t="n"/>
      <c r="W115" s="49" t="n"/>
    </row>
    <row r="116" ht="30" customHeight="1" s="59">
      <c r="A116" s="38" t="inlineStr">
        <is>
          <t>E13-S05</t>
        </is>
      </c>
      <c r="B116" s="39" t="inlineStr">
        <is>
          <t>E13</t>
        </is>
      </c>
      <c r="C116" s="40" t="inlineStr">
        <is>
          <t>SIGNAL ENGINE</t>
        </is>
      </c>
      <c r="D116" s="40" t="inlineStr">
        <is>
          <t>Concurrency guards</t>
        </is>
      </c>
      <c r="E116" s="40" t="inlineStr">
        <is>
          <t>New</t>
        </is>
      </c>
      <c r="F116" s="41" t="inlineStr">
        <is>
          <t>P0</t>
        </is>
      </c>
      <c r="G116" s="39" t="inlineStr">
        <is>
          <t>4</t>
        </is>
      </c>
      <c r="H116" s="51" t="inlineStr">
        <is>
          <t>Safety-critical</t>
        </is>
      </c>
      <c r="I116" s="39" t="inlineStr">
        <is>
          <t>FEAT</t>
        </is>
      </c>
      <c r="J116" s="43" t="n">
        <v>1</v>
      </c>
      <c r="K116" s="40" t="inlineStr">
        <is>
          <t>E01-S03, E13-S01</t>
        </is>
      </c>
      <c r="L116" s="40" t="n"/>
      <c r="M116" s="44" t="n"/>
      <c r="N116" s="45" t="n"/>
      <c r="O116" s="46" t="n"/>
      <c r="P116" s="46" t="n"/>
      <c r="Q116" s="47" t="n"/>
      <c r="R116" s="39" t="n">
        <v>3</v>
      </c>
      <c r="S116" s="48" t="n"/>
      <c r="T116" s="48" t="inlineStr">
        <is>
          <t>1. `lock:symbol:{symbol}` before emitting
2. Prevent two strategies double-entering the same symbol
3. Lock TTL so a crash cannot deadlock</t>
        </is>
      </c>
      <c r="U116" s="48" t="n"/>
      <c r="V116" s="48" t="n"/>
      <c r="W116" s="49" t="n"/>
      <c r="X116" s="75" t="inlineStr">
        <is>
          <t>The symbol lock prevents two strategies double-entering, but the partial unique index uq_open_symbol is the actual guarantee. Make the lock-failure path a clean reject, not an exception that leaves the signal half-processed — and log lock contention, because a rising rate means two strategies are fighting over the same names and that is a config problem, not a race.</t>
        </is>
      </c>
    </row>
    <row r="117" ht="30" customHeight="1" s="59">
      <c r="A117" s="38" t="inlineStr">
        <is>
          <t>E13-S06</t>
        </is>
      </c>
      <c r="B117" s="39" t="inlineStr">
        <is>
          <t>E13</t>
        </is>
      </c>
      <c r="C117" s="40" t="inlineStr">
        <is>
          <t>SIGNAL ENGINE</t>
        </is>
      </c>
      <c r="D117" s="40" t="inlineStr">
        <is>
          <t>Thesis invalidation monitoring</t>
        </is>
      </c>
      <c r="E117" s="40" t="inlineStr">
        <is>
          <t>New</t>
        </is>
      </c>
      <c r="F117" s="52" t="inlineStr">
        <is>
          <t>P2</t>
        </is>
      </c>
      <c r="G117" s="39" t="inlineStr">
        <is>
          <t>6</t>
        </is>
      </c>
      <c r="H117" s="50" t="inlineStr">
        <is>
          <t>Correctness-critical</t>
        </is>
      </c>
      <c r="I117" s="39" t="inlineStr">
        <is>
          <t>FEAT</t>
        </is>
      </c>
      <c r="J117" s="43" t="n">
        <v>1.5</v>
      </c>
      <c r="K117" s="40" t="inlineStr">
        <is>
          <t>E11-S06</t>
        </is>
      </c>
      <c r="L117" s="40" t="n"/>
      <c r="M117" s="44" t="n"/>
      <c r="N117" s="45" t="n"/>
      <c r="O117" s="46" t="n"/>
      <c r="P117" s="46" t="n"/>
      <c r="Q117" s="47" t="n"/>
      <c r="R117" s="39" t="n">
        <v>0</v>
      </c>
      <c r="S117" s="48" t="n"/>
      <c r="T117" s="48" t="n"/>
      <c r="U117" s="48" t="n"/>
      <c r="V117" s="48" t="inlineStr">
        <is>
          <t>AI flags when the day's premise has broken; system stops new entries.</t>
        </is>
      </c>
      <c r="W117" s="49" t="n"/>
    </row>
    <row r="118" ht="150" customHeight="1" s="59">
      <c r="A118" s="38" t="inlineStr">
        <is>
          <t>E14-S01</t>
        </is>
      </c>
      <c r="B118" s="39" t="inlineStr">
        <is>
          <t>E14</t>
        </is>
      </c>
      <c r="C118" s="40" t="inlineStr">
        <is>
          <t>RISK ENGINE</t>
        </is>
      </c>
      <c r="D118" s="40" t="inlineStr">
        <is>
          <t>Risk check framework</t>
        </is>
      </c>
      <c r="E118" s="40" t="inlineStr">
        <is>
          <t>QA-Success</t>
        </is>
      </c>
      <c r="F118" s="41" t="inlineStr">
        <is>
          <t>P0</t>
        </is>
      </c>
      <c r="G118" s="39" t="inlineStr">
        <is>
          <t>5</t>
        </is>
      </c>
      <c r="H118" s="51" t="inlineStr">
        <is>
          <t>Safety-critical</t>
        </is>
      </c>
      <c r="I118" s="39" t="inlineStr">
        <is>
          <t>FEAT</t>
        </is>
      </c>
      <c r="J118" s="43" t="n">
        <v>1.5</v>
      </c>
      <c r="K118" s="40" t="inlineStr">
        <is>
          <t>E00-S02</t>
        </is>
      </c>
      <c r="L118" s="40" t="n"/>
      <c r="M118" s="44" t="n"/>
      <c r="N118" s="45" t="n"/>
      <c r="O118" s="46" t="n"/>
      <c r="P118" s="46" t="n"/>
      <c r="Q118" s="47" t="n"/>
      <c r="R118" s="39" t="n">
        <v>4</v>
      </c>
      <c r="S118" s="48" t="n"/>
      <c r="T118" s="48" t="inlineStr">
        <is>
          <t>1. Ordered, fail-fast check pipeline
2. Each check returns pass/fail with a `RejectReason`
3. Every evaluation to the audit log
4. `signals_rejected_total{check}` metric</t>
        </is>
      </c>
      <c r="U118" s="48" t="inlineStr">
        <is>
          <t>• 🔴 No order path bypasses the pipeline
• Any rejection is explainable from the audit log</t>
        </is>
      </c>
      <c r="V118" s="48" t="inlineStr">
        <is>
          <t>DEPENDENCY CORRECTED 25 Aug 2026. Was E13-S04 (Recommendation emission). Taken literally that chained E14-S01 behind E13-S03 -&gt; E10-S05 -&gt; E10-S03 -&gt; E10-S01, i.e. the deterministic risk engine could not start until the entire AI layer existed. That inverts the architecture's own boundary: Recommendation is the AI/deterministic seam precisely so the downstream side does not depend on how the upstream side produced it (constraint C4).
What E14-S01 actually needs is the Recommendation TYPE, from E00-S02 (Closed), plus RiskDecision and SizingResult which are defined in the same module. It does not need the emitter, the signal stream, or an AIReview from a real model - an AIReview is a Pydantic model a test can construct directly.
E13-S04 remains a genuine dependency for RUNTIME WIRING - the risk engine consuming from stream:signals - which is E13-S05/E15 work, not this story.</t>
        </is>
      </c>
      <c r="W118" s="49" t="n"/>
    </row>
    <row r="119" ht="190" customHeight="1" s="59">
      <c r="A119" s="38" t="inlineStr">
        <is>
          <t>E14-S02</t>
        </is>
      </c>
      <c r="B119" s="39" t="inlineStr">
        <is>
          <t>E14</t>
        </is>
      </c>
      <c r="C119" s="40" t="inlineStr">
        <is>
          <t>RISK ENGINE</t>
        </is>
      </c>
      <c r="D119" s="40" t="inlineStr">
        <is>
          <t>Pre-condition checks (1–4)</t>
        </is>
      </c>
      <c r="E119" s="48" t="inlineStr">
        <is>
          <t>QA-Success</t>
        </is>
      </c>
      <c r="F119" s="41" t="inlineStr">
        <is>
          <t>P0</t>
        </is>
      </c>
      <c r="G119" s="39" t="inlineStr">
        <is>
          <t>5</t>
        </is>
      </c>
      <c r="H119" s="51" t="inlineStr">
        <is>
          <t>Safety-critical</t>
        </is>
      </c>
      <c r="I119" s="39" t="inlineStr">
        <is>
          <t>FEAT</t>
        </is>
      </c>
      <c r="J119" s="43" t="n">
        <v>1</v>
      </c>
      <c r="K119" s="40" t="inlineStr">
        <is>
          <t>E14-S01</t>
        </is>
      </c>
      <c r="L119" s="40" t="n"/>
      <c r="M119" s="44" t="n"/>
      <c r="N119" s="45" t="n"/>
      <c r="O119" s="46" t="n"/>
      <c r="P119" s="46" t="n"/>
      <c r="Q119" s="86" t="inlineStr">
        <is>
          <t>100%</t>
        </is>
      </c>
      <c r="R119" s="48" t="n">
        <v>4</v>
      </c>
      <c r="S119" s="48" t="n"/>
      <c r="T119" s="48" t="inlineStr">
        <is>
          <t>1. check_kill_switch (C8) - reads ctx.kill_switch_active; E14-S09 owns the switch itself
2. check_health_gate - any unhealthy service rejects, detail names which
3. check_trading_window - MarketCalendar.is_market_open(ctx.now)
4. check_no_trade_window - config.execution.no_trade_windows
5. A factory that builds the four in order, closing over calendar + config</t>
        </is>
      </c>
      <c r="U119" s="48" t="inlineStr">
        <is>
          <t>AC1 (RED) An active kill switch rejects with KILL_SWITCH_ACTIVE, and does so FIRST - no later check runs.
AC2 (RED) Any unhealthy service rejects with HEALTH_GATE_FAILED and the detail names the service(s).
AC3 A moment outside continuous trading - weekend, holiday, pre-open, post-close - rejects with OUTSIDE_TRADING_WINDOW.
AC4 A moment inside a configured no_trade_window rejects with NO_TRADE_WINDOW and the detail names the window that matched.
AC5 (CONTROL) A normal mid-session moment with the switch off and all services healthy passes all four.
AC6 Registration order is kill_switch, health_gate, trading_window, no_trade_window - cheapest and most absolute first.
AC7 An uncovered holiday year makes the calendar RAISE, which the framework turns into a rejection rather than a pass (fail closed).</t>
        </is>
      </c>
      <c r="V119" s="48" t="inlineStr">
        <is>
          <t>Kill switch · health gate · trading window · no-trade window.
ACCEPTANCE CRITERIA WRITTEN 25 Aug 2026. The story had none - only a Notes line listing the four checks - so DoR R5 could not be satisfied as written. Criteria above are falsifiable; each names the RejectReason it must produce.
SPEC/CONFIG CONFLICT RESOLVED. LOW_LEVEL_ARCHITECTURE 5.7 lists check_within_trading_window ('no entries after 15:00') and check_not_in_no_trade_window ('09:15-09:20 opening noise') as two hardcoded times. Config already models BOTH as one mechanism - config.execution.no_trade_windows is [(09:15,09:20), (15:00,15:30)] in system.yaml - so implementing the spec literally would hardcode 15:00 AND duplicate the configured window.
Resolved by splitting on SOURCE rather than on time: trading_window asks the CALENDAR whether the market is open at all (weekend, holiday, pre-open, post-close) and yields OUTSIDE_TRADING_WINDOW; no_trade_window asks CONFIG whether now falls in a declared blackout and yields NO_TRADE_WINDOW. Both RejectReasons already exist in the enum, which is the design saying it wants them distinguished - and the metric signals_rejected_total{check} can then tell 'blocked at the open' from 'blocked near the close', which are operationally different signals.
SCOPE. IN: the four checks and the ordered factory. OUT: E14-S09 owns the kill switch MECHANISM (arming, persistence, auto-demotion) - this story only READS the flag. Symbol eligibility is S03, portfolio S04, loss limits S05, margin/timing S06, sizing S07, slots S08.
DELIVERED 1 Sep 2026 (/sdlc). checks/preconditions.py, 4 checks, registered in PRECONDITION_ORDER. 33 unit tests (one class per AC), 8 seam tests in the system test, 26 security tests. Mutation 13/13. Coverage 81% -&gt; 82% overall, preconditions.py 100%.
SPEC CONFLICT RESOLVED: the architecture doc's trading-window check and system.yaml's no_trade_windows both describe 'when not to trade' and overlap at the open. Split on SOURCE, not time — trading_window asks the MarketCalendar (is the market open at all), no_trade_window asks config (are we choosing to sit this period out). Overlap is then harmless and the two rejections mean different things to an operator.
FOUND WHILE TESTING: the Docker gate in conftest.py keyed on the directory name rather than the marker, silently skipping the only system-level test. Fixed; 17 tests recovered. See QA-E14-06.</t>
        </is>
      </c>
      <c r="W119" s="49" t="n"/>
    </row>
    <row r="120" ht="30" customHeight="1" s="59">
      <c r="A120" s="38" t="inlineStr">
        <is>
          <t>E14-S03</t>
        </is>
      </c>
      <c r="B120" s="39" t="inlineStr">
        <is>
          <t>E14</t>
        </is>
      </c>
      <c r="C120" s="40" t="inlineStr">
        <is>
          <t>RISK ENGINE</t>
        </is>
      </c>
      <c r="D120" s="40" t="inlineStr">
        <is>
          <t>Symbol eligibility checks (5–7)</t>
        </is>
      </c>
      <c r="E120" s="48" t="inlineStr">
        <is>
          <t>QA-Success</t>
        </is>
      </c>
      <c r="F120" s="41" t="inlineStr">
        <is>
          <t>P0</t>
        </is>
      </c>
      <c r="G120" s="39" t="inlineStr">
        <is>
          <t>5</t>
        </is>
      </c>
      <c r="H120" s="51" t="inlineStr">
        <is>
          <t>Safety-critical</t>
        </is>
      </c>
      <c r="I120" s="39" t="inlineStr">
        <is>
          <t>FEAT</t>
        </is>
      </c>
      <c r="J120" s="43" t="n">
        <v>1</v>
      </c>
      <c r="K120" s="48" t="inlineStr">
        <is>
          <t>E14-S01</t>
        </is>
      </c>
      <c r="L120" s="40" t="n"/>
      <c r="M120" s="44" t="n"/>
      <c r="N120" s="45" t="n"/>
      <c r="O120" s="46" t="n"/>
      <c r="P120" s="46" t="n"/>
      <c r="Q120" s="86" t="inlineStr">
        <is>
          <t>100%</t>
        </is>
      </c>
      <c r="R120" s="48" t="n">
        <v>4</v>
      </c>
      <c r="S120" s="48" t="n"/>
      <c r="T120" s="48" t="inlineStr">
        <is>
          <t>1. check_symbol_tradable — reads ctx.symbol_restrictions; UNKNOWN rejects
2. check_slot_available — ctx.slots_available &gt; 0
3. check_symbol_not_already_held — ctx.holds(rec.symbol), any direction
4. build_eligibility_checks factory + ELIGIBILITY_ORDER, running after the four pre-conditions</t>
        </is>
      </c>
      <c r="U120" s="48" t="inlineStr">
        <is>
          <t>AC1 (RED) A symbol carrying any blocking restriction rejects with SYMBOL_NOT_TRADABLE and the detail NAMES the restrictions.
AC2 (RED) Eligibility that was never established rejects. 'Not checked' must never read as 'no restrictions' — fail closed (invariant 6).
AC3 A symbol checked and found clean passes.
AC4 (RED) No free slot rejects with NO_SLOT_AVAILABLE, detail gives used/total so an operator can see whether it is contention or misconfiguration.
AC5 (RED) A symbol already held rejects with ALREADY_HOLDING regardless of the direction held — a SHORT trigger on a held LONG is a reversal, not an entry, and is not this story's business.
AC6 (CONTROL) A clean symbol, a free slot and a flat book passes all three. Without this, three checks that rejected everything would satisfy AC1-AC5 perfectly.
AC7 Registration order is symbol_tradable, slot_available, symbol_not_already_held, and the set runs AFTER the four pre-conditions.</t>
        </is>
      </c>
      <c r="V120" s="48" t="inlineStr">
        <is>
          <t>Symbol tradable (re-verified at order time) · slot available · not already held.
DEPENDENCY CORRECTED 2 Sep 2026. Was 'E14-S01, E04'. All seven E04 stories are New, which read literally blocks the whole of E14-S03 behind an epic of data fetchers. Verified against the code instead: every value these three checks read is ALREADY on RiskContext — symbol eligibility, slots_total/slots_used, and open_positions. E04 is what POPULATES check 5's input in production, which is runtime wiring, not a build dependency. Same shape as E14-S01's mis-stated E13-S04.
Building the check FIRST is also the safer order: with eligibility unknown the check must fail closed, so until E04 exists the system refuses every unverified symbol rather than trading blind. The reverse order would leave a window where E04's data flows and no gate reads it.
ACCEPTANCE CRITERIA WRITTEN 2 Sep 2026. The story had none — only a Notes line naming the three checks — so DoR R5 could not be satisfied.
CONTRACT CHANGE: RiskContext.symbol_tradable (bool | None) is replaced by symbol_restrictions (tuple[str, ...] | None). Read by nothing yet, so the change is free now and would not be later. Three states instead of a bool-plus-reasons pair: None = never checked (reject), () = checked and clean (pass), non-empty = blocked, and the detail names them. The pair would have made the contradiction 'tradable=True, restrictions=(BAN,)' representable with nothing to catch it.
THE CONTRACT E04 MUST MEET: the field carries only restrictions that BLOCK trading. Which surveillance flags qualify is E04's decision, made where the data is. ASSUMPTION RECORDED, unverified here because the design deliberately does not depend on it: for an INTRADAY equity system, T2T and higher GSM stages make intraday impossible, and ASM stages demanding 100% margin remove the leverage the sizing assumes. E04 must verify that against NSE's current circulars before choosing labels.
DELIVERED 2 Sep 2026 (/sdlc). checks/eligibility.py, 3 checks, ELIGIBILITY_ORDER. 38 unit tests (one class per AC), 8 seam tests, 25 containment tests. Mutation 16/16. eligibility.py and context.py both at 100% coverage; overall 82%, missed statements unchanged at 866 despite +54 new.
THREE SECURITY FINDINGS IN MY OWN NEW CODE, all from the same root — see QA-SEC-30/31/32. The first was log forgery for the THIRD time, which is what moved the fix from the source to CheckOutcome, where details are constructed.</t>
        </is>
      </c>
      <c r="W120" s="49" t="n"/>
    </row>
    <row r="121" ht="30" customHeight="1" s="59">
      <c r="A121" s="38" t="inlineStr">
        <is>
          <t>E14-S04</t>
        </is>
      </c>
      <c r="B121" s="39" t="inlineStr">
        <is>
          <t>E14</t>
        </is>
      </c>
      <c r="C121" s="40" t="inlineStr">
        <is>
          <t>RISK ENGINE</t>
        </is>
      </c>
      <c r="D121" s="40" t="inlineStr">
        <is>
          <t>Portfolio exposure checks (8–10)</t>
        </is>
      </c>
      <c r="E121" s="48" t="inlineStr">
        <is>
          <t>QA-Success</t>
        </is>
      </c>
      <c r="F121" s="41" t="inlineStr">
        <is>
          <t>P0</t>
        </is>
      </c>
      <c r="G121" s="39" t="inlineStr">
        <is>
          <t>5</t>
        </is>
      </c>
      <c r="H121" s="51" t="inlineStr">
        <is>
          <t>Safety-critical</t>
        </is>
      </c>
      <c r="I121" s="39" t="inlineStr">
        <is>
          <t>FEAT</t>
        </is>
      </c>
      <c r="J121" s="43" t="n">
        <v>2</v>
      </c>
      <c r="K121" s="40" t="inlineStr">
        <is>
          <t>E14-S01</t>
        </is>
      </c>
      <c r="L121" s="40" t="n"/>
      <c r="M121" s="44" t="n"/>
      <c r="N121" s="45" t="n"/>
      <c r="O121" s="46" t="n"/>
      <c r="P121" s="46" t="n"/>
      <c r="Q121" s="86" t="inlineStr">
        <is>
          <t>100%</t>
        </is>
      </c>
      <c r="R121" s="39" t="n">
        <v>4</v>
      </c>
      <c r="S121" s="48" t="n"/>
      <c r="T121" s="48" t="inlineStr">
        <is>
          <t>1. Correlation guard — reject N correlated names
2. Rolling correlation matrix over the watchlist
3. Sector exposure cap
4. Net directional exposure cap</t>
        </is>
      </c>
      <c r="U121" s="48" t="inlineStr">
        <is>
          <t>AC1 (RED) A candidate correlated to max_correlated_positions open positions rejects with CORRELATION_LIMIT; the detail names which symbols.
AC2 (RED) A held position with NO correlation entry rejects. Unknown correlation is not 'uncorrelated' — fail closed (invariant 6).
AC3 An empty book clears the correlation guard vacuously.
AC4 (RED) Sector exposure already at or above max_sector_exposure_pct rejects with SECTOR_EXPOSURE_LIMIT; the detail gives current vs cap.
AC5 (RED) An unknown sector — on the CANDIDATE or on ANY open position — rejects. A None sector must never contribute silently as zero.
AC6 (RED) Net directional exposure already at or above max_net_directional_exposure_pct rejects with NET_EXPOSURE_LIMIT.
AC7 Longs and shorts net off: equal-notional long and short give zero net exposure, and a hedged book is not treated as a directional one.
AC8 (CONTROL) A flat book, and a diversified book below every cap, pass all three. Three checks that rejected everything would satisfy AC1-AC7.
AC9 Order is correlation, sector, net_exposure, running AFTER eligibility.
AC10 (RED) The original criterion, end to end: four PSU banks cannot occupy four slots.</t>
        </is>
      </c>
      <c r="V121" s="48" t="inlineStr">
        <is>
          <t>ACCEPTANCE CRITERIA WRITTEN 2 Sep 2026. The story had one bullet ('four PSU banks cannot occupy four slots') for three checks, so DoR R5 could not be satisfied. That bullet is kept as AC10 because it is the best statement of intent in the row.
BUILD CONCERN ANSWERED (window and return frequency). Correlation is computed from DAILY LOG RETURNS over 60 TRADING SESSIONS, recomputed pre-market and never intraday.
  * Daily, not intraday: correlation estimated from high-frequency sampling of two separately-traded names is biased toward zero because their prints are not synchronous (the Epps effect). An intraday estimate would systematically UNDERSTATE how alike two PSU banks are, which is the exact failure this check exists to prevent.
  * 60 sessions ~ one quarter: the story's own concern is that a short window flaps and a long one misses regime change. 60 is a judgement, not a derived fact — RECORDED AS AN ASSUMPTION. Revisit if the guard proves either noisy or slow.
  * Recomputed pre-market, not intraday: a correlation that moved during the session would make the same inputs produce different decisions, and the risk pipeline's replayability is structural (RiskContext exists to keep checks pure). The matrix is a snapshot input, like the calendar.
SECTOR IS PRIMARY, CORRELATION SECONDARY — taken from Build Concerns and kept: four PSU banks can show only moderate pairwise correlation and still be one bet.
ARCHITECTURAL GAP FOUND WHILE DESIGNING — see the new story E14-S10. The sector and net-directional caps CANNOT be fully enforced by any component that currently exists or is designed. These checks run BEFORE sizing, so they cannot know the candidate's notional; and LOW_LEVEL_ARCHITECTURE 5.7's sizing formula clamps on position value, slot capital and broker margin — there is no sector clamp and no net-directional clamp. So this story delivers the gate that refuses when the book is ALREADY at a cap, and E14-S10 makes the caps binding.
OUT OF SCOPE: feeding the matrix from the bar repository each morning (runtime wiring, belongs with the pre-market pipeline); position sizing; sector classification data itself (instruments.sector already exists as a nullable column, and AC5 makes 'unclassified' a rejection rather than a silent zero).
DELIVERED 2 Sep 2026 (/sdlc). checks/exposure.py (3 checks) plus risk/correlation.py (the matrix, task 2) as a pure function. 46 unit tests + 25 correlation tests (2 property-based), 11 seam tests, 11 new security tests. Mutation 19/20 with one VERIFIED-BENIGN survivor. exposure.py, correlation.py and context.py all at 100% coverage; overall 82%, missed statements unchanged at 866 despite +132 new.
CONFIG ADDED: risk.portfolio.correlation_threshold (0.7). max_correlated_positions existed with no companion threshold — the COUNT of correlated names was configurable and the DEFINITION of correlated was not. StrategyValidationConfig.max_correlation_to_active looks like it would serve and must not: that is about whether a new STRATEGY duplicates an active one in the overfitting gauntlet. Sharing one number would couple a portfolio limit to a research limit.</t>
        </is>
      </c>
      <c r="W121" s="49" t="n"/>
      <c r="X121" s="75" t="inlineStr">
        <is>
          <t>Over which window and which return frequency? Intraday correlation is unstable — a short window flaps, a long one misses regime change. Correlation is also not the only linkage: four PSU banks can show only moderate correlation and still be one bet. Make the SECTOR cap the primary control and correlation the secondary one.</t>
        </is>
      </c>
    </row>
    <row r="122" ht="30" customHeight="1" s="59">
      <c r="A122" s="38" t="inlineStr">
        <is>
          <t>E14-S05</t>
        </is>
      </c>
      <c r="B122" s="39" t="inlineStr">
        <is>
          <t>E14</t>
        </is>
      </c>
      <c r="C122" s="40" t="inlineStr">
        <is>
          <t>RISK ENGINE</t>
        </is>
      </c>
      <c r="D122" s="40" t="inlineStr">
        <is>
          <t>Loss limit checks (11–12)</t>
        </is>
      </c>
      <c r="E122" s="48" t="inlineStr">
        <is>
          <t>QA-Success</t>
        </is>
      </c>
      <c r="F122" s="41" t="inlineStr">
        <is>
          <t>P0</t>
        </is>
      </c>
      <c r="G122" s="39" t="inlineStr">
        <is>
          <t>5</t>
        </is>
      </c>
      <c r="H122" s="51" t="inlineStr">
        <is>
          <t>Safety-critical</t>
        </is>
      </c>
      <c r="I122" s="39" t="inlineStr">
        <is>
          <t>FEAT</t>
        </is>
      </c>
      <c r="J122" s="43" t="n">
        <v>1</v>
      </c>
      <c r="K122" s="40" t="inlineStr">
        <is>
          <t>E14-S01</t>
        </is>
      </c>
      <c r="L122" s="40" t="n"/>
      <c r="M122" s="44" t="n"/>
      <c r="N122" s="45" t="n"/>
      <c r="O122" s="46" t="n"/>
      <c r="P122" s="46" t="n"/>
      <c r="Q122" s="86" t="inlineStr">
        <is>
          <t>100%</t>
        </is>
      </c>
      <c r="R122" s="48" t="n">
        <v>4</v>
      </c>
      <c r="S122" s="48" t="n"/>
      <c r="T122" s="48" t="inlineStr">
        <is>
          <t>1. check_daily_loss — realised loss against max_daily_loss_pct of capital
2. check_consecutive_loss — streak against consecutive_loss_halt
3. The LATCH both read, so a halt does not clear itself
4. build_loss_checks factory + LOSS_ORDER, running after exposure</t>
        </is>
      </c>
      <c r="U122" s="48" t="inlineStr">
        <is>
          <t>AC1 (RED) A realised loss at or beyond max_daily_loss_pct of capital rejects with DAILY_LOSS_LIMIT.
AC2 (RED) A PROFIT of the same magnitude does NOT reject. A sign inversion here would halt on good days and trade freely on bad ones — the worst possible direction to be wrong in.
AC3 (RED) Once breached, a later partial RECOVERY does not resume trading. LOW_LEVEL_ARCHITECTURE 8.1: 'HALTED is terminal for the day and is only exited by explicit operator action. There is no automatic un-halt.'
AC4 (RED) consecutive_losses at or beyond consecutive_loss_halt rejects with CONSECUTIVE_LOSS_LIMIT.
AC5 (RED) The consecutive halt likewise does not clear itself when a later trade closes profitably and resets the counter to zero.
AC6 (CONTROL) A flat or profitable day with no loss streak passes both. Two checks that rejected everything would satisfy AC1-AC5 perfectly.
AC7 The threshold is computed from CONFIGURED capital, so the limit does not shrink as the day loses — 3% means the same rupees at 15:00 as at 09:20.
AC8 Order is daily_loss, consecutive_loss, running AFTER exposure.
AC9 Each detail gives the actual figure against the limit, because 'daily loss limit' without the number is not something an operator can act on.</t>
        </is>
      </c>
      <c r="V122" s="48" t="inlineStr">
        <is>
          <t>Daily loss limit → halt · consecutive loss limit → halt.
ACCEPTANCE CRITERIA WRITTEN 3 Sep 2026. The story had none — only a Notes line naming the two checks — so DoR R5 could not be satisfied.
THE FINDING THAT SHAPES THIS STORY: a check that is a pure predicate over realised_pnl_today AUTO-UN-HALTS, and that contradicts the architecture outright.
  Trip the 3% daily limit. Open positions are still on — they must be, because a loss limit trips precisely when you are holding losers. One closes at a profit. realised_pnl_today rises back above the threshold, the predicate passes, and trading silently resumes.
  consecutive_losses has the identical hole from the other side: the counter resets to 0 on any winning close, so a single profitable exit clears a halt that three losses caused.
  LOW_LEVEL_ARCHITECTURE 8.1 is explicit: 'HALTED is terminal for the day and is only exited by explicit operator action. There is no automatic un-halt — if a risk limit tripped, a human decides whether resuming is appropriate.' A pure predicate cannot express 'terminal'.
DESIGN: each check rejects if EITHER the live figure breaches OR a latch is set. Neither half is sufficient alone — the live figure auto-un-halts, and the latch alone has a window between the breach and the latch being written. Together they fail closed in both.
  SCOPE: this story READS the latches; SETTING and persisting them is E14-S09, exactly as check 1 reads kill_switch_active while E14-S09 owns arming it. Two separate latch fields rather than one shared 'halted' flag, so the reason code stays exact — SIT-001 is the standing lesson on what conflating two causes into one code costs an operator.
CAPITAL IS THE CONFIGURED BASE, not a live balance (system.yaml capital: 500000). So 3% is a fixed rupee threshold rather than one that shrinks as the day loses, which is what makes the limit reasonable about and testable.
EXITS ARE NOT AFFECTED. LOW_LEVEL_ARCHITECTURE 1136 and 1373 both say the breach halts NEW ENTRIES and the operator decides on existing positions. RiskEngine.evaluate only ever sees a Recommendation, which is an entry candidate, so this is structural rather than something these checks have to remember — but it is worth stating, because a loss limit that blocked square-off would strand losing positions overnight.
OUT OF SCOPE: arming/persisting the latches (E14-S09), the session state machine, unrealised P&amp;L. The field is realised_pnl_today by name and by intent; whether the limit should also consider mark-to-market is a real question and a separate one — recorded, not silently decided here.
DELIVERED 3 Sep 2026 (/sdlc). checks/loss.py, 2 checks + 2 latch fields on RiskContext. 38 unit tests, 8 seam tests, 11 new security tests. Mutation 14/14. loss.py and context.py at 100%; overall coverage 82% -&gt; 83%.
CONTEXT HARDENED (QA-SEC-35/36): no Decimal field may be NaN or an infinity, and consecutive_losses may not be negative. Both rejected at CONSTRUCTION and derived from dataclasses.fields, so the guard covers fields no check reads yet.</t>
        </is>
      </c>
      <c r="W122" s="49" t="n"/>
    </row>
    <row r="123" ht="30" customHeight="1" s="59">
      <c r="A123" s="38" t="inlineStr">
        <is>
          <t>E14-S06</t>
        </is>
      </c>
      <c r="B123" s="39" t="inlineStr">
        <is>
          <t>E14</t>
        </is>
      </c>
      <c r="C123" s="40" t="inlineStr">
        <is>
          <t>RISK ENGINE</t>
        </is>
      </c>
      <c r="D123" s="40" t="inlineStr">
        <is>
          <t>Margin and timing checks (13–14)</t>
        </is>
      </c>
      <c r="E123" s="48" t="inlineStr">
        <is>
          <t>QA-Success</t>
        </is>
      </c>
      <c r="F123" s="41" t="inlineStr">
        <is>
          <t>P0</t>
        </is>
      </c>
      <c r="G123" s="39" t="inlineStr">
        <is>
          <t>5</t>
        </is>
      </c>
      <c r="H123" s="51" t="inlineStr">
        <is>
          <t>Safety-critical</t>
        </is>
      </c>
      <c r="I123" s="39" t="inlineStr">
        <is>
          <t>FEAT</t>
        </is>
      </c>
      <c r="J123" s="43" t="n">
        <v>1</v>
      </c>
      <c r="K123" s="40" t="inlineStr">
        <is>
          <t>E02-S07</t>
        </is>
      </c>
      <c r="L123" s="40" t="n"/>
      <c r="M123" s="44" t="n"/>
      <c r="N123" s="45" t="n"/>
      <c r="O123" s="46" t="n"/>
      <c r="P123" s="46" t="n"/>
      <c r="Q123" s="86" t="inlineStr">
        <is>
          <t>100%</t>
        </is>
      </c>
      <c r="R123" s="48" t="n">
        <v>3</v>
      </c>
      <c r="S123" s="48" t="n"/>
      <c r="T123" s="48" t="inlineStr">
        <is>
          <t>1. check_margin_sufficient — live broker margin, UNKNOWN rejects
2. check_time_to_squareoff — runway before the per-stock deadline
3. build_margin_timing_checks factory + MARGIN_TIMING_ORDER, last in the pipeline</t>
        </is>
      </c>
      <c r="U123" s="48" t="inlineStr">
        <is>
          <t>AC1 (RED) Margin that is UNKNOWN rejects. 'We could not reach the broker' must never become a number — RiskContext's own docstring names this check as the reason available_margin is `| None`.
AC2 (RED) Margin below the cost of a single share rejects with INSUFFICIENT_MARGIN. Sizing cannot rescue an account that cannot afford one unit.
AC3 Margin comfortably above passes.
AC4 (RED) An unknown margin_per_share rejects. Affordability is a ratio; without the denominator there is no answer, and 'no answer' is not 'yes'.
AC5 (RED) A non-positive margin_per_share is refused at CONSTRUCTION. The sizer divides by it, so zero is a crash and negative is a negative quantity — neither may be representable.
AC6 (RED) Less runway than configured before the per-stock square-off deadline rejects with TOO_CLOSE_TO_SQUAREOFF.
AC7 (RED) A deadline already PASSED rejects. Negative runway is not 'plenty of time', and a naive &gt;= comparison happens to handle it — which is exactly why it needs its own test rather than being assumed.
AC8 Ample runway passes.
AC9 (CONTROL) Known margin, an affordable share and ample runway pass both. Two checks that rejected everything would satisfy AC1-AC8.
AC10 Order is margin then timing, per LOW_LEVEL_ARCHITECTURE 5.7, running LAST in the pipeline.</t>
        </is>
      </c>
      <c r="V123" s="48" t="inlineStr">
        <is>
          <t>ACCEPTANCE CRITERIA WRITTEN 4 Sep 2026. The story had two task lines and no criteria, so DoR R5 could not be satisfied.
DEPENDENCY IS REAL AND SATISFIED. Unlike E14-S01/S03/S04, this story's declared dependency (E02-S07, live margin retrieval) is a genuine one and is QA-Success. Recorded because the last three stories each had a mis-stated dependency and it would be wrong to imply that is the norm.
STALENESS IS NOT THIS CHECK'S JOB. E02-S07's margin_for_sizing() RAISES StaleMarginError on a snapshot older than the TTL, closing the time-of-check/time-of-use gap: available margin falls after every fill, so a snapshot taken before the previous entry can authorise a position the account cannot carry. By the time a value reaches RiskContext.available_margin it is therefore FRESH OR ABSENT. This check rejects absent; it does not re-implement the TTL, and duplicating it here would give two places to disagree about how old is too old.
WHAT CHECK 13 CAN AND CANNOT DO. Like the exposure caps, it runs BEFORE sizing, so there is no quantity yet and it cannot verify margin for 'the intended position' as task 1 words it. What it CAN do is refuse when margin is unknown, or when it will not cover a single share — the cheapest possible position. The proportional clamp already exists in LOW_LEVEL_ARCHITECTURE 5.7's sizing formula as `available_margin / margin_per_share`, so unlike the sector and net-directional caps (E14-S10) this limit IS enforced once E14-S07 lands. No new story needed.
NEW CONFIG: risk.min_minutes_to_squareoff (default 30). There was no setting for it. exit_buffer_minutes (5) is a different thing entirely — it is already subtracted when the deadline is computed, so it protects against the BROKER's forced square-off, not against entering a trade with no time to work.
  THE NUMBER IS A JUDGEMENT, recorded as an assumption. 30 minutes is two bars of the slowest supported interval (15m), which is thin — a 15-minute strategy arguably wants 45 — and generous for a 1-minute one. The effective interval is adaptive (LatencyProfiler) and not known at check time, so a single configured floor is the honest mechanism. Revisit if the system settles on one timeframe.
  IT IS NOT REDUNDANT with the 15:00-15:30 no-trade window. A CAS stock's deadline is 15:10 minus the 5-minute buffer = 15:05, so at 14:59 — still inside the tradable window — the runway is six minutes. The window says 'we are near the close'; this says 'this particular trade has no time'.
OUT OF SCOPE: the sizing clamp itself (E14-S07), the margin fetch and its TTL (E02-S07, done), and per-stock deadline computation (E00-S06's MarketCalendar.squareoff_deadline, done — this check reads the value).
DELIVERED 4 Sep 2026 (/sdlc). checks/margin_timing.py, 2 checks plus all_check_ids(). 40 unit tests, 9 seam tests, 8 new security tests. Mutation 15/15. margin_timing.py and context.py at 100%; overall 83%.
**THE FOURTEEN RISK CHECKS ARE NOW COMPLETE** and a real pipeline trigger clears all of them. It is still not APPROVED: there is no sizer, so the engine refuses with RISK_ENGINE_FAULT rather than defaulting a quantity. E14-S07 is what turns fourteen passes into an order.
CONFIG ADDED: risk.min_minutes_to_squareoff (30).
QA-SEC-37 found and fixed: a square-off deadline on another day disabled the runway gate entirely.</t>
        </is>
      </c>
      <c r="W123" s="49" t="n"/>
    </row>
    <row r="124" ht="30" customHeight="1" s="59">
      <c r="A124" s="38" t="inlineStr">
        <is>
          <t>E14-S07</t>
        </is>
      </c>
      <c r="B124" s="39" t="inlineStr">
        <is>
          <t>E14</t>
        </is>
      </c>
      <c r="C124" s="40" t="inlineStr">
        <is>
          <t>RISK ENGINE</t>
        </is>
      </c>
      <c r="D124" s="40" t="inlineStr">
        <is>
          <t>ATR-based position sizing</t>
        </is>
      </c>
      <c r="E124" s="48" t="inlineStr">
        <is>
          <t>QA-Success</t>
        </is>
      </c>
      <c r="F124" s="41" t="inlineStr">
        <is>
          <t>P0</t>
        </is>
      </c>
      <c r="G124" s="39" t="inlineStr">
        <is>
          <t>5</t>
        </is>
      </c>
      <c r="H124" s="51" t="inlineStr">
        <is>
          <t>Safety-critical</t>
        </is>
      </c>
      <c r="I124" s="39" t="inlineStr">
        <is>
          <t>FEAT</t>
        </is>
      </c>
      <c r="J124" s="43" t="n">
        <v>2.5</v>
      </c>
      <c r="K124" s="40" t="inlineStr">
        <is>
          <t>E14-S06</t>
        </is>
      </c>
      <c r="L124" s="40" t="n"/>
      <c r="M124" s="44" t="n"/>
      <c r="N124" s="45" t="n"/>
      <c r="O124" s="46" t="n"/>
      <c r="P124" s="46" t="n"/>
      <c r="Q124" s="86" t="inlineStr">
        <is>
          <t>100%</t>
        </is>
      </c>
      <c r="R124" s="39" t="n">
        <v>7</v>
      </c>
      <c r="S124" s="48" t="inlineStr">
        <is>
          <t>As a trader, I want position size derived from volatility and risk budget, so that every trade risks the same rupee amount regardless of the stock's price.</t>
        </is>
      </c>
      <c r="T124" s="48" t="inlineStr">
        <is>
          <t>1. `risk_amount = capital × risk_pct`
2. `stop_distance = ATR × multiplier`
3. `raw_qty = risk_amount / stop_distance`
4. Apply clamps: position cap, slot cap, margin cap
5. Round down to lot size
6. Record which clamp bound the result
7. Reject if quantity rounds to zero</t>
        </is>
      </c>
      <c r="U124" s="48" t="inlineStr">
        <is>
          <t>AC1 (RED) PROPERTY: realised risk never exceeds risk_pct of capital, for any generated input. capital_at_risk = quantity x stop_distance must always be &lt;= capital x risk_pct / 100.
AC2 (RED) A surprisingly small position is explainable from binding_constraint alone — including a ZERO one, which must not be reported as a margin problem when the account has plenty.
AC3 (RED) PROPERTY: quantity always rounds DOWN to a whole lot, never to nearest. Round-to-nearest breaks AC1 on every round-up.
AC4 (RED) A zero quantity REJECTS. It must never place nothing silently, and it must never be reported as an approval with quantity 0.
AC5 (RED) The stop distance comes from ATR x multiplier, NOT from Recommendation.suggested_stop. Invariant 1: the executable stop is computed here, and a Recommendation that could set it would be a sizing field by another name.
AC6 (RED) Unknown ATR rejects; a non-positive ATR is unrepresentable. Stop distance is the divisor, so zero is an infinite quantity.
AC7 Each of the four clamps binds when it should, and names itself: risk_budget, position_cap, slot_cap, margin_cap, lot_rounding.
AC8 The stop is on the correct SIDE of entry — below for LONG, above for SHORT — and the target is target_r_multiple away in the other direction.
AC9 (CONTROL) An ordinary candidate produces a sensible non-zero quantity. A sizer that always returned 0 would satisfy AC1 and AC3 perfectly.
AC10 PROPERTY: sizing is deterministic and pure — same inputs, same SizingResult, no clock and no I/O.</t>
        </is>
      </c>
      <c r="V124" s="48" t="inlineStr">
        <is>
          <t>ACCEPTANCE CRITERIA EXPANDED 4 Sep 2026. The story already had two good ones (the risk property, and the binding constraint) plus a strong Build Concerns note; AC3/AC4 promote that note's two demands into criteria, and the rest cover what the formula touches. Recorded because the previous six stories each had NO criteria — this one was well specified and it would be wrong to imply otherwise.
THE STOP DISTANCE IS ATR-DERIVED, NOT THE STRATEGY'S SUGGESTION. LOW_LEVEL_ARCHITECTURE 5.7: stop_distance = ATR(14) x atr_multiplier_stop. Recommendation.suggested_stop exists and is NOT used for sizing — invariant 1 says the executable stop price is computed downstream, and a Recommendation whose suggested_stop drove the quantity would be carrying a sizing field under a different name. The suggested stop remains useful as a sanity signal; it is not an input here.
FLOOR, NEVER NEAREST — and it is what makes AC1 true. raw_qty = risk_amount / stop_distance, so quantity &lt;= raw_qty implies quantity x stop_distance &lt;= risk_amount. Flooring preserves that; rounding to nearest breaks it on every round-up, by up to one lot's worth of stop distance. The Build Concerns note called this out and it is now a property test rather than a comment.
TICK ROUNDING IS OUT OF SCOPE, AND VERIFIED SAFE. broker/kite/mapping.py round_to_tick() is documented as 'the one used before submission' and needs a Side and the instrument's tick size, neither of which belongs in RiskContext. Verified empirically rather than assumed: it rounds a BUY down and a SELL up, so a LONG's stop (a SELL) moves UP toward entry and a SHORT's stop (a BUY) moves DOWN toward entry. Across 100 sub-tick offsets the snapped stop was never further from entry than the computed one. Submission-time rounding therefore only ever REDUCES realised risk, so AC1's bound survives the order gateway.
NEW CONTEXT FIELD: lot_size (default 1, ge 1). NSE equity is lot size 1; F&amp;O is not. Instrument.lot_size already exists and the DB has a lot_size &gt;= 1 constraint, so this is plumbing an existing fact to where sizing can read it.
NON-POSITIVE ATR IS UNREPRESENTABLE, like margin_per_share. Stop distance is the divisor, so a zero ATR is an infinite quantity and a negative one is a stop on the wrong side of entry. ALTERNATIVE CONSIDERED: let the sizer reject a zero ATR instead, since a genuinely halted stock could measure zero range. Rejected because the only thing that consumes ATR in this path divides by it, so a zero has no valid use here — and check 5 (symbol_tradable) is where a halted name should be filtered.
FOUND WHILE READING THE FRAMEWORK — see E14-S11. RiskEngine._size hardcodes INSUFFICIENT_MARGIN for ANY zero quantity, whichever clamp bound. A zero produced by the position cap or by lot rounding on a well-funded account would be reported as a margin problem, which is the SIT-001 conflation again and directly contradicts this story's AC2. Fixed here rather than deferred, because AC2 cannot pass otherwise: a new RejectReason.POSITION_TOO_SMALL carries the non-margin case.
OUT OF SCOPE: tick rounding (order gateway), the sector and net-directional clamps (E14-S10, which this story unblocks), slot accounting (E14-S08 owns slots_used; this reads capital_per_slot from config), and order placement.
DELIVERED 4 Sep 2026 (/sdlc). execution/sizer.py plus common/text.py. 47 unit tests (5 Hypothesis properties), 11 seam tests, 7 new security tests. Mutation 18/19 with one VERIFIED-BENIGN survivor. sizer.py, text.py and context.py all at 100%; overall 83%.
**THE CHAIN NOW CLOSES.** A Trigger the pipeline produced from real ticks clears all fourteen checks and becomes an APPROVED RiskDecision carrying a quantity and an executable stop. Nothing in this system had produced an approval before this story.
TWO OF MY OWN BUGS, both found by the tests rather than by reading: a stop price could exceed Price's 4 decimal places, and the LOT_ROUNDING label was too eager. And the worked example I wrote was wrong — at a 1,200-rupee entry the POSITION CAP binds at 83 shares, not the risk budget at 246. That is now its own test.
E14-S10 IS UNBLOCKED by this story.</t>
        </is>
      </c>
      <c r="W124" s="49" t="n"/>
      <c r="X124" s="75" t="inlineStr">
        <is>
          <t>Quantity must round DOWN to lot size, never to nearest, or realised risk exceeds the configured percentage on every round-up. A zero quantity must REJECT, not silently place nothing. Both belong in the property test alongside the risk bound.</t>
        </is>
      </c>
    </row>
    <row r="125" ht="30" customHeight="1" s="59">
      <c r="A125" s="38" t="inlineStr">
        <is>
          <t>E14-S08</t>
        </is>
      </c>
      <c r="B125" s="39" t="inlineStr">
        <is>
          <t>E14</t>
        </is>
      </c>
      <c r="C125" s="40" t="inlineStr">
        <is>
          <t>RISK ENGINE</t>
        </is>
      </c>
      <c r="D125" s="40" t="inlineStr">
        <is>
          <t>Slot management</t>
        </is>
      </c>
      <c r="E125" s="40" t="inlineStr">
        <is>
          <t>QA-Success</t>
        </is>
      </c>
      <c r="F125" s="41" t="inlineStr">
        <is>
          <t>P0</t>
        </is>
      </c>
      <c r="G125" s="39" t="inlineStr">
        <is>
          <t>5</t>
        </is>
      </c>
      <c r="H125" s="51" t="inlineStr">
        <is>
          <t>Safety-critical</t>
        </is>
      </c>
      <c r="I125" s="39" t="inlineStr">
        <is>
          <t>FEAT</t>
        </is>
      </c>
      <c r="J125" s="43" t="n">
        <v>1.5</v>
      </c>
      <c r="K125" s="40" t="inlineStr">
        <is>
          <t>E01-S03</t>
        </is>
      </c>
      <c r="L125" s="40" t="n"/>
      <c r="M125" s="44" t="n"/>
      <c r="N125" s="45" t="n"/>
      <c r="O125" s="46" t="n"/>
      <c r="P125" s="46" t="n"/>
      <c r="Q125" s="47" t="n">
        <v>100</v>
      </c>
      <c r="R125" s="39" t="n">
        <v>4</v>
      </c>
      <c r="S125" s="48" t="n"/>
      <c r="T125" s="48" t="inlineStr">
        <is>
          <t>1. Slot allocation with Redis lock + TTL
2. Priority queue when signals exceed free slots (score, then expectancy)
3. Slot recycling on position close
4. Leak detection: slot count vs actual positions</t>
        </is>
      </c>
      <c r="U125" s="48" t="inlineStr">
        <is>
          <t>• 🔴 Concurrent signals cannot over-allocate slots</t>
        </is>
      </c>
      <c r="V125" s="48" t="inlineStr">
        <is>
          <t>DELIVERED 7 Sep 2026, SPLIT. Tasks 1, 3 and 4 delivered as execution/slots.py; task 2 (priority queue) split out as E14-S11 because it is not buildable - see below. WHAT WAS ALREADY THERE, found in Phase 0 and worth recording because the tracker did not say so: PositionRepository.open_position already claimed a slot in one statement, occupied_slots() already existed, and uq_open_slot - a partial unique index on status='OPEN' - was already the guarantee. The story's real content was therefore the COMPONENT THAT COMPOSES them, which did not exist: nothing chose a free index, took the lock, or reconciled the two stores, and RiskContext.slots_total/slots_used were populated by nobody. THE DESIGN: EPIC01 8.4's three layers in order of cost - ask the database which slots are open, take a short-lived Redis lock on a free index, and let uq_open_slot be the guarantee underneath. REJECTED ALTERNATIVE: holding the Redis lock for the life of the position, which the key name lock:slot:{index} invites. Positions live for hours and MAX_TTL_MS is 300 seconds, so such a lock must either expire mid-position - meaningless as a claim while still looking like one - or be renewed by a heartbeat that goes quiet exactly when the process dies. The database row holds the slot; the lock only guards the window between choosing an index and inserting the row. RECONCILIATION reports three categories separately because they have three costs: a leaked lock (self-healing, every lock has a TTL), a stale record (never heals - the hash has no TTL, so the slot reads as occupied for the rest of the session), and a missing record (the dangerous direction - occupancy understated). 40 unit tests plus 13 Docker-gated integration tests. The AC is inherently a race between Redis and Postgres, so it is proved in the integration tier and verified by CI, which pre-pulls both images and runs the full suite.</t>
        </is>
      </c>
      <c r="W125" s="49" t="n"/>
    </row>
    <row r="126" ht="30" customHeight="1" s="59">
      <c r="A126" s="38" t="inlineStr">
        <is>
          <t>E14-S09</t>
        </is>
      </c>
      <c r="B126" s="39" t="inlineStr">
        <is>
          <t>E14</t>
        </is>
      </c>
      <c r="C126" s="40" t="inlineStr">
        <is>
          <t>RISK ENGINE</t>
        </is>
      </c>
      <c r="D126" s="40" t="inlineStr">
        <is>
          <t>Kill switch</t>
        </is>
      </c>
      <c r="E126" s="40" t="inlineStr">
        <is>
          <t>QA-Success</t>
        </is>
      </c>
      <c r="F126" s="41" t="inlineStr">
        <is>
          <t>P0</t>
        </is>
      </c>
      <c r="G126" s="39" t="inlineStr">
        <is>
          <t>5</t>
        </is>
      </c>
      <c r="H126" s="51" t="inlineStr">
        <is>
          <t>Safety-critical</t>
        </is>
      </c>
      <c r="I126" s="39" t="inlineStr">
        <is>
          <t>SEC</t>
        </is>
      </c>
      <c r="J126" s="43" t="n">
        <v>1.5</v>
      </c>
      <c r="K126" s="40" t="inlineStr">
        <is>
          <t>E14-S01</t>
        </is>
      </c>
      <c r="L126" s="40" t="n"/>
      <c r="M126" s="44" t="n"/>
      <c r="N126" s="45" t="n"/>
      <c r="O126" s="46" t="n"/>
      <c r="P126" s="46" t="n"/>
      <c r="Q126" s="47" t="n">
        <v>100</v>
      </c>
      <c r="R126" s="39" t="n">
        <v>5</v>
      </c>
      <c r="S126" s="48" t="n"/>
      <c r="T126" s="48" t="inlineStr">
        <is>
          <t>1. Manual trigger via Telegram and dashboard
2. Auto-triggers: loss limit, broker disconnect, stale feed, AI unavailable, margin shortfall, unknown position
3. Semantics: halts new entries and cancels pending; does NOT auto-liquidate
4. Separate explicit command to close positions
5. Requires human action to un-halt</t>
        </is>
      </c>
      <c r="U126" s="48" t="inlineStr">
        <is>
          <t>• 🔴 Triggered from a phone in under 10 seconds
• 🔴 Open positions are not blindly market-closed</t>
        </is>
      </c>
      <c r="V126" s="48" t="inlineStr">
        <is>
          <t>DELIVERED 8 Sep 2026, SPLIT. execution/halt.py holds the halt controller: tasks 2 (the auto-triggers that have real inputs), 3a (halts new entries) and 5 (human-only un-halt). Tasks 1 and 4 split out as E14-S12 and E14-S13. WHY IT MATTERED: control:killswitch had a reader that FAILS CLOSED and no writer at all, and AUDIT-005 had just made RiskContext's three halt fields mandatory with a comment naming this story as their owner. The largest gap in the audit's own live-failure matrix - 'the kill switch is armed by nothing' - is now closed. THE DESIGN: three separately persisted latches rather than one flag with a reason field. One flag would have been less code and would collapse three rejections into one, so an operator seeing HALTED would read prose to learn whether a loss limit or a manual stop did it - the SIT-001 mistake, and the same reasoning E14-S05 recorded when it chose two latch fields over one. ONLY A HUMAN CLEARS: clear() takes an OperatorAction, which cannot be constructed without a named operator, refuses names like 'system' and 'auto', and requires acknowledging what is being cleared. Construction validates, which is one rung above a runtime check - an automatic un-halt would require code that invents a person, a deliberate act visible in review rather than an omission. THE BUILD CONCERN ('halting must never disable the exit path') is structural: the controller holds a Redis client and nothing else, exposes no method containing close/liquidate/cancel/square, and imports nothing from the repository, broker or sizer paths. Three tests assert each. 42 unit tests + 15 against real Redis. Mutation: 16 injected, 16 killed.</t>
        </is>
      </c>
      <c r="W126" s="49" t="n"/>
      <c r="X126" s="75" t="inlineStr">
        <is>
          <t>'Halts new entries, does NOT auto-liquidate' is correct and unusual — but make sure the SQUARE-OFF TIMER still runs while halted. A kill switch tripped at 14:00 that also stops the exit path leaves positions for the broker to close at 15:20 at whatever price exists. Halting must never disable the exit path.</t>
        </is>
      </c>
    </row>
    <row r="127" ht="30" customHeight="1" s="59">
      <c r="A127" s="38" t="inlineStr">
        <is>
          <t>E15-S01</t>
        </is>
      </c>
      <c r="B127" s="39" t="inlineStr">
        <is>
          <t>E15</t>
        </is>
      </c>
      <c r="C127" s="40" t="inlineStr">
        <is>
          <t>EXECUTION &amp; POSITIONS</t>
        </is>
      </c>
      <c r="D127" s="40" t="inlineStr">
        <is>
          <t>Order gateway</t>
        </is>
      </c>
      <c r="E127" s="40" t="inlineStr">
        <is>
          <t>QA-Success</t>
        </is>
      </c>
      <c r="F127" s="41" t="inlineStr">
        <is>
          <t>P0</t>
        </is>
      </c>
      <c r="G127" s="39" t="inlineStr">
        <is>
          <t>5</t>
        </is>
      </c>
      <c r="H127" s="51" t="inlineStr">
        <is>
          <t>Safety-critical</t>
        </is>
      </c>
      <c r="I127" s="39" t="inlineStr">
        <is>
          <t>FEAT</t>
        </is>
      </c>
      <c r="J127" s="43" t="n">
        <v>2</v>
      </c>
      <c r="K127" s="40" t="inlineStr">
        <is>
          <t>E02-S04, E14-S07</t>
        </is>
      </c>
      <c r="L127" s="40" t="n"/>
      <c r="M127" s="44" t="n"/>
      <c r="N127" s="45" t="n"/>
      <c r="O127" s="46" t="n"/>
      <c r="P127" s="46" t="n"/>
      <c r="Q127" s="47" t="n">
        <v>100</v>
      </c>
      <c r="R127" s="39" t="n">
        <v>5</v>
      </c>
      <c r="S127" s="48" t="n"/>
      <c r="T127" s="48" t="inlineStr">
        <is>
          <t>1. Build `OrderRequest` from `RiskDecision`
2. Attach Algo-ID and market protection
3. Round prices to tick size
4. Single-threaded serialised submission
5. Rate limiter integration</t>
        </is>
      </c>
      <c r="U127" s="48" t="inlineStr">
        <is>
          <t>WRITTEN 8 Sep 2026 — the story shipped with none, and 'build OrderRequest from RiskDecision' is not falsifiable as stated. AC1 (RED) An approved decision becomes exactly one OrderRequest carrying the sizer's quantity, the deterministic client_order_id, the SEBI algo_id and market protection; a decision that is NOT approved produces no order at all. AC2 (RED) The client_order_id satisfies LOW_LEVEL 8.2: the same logical decision always produces the same id, each of the five components changes it, and no two different decisions share one. AC3 Submission is rate-limited, and a refusal never reaches the broker. AC4 (CONTROL) An ordinary approved decision produces exactly one submitted order and returns the broker's id.</t>
        </is>
      </c>
      <c r="V127" s="48" t="inlineStr">
        <is>
          <t>DELIVERED 8 Sep 2026. execution/gateway.py. THE KEYSTONE: until this, an approved RiskDecision could not become an order, which is the single fact every status report in this project has led with. WHAT WAS MISSING AND NOT OBVIOUS: client_order_id was CONSUMED in three places (broker_tag, find_by_client_order_id, AmbiguousOrderError) and GENERATED nowhere. OrderRequest.algo_id was annotated 'attached by the gateway' with no gateway to attach it. THE TICK RESOLVER, this story's recorded loose end, is wired: E02 left KiteTradingAdapter refusing every priced order with NO_TICK_RESOLVER until a resolver was connected. The build concern said the repository 'already holds the per-instrument tick size' - the TABLE does, the REPOSITORY did not: refresh_cache cached only id &lt;-&gt; tradingsymbol. Added a synchronous InstrumentRepository.tick_size that raises rather than defaulting, because 0.05 is right often enough to hide the times it is not. Synchronous deliberately: the adapter's tick_size_for is a plain callable and making it async would change a contract already under test. SCOPE: the gateway does NOT hold the resolver - its entry order is MARKET and carries no price. Holding one would have looked like wiring while being none. The wiring is KiteTradingAdapter(tick_size_for=instruments.tick_size), asserted end to end against a real Postgres with two DIFFERENT tick sizes so a hardcoded constant fails. 30 unit tests + 10 integration. Mutation: 16 injected, 16 killed.</t>
        </is>
      </c>
      <c r="W127" s="49" t="n"/>
      <c r="X127" t="inlineStr">
        <is>
          <t>WIRE THE TICK RESOLVER. KiteTradingAdapter takes a tick_size_for callable and REFUSES any priced order when it is absent - fail-closed, so nothing slips through silently, but it means no LIMIT or SL order can be placed until this gateway connects it to the instrument repository (which already holds the per-instrument tick size from E02-S06's sync).
This is the deliberate loose end left by E02: the repository is in scope here and was not there. Until it is wired, every priced order raises OrderRejectedError with reason_code NO_TICK_RESOLVER.</t>
        </is>
      </c>
    </row>
    <row r="128" ht="30" customHeight="1" s="59">
      <c r="A128" s="38" t="inlineStr">
        <is>
          <t>E15-S02</t>
        </is>
      </c>
      <c r="B128" s="39" t="inlineStr">
        <is>
          <t>E15</t>
        </is>
      </c>
      <c r="C128" s="40" t="inlineStr">
        <is>
          <t>EXECUTION &amp; POSITIONS</t>
        </is>
      </c>
      <c r="D128" s="40" t="inlineStr">
        <is>
          <t>Idempotency</t>
        </is>
      </c>
      <c r="E128" s="40" t="inlineStr">
        <is>
          <t>QA-Success</t>
        </is>
      </c>
      <c r="F128" s="41" t="inlineStr">
        <is>
          <t>P0</t>
        </is>
      </c>
      <c r="G128" s="39" t="inlineStr">
        <is>
          <t>5</t>
        </is>
      </c>
      <c r="H128" s="51" t="inlineStr">
        <is>
          <t>Safety-critical</t>
        </is>
      </c>
      <c r="I128" s="39" t="inlineStr">
        <is>
          <t>SEC</t>
        </is>
      </c>
      <c r="J128" s="43" t="n">
        <v>1</v>
      </c>
      <c r="K128" s="40" t="inlineStr">
        <is>
          <t>E15-S01</t>
        </is>
      </c>
      <c r="L128" s="40" t="n"/>
      <c r="M128" s="44" t="n"/>
      <c r="N128" s="45" t="n"/>
      <c r="O128" s="46" t="n"/>
      <c r="P128" s="46" t="n"/>
      <c r="Q128" s="47" t="n">
        <v>100</v>
      </c>
      <c r="R128" s="39" t="n">
        <v>3</v>
      </c>
      <c r="S128" s="48" t="n"/>
      <c r="T128" s="48" t="inlineStr">
        <is>
          <t>1. `client_order_id = sha256(correlation|symbol|side|intent|date)[:32]`
2. Persist before submission
3. On ambiguous failure: query by client_order_id, never retry</t>
        </is>
      </c>
      <c r="U128" s="48" t="inlineStr">
        <is>
          <t>WRITTEN 10 Sep 2026 BEFORE any code. The story carried ONE criterion ("chaos test: timeout + reconnect produces exactly one order") for two remaining tasks, and that criterion is an outcome of the design rather than a description of it — it cannot be satisfied incrementally, so it cannot guide the build.
AC1 (RED) The intent is recorded BEFORE the broker is called: a row with status SUBMITTING and no broker_order_id. Nothing is persisted for an order that is never sent — an unapproved decision or a rate-limiter refusal leaves no row, because a SUBMITTING row for an order that never existed would send reconciliation looking for it forever.
AC2 (RED) Submitting the SAME decision twice produces exactly ONE broker call. If the first attempt recorded a broker id, that id is returned. If it died between persist and submit, the BROKER is queried by client_order_id and its answer adopted.
AC3 (RED) An ambiguous broker failure NEVER retries. The gateway queries by client_order_id; if the order is there it is adopted; if it is genuinely absent a distinct error says so and the gateway does NOT resubmit on its own initiative.
AC4 After a successful submission the row carries the broker id and is no longer SUBMITTING. A failure to record that does NOT report the order as failed — the order is real, and telling the caller otherwise invites the duplicate this story exists to prevent.
AC5 (CONTROL) An ordinary first submission persists exactly once, calls the broker exactly once, and attaches the broker id exactly once. Without this, a gateway that refused everything would satisfy AC1-AC3.</t>
        </is>
      </c>
      <c r="V128" s="48" t="inlineStr">
        <is>
          <t>DELIVERED 10 Sep 2026. execution/gateway.py.
WHAT SHIPPED: the two-transaction submission rule and query-don't-retry. TX1 records the order as SUBMITTING with a null broker_order_id BEFORE the broker call; TX2 attaches the broker id after. An AmbiguousOrderError is resolved by querying the broker by client_order_id, never by resubmitting.
THE DESIGN DECISION WORTH REVISITING LATER: when the recovery query says the order is genuinely ABSENT, the gateway raises OrderNeverLandedError rather than resubmitting. LOW_LEVEL 8.2 says such an order 'may be resubmitted' - permission, not obligation. Chosen deliberately: if the absence determination is ever wrong (a stale orderbook read, an eventually-consistent response), an automatic retry becomes a second real position, which 8.2 itself calls the most expensive bug possible here. The cost is that a crash between TX1 and the broker call leaves that signal unsendable until reconciliation or an operator acts. A lost signal is cheaper than a duplicate position. WHAT WOULD MAKE THIS WRONG: if reconciliation (E15-S09) turns out not to adopt these rows promptly, the lost-signal cost rises and this should be revisited then.
STRUCTURE OVER DISCIPLINE: the store is a REQUIRED constructor argument. Optional would have meant None silently skips persistence - the shape of defect this codebase keeps finding, where an absent capability reads as a satisfied one. A gateway that cannot record an order cannot be built.
CAPABILITY CHECK PASSED THIS TIME: OrderRepository already exposed exactly insert_submitting / attach_broker_id / find_by_client_order_id, and already documented the two-transaction rule. E15-S01's equivalent check found a gap (tick_size); this one did not, and it was still worth running - the integration test then proved the dict the gateway assembles is one the real Postgres schema accepts, which no double could show.
53 unit + 14 integration (real Postgres) + 4 SIT + 2 security probes. Mutation: 12 injected, 12 killed.</t>
        </is>
      </c>
      <c r="W128" s="49" t="n"/>
      <c r="X128" s="75" t="inlineStr">
        <is>
          <t>The key is sha256(correlation|symbol|side|intent|date) — which is right for idempotency but means a deliberate SECOND entry into the same symbol, same side, same intent, on the same day collides with the first and is silently suppressed. If re-entry after an exit is ever allowed, the key needs a discriminator. Decide now, not after the first suppressed re-entry.</t>
        </is>
      </c>
    </row>
    <row r="129" ht="30" customHeight="1" s="59">
      <c r="A129" s="38" t="inlineStr">
        <is>
          <t>E15-S03</t>
        </is>
      </c>
      <c r="B129" s="39" t="inlineStr">
        <is>
          <t>E15</t>
        </is>
      </c>
      <c r="C129" s="40" t="inlineStr">
        <is>
          <t>EXECUTION &amp; POSITIONS</t>
        </is>
      </c>
      <c r="D129" s="40" t="inlineStr">
        <is>
          <t>Order state machine</t>
        </is>
      </c>
      <c r="E129" s="40" t="inlineStr">
        <is>
          <t>QA-Success</t>
        </is>
      </c>
      <c r="F129" s="41" t="inlineStr">
        <is>
          <t>P0</t>
        </is>
      </c>
      <c r="G129" s="39" t="inlineStr">
        <is>
          <t>5</t>
        </is>
      </c>
      <c r="H129" s="51" t="inlineStr">
        <is>
          <t>Safety-critical</t>
        </is>
      </c>
      <c r="I129" s="39" t="inlineStr">
        <is>
          <t>FEAT</t>
        </is>
      </c>
      <c r="J129" s="43" t="n">
        <v>1.5</v>
      </c>
      <c r="K129" s="40" t="inlineStr">
        <is>
          <t>E15-S01</t>
        </is>
      </c>
      <c r="L129" s="40" t="n"/>
      <c r="M129" s="44" t="n"/>
      <c r="N129" s="45" t="n"/>
      <c r="O129" s="46" t="n"/>
      <c r="P129" s="46" t="n"/>
      <c r="Q129" s="47" t="n">
        <v>100</v>
      </c>
      <c r="R129" s="39" t="n">
        <v>4</v>
      </c>
      <c r="S129" s="48" t="n"/>
      <c r="T129" s="48" t="inlineStr">
        <is>
          <t>1. The transition table: every legal move between OrderStatus members, exhaustive over the enum
2. Reject illegal transitions, naming both states
3. Cross-check the table's notion of 'terminal' against OrderStatus.is_terminal at import
4. Wire the one path that changes status today - the gateway's SUBMITTING -&gt; SUBMITTED</t>
        </is>
      </c>
      <c r="U129" s="48" t="inlineStr">
        <is>
          <t>WRITTEN 10 Sep 2026 BEFORE any code. The story arrived with no tasks and no acceptance criteria at all - the THIRD in E15 to do so (see QA-E15-01 and QA-E15-05). Its whole specification was one sentence: 'full lifecycle per LOW_LEVEL_ARCHITECTURE 8.2 with illegal transitions rejected'.
AC1 (RED) Every transition drawn in 8.2 is legal, and any move not in the table is refused with an error naming BOTH states. A refusal that does not say what it refused is unusable in a 03:00 incident.
AC2 (RED) A terminal status has NO outgoing transition. An order that reached FILLED, CANCELLED or REJECTED cannot be moved to any different state - a FILLED order becoming CANCELLED would erase a position that actually exists.
AC3 (RED) The table is EXHAUSTIVE over OrderStatus, and its notion of terminal agrees with OrderStatus.is_terminal. Both are checked at IMPORT, so a new enum member or a stray edge out of a terminal state fails to load rather than being silently treated as having no legal moves.
AC4 Re-observing the SAME status is not a transition and does not raise. Reconciliation polls every 30 seconds (8.3) and must not error on an order that has not moved.
AC5 (CONTROL) The ordinary lifecycle of this system's actual entry order - PENDING_RISK, APPROVED, SUBMITTING, SUBMITTED, FILLED - is legal end to end. Without this a table that rejected everything would satisfy AC1-AC3.</t>
        </is>
      </c>
      <c r="V129" s="48" t="inlineStr">
        <is>
          <t>DELIVERED 10 Sep 2026. execution/order_state.py.
WHAT SHIPPED: one frozen, READ-ONLY transition table verified at import to be exhaustive over OrderStatus and to agree with OrderStatus.is_terminal - two independent definitions of 'this order is finished' that must not drift. assert_legal refuses anything outside the table and names both states. Terminal states have an EMPTY target set, so a FILLED order cannot become CANCELLED and erase a position that exists in the market.
THE STORY ARRIVED WITH NOTHING: no tasks, no acceptance criteria, one sentence of specification. Third in E15 to do so - see QA-E15-01, QA-E15-05, and now QA-E15-10, which records the pattern rather than the instance.
8.2's DIAGRAM TURNED OUT TO BE THE HAPPY PATH, NOT THE TABLE. Five groups of edge are real and undrawn, the most important being SUBMITTED -&gt; FILLED and OPEN -&gt; FILLED: this system's entry order is a MARKET order and reconciliation polls every 30s, so most fills are OBSERVED complete with no partial ever seen. Requiring PARTIAL would have made the normal case illegal. LOW_LEVEL 8.2 now documents all five with reasons.
TWO EXCLUSIONS ARE DELIBERATE AND WILL LOOK LIKE BUGS: PARTIAL -&gt; OPEN is refused even though Kite reports OPEN for a partially-filled order, because going back discards the knowledge that a fill occurred; PARTIAL -&gt; REJECTED is refused because part of the order already happened.
RESIDUAL UNCERTAINTY, recorded in the code where it bites: whether Kite ever reports a pre-open status AFTER an order has worked could not be established without a live account. The safest branch was taken - backwards moves into SUBMITTED are refused from every later state, because that is the direction that could re-enable submission.
91 unit + 10 seam + 8 gateway-wiring tests. Mutation: 15 injected, 14 killed; the survivor is the verifier's CALL SITE, verified benign - its logic is fully covered by three mutations that all die, and with a correct table the call changes nothing observable. Same shape as the config threshold guard.
SIT RUN 10 Sep 2026 against promoted QA a2aac97 then f87fac7: 143 SIT + seam tests passed, NO SIT DEFECTS. SIT-16 added - a session that restarts onto a store it did not leave, which is the realistic restart rather than a fixture. Five scenarios across a full 316-order day, including the two that carry the weight: a clean store must still trade the WHOLE day (the control - without it a gateway that refused everything passes every other scenario), and a half-poisoned store must trade exactly the clean half, which is what would catch an off-by-one in the refusal.</t>
        </is>
      </c>
      <c r="W129" s="49" t="n"/>
    </row>
    <row r="130" ht="30" customHeight="1" s="59">
      <c r="A130" s="38" t="inlineStr">
        <is>
          <t>E15-S04</t>
        </is>
      </c>
      <c r="B130" s="39" t="inlineStr">
        <is>
          <t>E15</t>
        </is>
      </c>
      <c r="C130" s="40" t="inlineStr">
        <is>
          <t>EXECUTION &amp; POSITIONS</t>
        </is>
      </c>
      <c r="D130" s="40" t="inlineStr">
        <is>
          <t>Protective stop attachment</t>
        </is>
      </c>
      <c r="E130" s="40" t="inlineStr">
        <is>
          <t>QA-Success</t>
        </is>
      </c>
      <c r="F130" s="41" t="inlineStr">
        <is>
          <t>P0</t>
        </is>
      </c>
      <c r="G130" s="39" t="inlineStr">
        <is>
          <t>5</t>
        </is>
      </c>
      <c r="H130" s="51" t="inlineStr">
        <is>
          <t>Safety-critical</t>
        </is>
      </c>
      <c r="I130" s="39" t="inlineStr">
        <is>
          <t>FEAT</t>
        </is>
      </c>
      <c r="J130" s="43" t="n">
        <v>1.5</v>
      </c>
      <c r="K130" s="40" t="inlineStr">
        <is>
          <t>E15-S03</t>
        </is>
      </c>
      <c r="L130" s="40" t="n"/>
      <c r="M130" s="44" t="n"/>
      <c r="N130" s="45" t="n"/>
      <c r="O130" s="46" t="n"/>
      <c r="P130" s="46" t="n"/>
      <c r="Q130" s="47" t="n">
        <v>100</v>
      </c>
      <c r="R130" s="39" t="n">
        <v>4</v>
      </c>
      <c r="S130" s="48" t="inlineStr">
        <is>
          <t>As a trader, I want a stop placed immediately after entry fill, so that no position is ever naked.</t>
        </is>
      </c>
      <c r="T130" s="48" t="inlineStr">
        <is>
          <t>1. Place stop on entry fill confirmation
2. If stop placement fails → close position at market immediately
3. Verify stop is live before considering the position established
4. Alert on any stop failure</t>
        </is>
      </c>
      <c r="U130" s="48" t="inlineStr">
        <is>
          <t>EXPANDED 11 Sep 2026 BEFORE any code. The story had ONE criterion - 'a position without a live stop cannot persist for more than one cycle' - which is the right property and is not buildable as stated: 'one cycle' belongs to the reconciliation loop, which is E15-S09 and does not exist. The criteria below split it into the part that binds NOW (the placement sequence and its failure response) and the part E15-S09 inherits (the predicate it must call).
AC1 (RED) A filled entry gets a protective stop placed immediately: opposite side, full quantity, at the position's stop_price, as SL-M so it cannot fail to fill in a fast move.
AC2 (RED) If the stop cannot be established - refused, ambiguous, or verified not-live - the position is closed at MARKET in the same call, before returning. The emergency close is attempted even when the stop's outcome is UNKNOWN, because an unknown stop is not a stop.
AC3 (RED) The position is not reported established until the stop is verified LIVE at the broker. A stop the broker accepted and does not list counts as not live: acceptance is not liveness.
AC4 (RED) If the emergency close ALSO fails, the session HALTS. A naked position that cannot be closed is not a trade-level problem, and the system must stop opening new ones rather than continue and hope.
AC5 Every stop failure is logged at CRITICAL and counted, so a naked position is visible without querying a database.
AC6 The predicate E15-S09 will call detects a position whose stop was accepted and LATER rejected or cancelled - the asynchronous case the build concern names, which no synchronous check can see.
AC7 (CONTROL) A healthy entry produces exactly ONE stop order, no emergency close, no halt, and reports established. Without this, an implementation that closed every position immediately would satisfy AC2-AC5.</t>
        </is>
      </c>
      <c r="V130" s="48" t="inlineStr">
        <is>
          <t>SCOPE BOUNDARY, written 11 Sep 2026 before starting.
IN: build and submit the protective stop through the gateway (which 5.7 makes the only path to an order); verify it is live; on any failure close at market; on a failed close, halt; the predicate E15-S09 calls; CRITICAL log and metric.
OUT, and each has a home: the FILL-CONFIRMATION TRIGGER that calls this belongs to E15-S05 (position manager); the RECONCILIATION CYCLE that calls the predicate every 30s is E15-S09; ALERT TRANSPORT is E14-S12, which needs credentials; TRAILING stops are E15-S08.
CAPABILITY CHECK, run before designing rather than after: positions has stop_price NOT NULL (BR-1) but NO column for the stop ORDER's id - so nothing records WHICH order protects a position, and the async-rejection case the build concern names would have had nothing to look up. A migration is NOT needed: the stop order's client_order_id is DETERMINISTICALLY derivable from the position's correlation_id via 8.2's hash with intent=STOP, and find_by_client_order_id already exists on both the repository and the broker adapter. Verified by computing both ids and confirming they differ from the entry's.
DELIVERED 11 Sep 2026. execution/protective_stop.py.
THE SEQUENCE: place -&gt; verify -&gt; on any failure exit -&gt; on a failed exit halt. The only way to obtain an EstablishedPosition is to come out of the good end of it, so a caller cannot hold one for an unprotected position - 'is this position safe to keep?' stops being a question anyone has to remember to ask. A contained failure does NOT halt the day; one bad symbol must not stop trading. A failure to EXIT arms HaltReason.NAKED_POSITION, which is a new member rather than the nearest plausible neighbour (UNKNOWN_POSITION means the broker reports a position we have no record of - a different fact).
NO MIGRATION WAS NEEDED, and the capability check is what established that: positions has no column naming the stop order, but the stop's client_order_id is derivable from the position's correlation_id via 8.2's hash with intent=STOP. Reconciliation can therefore find a stop it never saw placed.
THE GATEWAY WAS REFACTORED rather than copied: submit_entry, submit_stop and submit_exit now share one submit(), so the stop inherits idempotency, TX1/TX2 and query-don't-retry. That matters more for a stop than for an entry - two stops on one position is two exits, and the second sells something that no longer exists.
THE TICK RESOLVER BECAME LOAD-BEARING HERE. The entry is MARKET and needs no grid; the stop carries a trigger price, and the adapter refuses every priced order without a resolver. E15-S01 wired and tested it in isolation and nothing in the trading path used it until now. A deployment that forgot the wiring would have rejected every stop - which, before this story, meant a naked position per entry, silently. There is now an integration test for exactly that misconfiguration, and it ends in a closed position rather than a naked one.
A PROPERTY WORTH KNOWING: round_to_tick was written for limit ENTRIES ('never pay more than intended') and happens to mean 'never risk more than budgeted' for stops - it tightens on both sides, never widens. A happy accident, therefore exactly the kind of thing someone later 'fixes', so it is locked down by test.
48 unit + 10 integration (real Postgres). Mutation: 17 injected, 17 killed - after two survivors exposed test defects, both recorded.
SIT (SIT-17, 11 Sep 2026): 11 scenarios, all passing. A day of 316 fills yields 316 live stops and no exits; a day on which every stop is refused ends with nothing open, 316 market exits and the session STILL TRADING (a contained failure must not stop the day - a claim about 316 failures, which no component test makes); a day on which the exits fail too arms NAKED_POSITION and the next session approves nothing, which needs the real halt latch and the real risk engine in one test; a restart re-derives all 316 stop keys and places nothing. SIT-17 also walks is_protected across the book and finds EXACTLY the one stop that was rejected after being verified - the asynchronous case, and the predicate E15-S09 must call.
SIT FOUND ONE DEFECT, SIT-003 (HIGH), fixed in the same session: an order the broker REFUSED was recorded, permanently, as in flight, and its reason code was discarded. Not E15-S04's code - the gateway's - but only reachable in volume through this story, because the protective stop is the first order the broker is ever asked to refuse en masse.</t>
        </is>
      </c>
      <c r="W130" s="49" t="n"/>
      <c r="X130" s="75" t="inlineStr">
        <is>
          <t>The failure mode to test is the stop being ACCEPTED and then rejected asynchronously, which is not the same as a synchronous placement failure. Verify through the reconciliation loop that a position without a live stop is detected within one cycle even when placement appeared to succeed.</t>
        </is>
      </c>
    </row>
    <row r="131" ht="30" customHeight="1" s="59">
      <c r="A131" s="38" t="inlineStr">
        <is>
          <t>E15-S05</t>
        </is>
      </c>
      <c r="B131" s="39" t="inlineStr">
        <is>
          <t>E15</t>
        </is>
      </c>
      <c r="C131" s="40" t="inlineStr">
        <is>
          <t>EXECUTION &amp; POSITIONS</t>
        </is>
      </c>
      <c r="D131" s="40" t="inlineStr">
        <is>
          <t>Position manager</t>
        </is>
      </c>
      <c r="E131" s="40" t="inlineStr">
        <is>
          <t>QA-Success</t>
        </is>
      </c>
      <c r="F131" s="41" t="inlineStr">
        <is>
          <t>P0</t>
        </is>
      </c>
      <c r="G131" s="39" t="inlineStr">
        <is>
          <t>5</t>
        </is>
      </c>
      <c r="H131" s="51" t="inlineStr">
        <is>
          <t>Safety-critical</t>
        </is>
      </c>
      <c r="I131" s="39" t="inlineStr">
        <is>
          <t>FEAT</t>
        </is>
      </c>
      <c r="J131" s="43" t="n">
        <v>2</v>
      </c>
      <c r="K131" s="40" t="inlineStr">
        <is>
          <t>E15-S04</t>
        </is>
      </c>
      <c r="L131" s="40" t="n"/>
      <c r="M131" s="44" t="n"/>
      <c r="N131" s="45" t="n"/>
      <c r="O131" s="46" t="n"/>
      <c r="P131" s="46" t="n"/>
      <c r="Q131" s="47" t="n">
        <v>100</v>
      </c>
      <c r="R131" s="39" t="n">
        <v>4</v>
      </c>
      <c r="S131" s="48" t="inlineStr">
        <is>
          <t>As a trader, I want the system to know exactly what it is holding - opened only from a real fill, protected before it counts as held, and priced continuously - so that every other safety mechanism in the system is reasoning about the actual book rather than the one it intended to have.</t>
        </is>
      </c>
      <c r="T131" s="48" t="inlineStr">
        <is>
          <t>1. Confirm a fill: how much actually filled, at what price, and refuse to call anything else a fill
2. THE FILL-CONFIRMATION TRIGGER that calls ProtectiveStop.attach (inherited from E15-S04; was absent from this task list)
3. Track open positions with live P&amp;L
4. MFE/MAE tracking for the journal - including PERSISTING them, which nothing does today
5. R-multiple computation (largely delivered by E14-S07 on the model; this story exposes it on the book)
6. Position state in Redis for fast reads
7. Confirm the FILL of an emergency exit (inherited from E15-S04: attach proves the exit is live, not that it filled)</t>
        </is>
      </c>
      <c r="U131" s="48" t="inlineStr">
        <is>
          <t>AC1 (RED) A position is opened for the quantity that FILLED at the price it filled, never the quantity ordered. An entry of 100 that fills 40 opens a position of 40; an entry that fills 0 opens nothing. Falsifiable: assert quantity and entry_price against filled_quantity and average_price.
AC2 (RED) Nothing enters the book as protected without a verified live stop. When attach raises, no protected position exists and no Redis mirror is written. Falsifiable: the protected variant is constructible ONLY from an EstablishedPosition.
AC3 (RED) A position whose stop could not be established stays tracked until its emergency exit is confirmed FILLED. Falsifiable: after StopNotEstablishedError the book holds it as EXITING naming the exit order; a FILLED exit closes it with realised P&amp;L and clears Redis.
AC4 MFE and MAE are the running extremes of unrealised P&amp;L and never move the wrong way. Falsifiable: property test over generated price sequences - MFE equals the max and MAE the min of unrealised P&amp;L over the sequence - and both survive a round trip through Redis and through Postgres.
AC5 (RED) A position rebuilt from the database is NEVER presumed protected. Falsifiable: restore() yields positions in an UNVERIFIED state and there is no code path from a database row to the protected variant.</t>
        </is>
      </c>
      <c r="V131" s="48" t="inlineStr">
        <is>
          <t>BUSINESS ANALYSIS, 22 Sep 2026. The story arrived with four tasks, no user story and NO ACCEPTANCE CRITERIA at all - on a 'Safety-critical' item. Nothing falsifiable means nothing to sign off against, so Phase 1 wrote them rather than proceeding. The task list was also incomplete against this story's own Build Concerns: the fill-confirmation trigger, which E15-S04 recorded as belonging here and is the single most important thing the story delivers, was not among the four tasks.
WHAT BREAKS IF THIS IS WRONG, which is what set the test depth:
- A fill that never becomes a tracked position is a real position with no stop and no deadline - the naked position E15-S04 exists to prevent, arriving through the front door instead.
- A position built from ORDERED quantity after a partial fill places a stop for more shares than are held. When that stop triggers it sells what is not there, which is a naked SHORT created by the protective mechanism.
- Wrong live P&amp;L makes the daily-loss halt fire late or not at all.
- MFE/MAE only misinform the journal: no money path today, so they are tested as properties rather than as safety.
OUT OF SCOPE, named with owners so the boundary is not re-litigated:
- The 30s reconciliation POLL LOOP - E15-S09. This story delivers mechanisms and predicates; the loop that calls them is that story, exactly as E15-S04 delivered attach and left the loop to S09.
- The square-off TIMER loop and exiting at the deadline - E15-S06. This story COMPUTES and stores squareoff_deadline because the column is NOT NULL and the position cannot be constructed without it; it does not act on it.
- Exit precedence - E15-S07. Trailing stops and partial exits - E15-S08. Simulated broker - E15-S10.
FOUND WHILE READING, and it makes task 4 real work rather than a field assignment: PositionRepository._position_to_dict does not return max_favourable_excursion or max_adverse_excursion, and close_position does not write them. The columns have existed since the first migration. So MFE/MAE are today written by nothing and read by nothing - the same shape as the two exposure caps that sat in system.yaml binding on nothing, and as SUBMIT_FAILED being modelled and unreachable. A story that just computed them in memory would have looked complete and persisted nothing.
DELIVERED 22 Sep 2026. execution/positions.py.
THE THREE STATES ARE TYPES, NOT A FLAG. ProtectedPosition holds an EstablishedPosition, ExitingPosition holds a live market exit awaiting its fill, UnverifiedPosition is what a restart produces. A boolean would have read identically and permitted the one state this module exists to prevent: a position called protected because a field said so. A flag can be set; an EstablishedPosition can only be obtained, and only from the good end of ProtectiveStop.attach.
THE TRIGGER E15-S04 RECORDED NOW EXISTS. open_from_fill is the fill-confirmation path that calls attach; until this story nothing did, and the protective stop was built and unwired.
FILLED_QUANTITY, NEVER STATUS. Kite reports OPEN for a partially filled order and PARTIAL -&gt; CANCELLED is legal and real (a partly filled order cancelled at square-off). A status-driven implementation opens nothing for the cancelled case and a FULL-SIZE position for the partial - and a full-size position gets a full-size stop, which sells shares that do not exist when it triggers. That is a protective mechanism creating a naked short, and it is why AC1 is the first criterion.
A FILL CAN LAND THROUGH ITS OWN STOP, and nothing had modelled it. A long that fills at or below its approved stop cannot be expressed as a Position at all - the model refuses it - so a naive version meets a Pydantic ValidationError while holding live stock. It is now exited at market through ProtectiveStop.exit_now, which is why gateway.Closable exists: build_exit only ever read four fields, and widening to them lets the dangerous holding be exited instead of raising.
NOTHING IS PERSISTED FOR THAT CASE, deliberately: a positions row claiming a stop that is not on the protective side of entry would be a false record. The exit ORDER row carries the same correlation_id.
ORDER OF OPERATIONS: the row is written BEFORE the stop is attached. Die after the insert and reconciliation finds a position with no stop and exits one position; die after attaching with no row and the broker holds a position we have no record of, which 8.3 says trips the kill switch. Losing a trade beats losing the day.
43 unit (2 property-based) + 13 integration (real Postgres, real Redis). Mutation: 24 injected, 24 killed.
SIT-004 (MEDIUM, fixed same session): replaying a day's fills after a restart was refused by the uq_open_symbol index and by nothing else, so a normal restart outcome reached the caller as a database integrity error. Positions now get the same three-layer treatment orders already had - cheap check, unique index, reconciliation - and the cheap check answers with PositionAlreadyHeldError. Final mutation score includes M25/M26.
SIT AGAINST THE PROMOTED QA TREE, 24 Sep 2026: QA f7caa6f (DEV ec32630), CI green on both. 163 passed, 0 failed, including all 12 SIT-18 scenarios. Documents/, scripts/tracker and .claude confirmed absent from the QA tree.
THE FIRST TWO RUNS STALLED, and the cause was the harness, not the code: the previous session's stopped SIT run had left two orphaned pytest processes alive for two days in the SAME worktree, and a second pytest writing that worktree's __pycache__ blocked on them - CPU flat, no output. Found by reading the process table instead of re-running, confirmed by the next run passing once they were terminated. Worth knowing because 'the suite hangs in the QA worktree' looked like a defect in the promoted code and was not one.
CORRECTION, 24 Sep 2026 (SIT-007): the stall above was NOT caused by the orphaned processes. It is a hang inside CPython's Windows socketpair emulation, reached when a process creates thousands of event loops, and it recurred in the full suite with no orphans present. The run that passed after the orphans were killed passed by chance. The two stale processes were real and were rightly removed; they were not the cause. Recorded rather than rewritten, because a confirmed-looking wrong diagnosis is the more useful thing to keep.</t>
        </is>
      </c>
      <c r="W131" s="49" t="n"/>
      <c r="X131" t="inlineStr">
        <is>
          <t>CONSTRAINT INHERITED FROM E15-S04 (11 Sep 2026).
1. THIS STORY OWNS THE FILL-CONFIRMATION TRIGGER that calls ProtectiveStop.attach. Until it exists, nothing calls the protective stop and an entry can still fill unprotected - the mechanism is built and unwired.
2. ATTACH VERIFIES THE EXIT IS LIVE, NOT THAT IT FILLED. Confirming the fill of an emergency exit is this story's job; the strongest claim available without a fill feed is 'a live exit exists for the whole position'. Do not read the CRITICAL log line as proof of a flat book.
3. A POSITION IS ONLY ESTABLISHED IF YOU HOLD AN EstablishedPosition. Do not reconstruct one from a database row: the row's stop_price is populated whether or not any order is protecting it.</t>
        </is>
      </c>
    </row>
    <row r="132" ht="30" customHeight="1" s="59">
      <c r="A132" s="38" t="inlineStr">
        <is>
          <t>E15-S06</t>
        </is>
      </c>
      <c r="B132" s="39" t="inlineStr">
        <is>
          <t>E15</t>
        </is>
      </c>
      <c r="C132" s="40" t="inlineStr">
        <is>
          <t>EXECUTION &amp; POSITIONS</t>
        </is>
      </c>
      <c r="D132" s="40" t="inlineStr">
        <is>
          <t>Square-off timer</t>
        </is>
      </c>
      <c r="E132" s="40" t="inlineStr">
        <is>
          <t>New</t>
        </is>
      </c>
      <c r="F132" s="41" t="inlineStr">
        <is>
          <t>P0</t>
        </is>
      </c>
      <c r="G132" s="39" t="inlineStr">
        <is>
          <t>5</t>
        </is>
      </c>
      <c r="H132" s="51" t="inlineStr">
        <is>
          <t>Safety-critical</t>
        </is>
      </c>
      <c r="I132" s="39" t="inlineStr">
        <is>
          <t>FEAT</t>
        </is>
      </c>
      <c r="J132" s="43" t="n">
        <v>1.5</v>
      </c>
      <c r="K132" s="40" t="inlineStr">
        <is>
          <t>E15-S05, E04-S05</t>
        </is>
      </c>
      <c r="L132" s="40" t="n"/>
      <c r="M132" s="44" t="n"/>
      <c r="N132" s="45" t="n"/>
      <c r="O132" s="46" t="n"/>
      <c r="P132" s="46" t="n"/>
      <c r="Q132" s="47" t="n"/>
      <c r="R132" s="39" t="n">
        <v>5</v>
      </c>
      <c r="S132" s="48" t="inlineStr">
        <is>
          <t>As a trader, I want every intraday position closed on my schedule, so that the broker never force-closes at an arbitrary price.</t>
        </is>
      </c>
      <c r="T132" s="48" t="inlineStr">
        <is>
          <t>1. Compute per-stock deadline at position open
2. Store in `timer:squareoff` sorted set
3. Single polling loop for all positions
4. Market order with protection at deadline
5. Alert if a position remains after its deadline</t>
        </is>
      </c>
      <c r="U132" s="48" t="inlineStr">
        <is>
          <t>• 🔴 Property test: our deadline always precedes the broker's, every stock class
• 🔴 No position survives its deadline in a full-session replay</t>
        </is>
      </c>
      <c r="V132" s="48" t="n"/>
      <c r="W132" s="49" t="n"/>
      <c r="X132" s="75" t="inlineStr">
        <is>
          <t>TWO issues. (1) A single polling loop for all positions is a single point of failure at the most time-critical moment of the day — if it dies at 14:00, nothing notices until the broker squares off. Monitor its liveness independently. (2) The market order at the deadline MUST carry market_protection (C9) or Zerodha rejects it — exactly when you cannot afford a rejection.
CONSTRAINT INHERITED FROM E15-S05 (22 Sep 2026).
1. THE DEADLINE IS ALREADY COMPUTED AND STORED at position open, because positions.squareoff_deadline is NOT NULL and the position cannot be constructed without it. This story owns the TIMER LOOP that acts on it, not the computation - do not compute it a second time, and if the two ever disagree the stored one is what the position was opened under.
2. AN EXIT IS NOT DONE WHEN IT IS PLACED. Reuse PositionManager.confirm_exit: it gates on filled_quantity, leaves a partially filled exit open for the remainder, and is the only thing that writes the close. A timer that treated submission as closure would drop positions out of the book while they were still held.
3. PASS YOUR OWN ExitReason (TIME). confirm_exit defaults to UNPROTECTED because E15-S05's only caller is the failed-stop path.
CONSTRAINT INHERITED FROM E15-S09 (24 Sep 2026).
4. THE SQUARE-OFF EXIT SHARES ITS KEY WITH THE RECONCILER'S EMERGENCY EXIT. Both are intent=SQUAREOFF on the same correlation, so the gateway treats a second one as a replay of the first and resumes it rather than placing a new order. That is right while the first is working and wrong once it has been CANCELLED part-filled: the remainder cannot be exited under that key, and the exit path halts instead. Decide whether the timer needs its own intent (ExitReason TIME exists; OrderIntent has no TIME member).
5. CANCEL THE PROTECTIVE STOP BEFORE THE SQUARE-OFF EXIT (E15-S12). A timer exit placed while the stop is still working means two exits for one position; if both fill, our sells outrun our buys and the OVER_EXITED guard halts the day. OrderGateway.cancel now exists for exactly this.</t>
        </is>
      </c>
    </row>
    <row r="133" ht="30" customHeight="1" s="59">
      <c r="A133" s="38" t="inlineStr">
        <is>
          <t>E15-S07</t>
        </is>
      </c>
      <c r="B133" s="39" t="inlineStr">
        <is>
          <t>E15</t>
        </is>
      </c>
      <c r="C133" s="40" t="inlineStr">
        <is>
          <t>EXECUTION &amp; POSITIONS</t>
        </is>
      </c>
      <c r="D133" s="40" t="inlineStr">
        <is>
          <t>Exit precedence</t>
        </is>
      </c>
      <c r="E133" s="40" t="inlineStr">
        <is>
          <t>New</t>
        </is>
      </c>
      <c r="F133" s="41" t="inlineStr">
        <is>
          <t>P0</t>
        </is>
      </c>
      <c r="G133" s="39" t="inlineStr">
        <is>
          <t>5</t>
        </is>
      </c>
      <c r="H133" s="51" t="inlineStr">
        <is>
          <t>Safety-critical</t>
        </is>
      </c>
      <c r="I133" s="39" t="inlineStr">
        <is>
          <t>FEAT</t>
        </is>
      </c>
      <c r="J133" s="43" t="n">
        <v>1</v>
      </c>
      <c r="K133" s="40" t="inlineStr">
        <is>
          <t>E15-S06</t>
        </is>
      </c>
      <c r="L133" s="40" t="n"/>
      <c r="M133" s="44" t="n"/>
      <c r="N133" s="45" t="n"/>
      <c r="O133" s="46" t="n"/>
      <c r="P133" s="46" t="n"/>
      <c r="Q133" s="47" t="n"/>
      <c r="R133" s="39" t="n">
        <v>0</v>
      </c>
      <c r="S133" s="48" t="n"/>
      <c r="T133" s="48" t="n"/>
      <c r="U133" s="48" t="n"/>
      <c r="V133" s="48" t="inlineStr">
        <is>
          <t>Order: kill switch → deadline → stop → target → trailing → thesis invalidation → manual.</t>
        </is>
      </c>
      <c r="W133" s="49" t="n"/>
    </row>
    <row r="134" ht="30" customHeight="1" s="59">
      <c r="A134" s="38" t="inlineStr">
        <is>
          <t>E15-S08</t>
        </is>
      </c>
      <c r="B134" s="39" t="inlineStr">
        <is>
          <t>E15</t>
        </is>
      </c>
      <c r="C134" s="40" t="inlineStr">
        <is>
          <t>EXECUTION &amp; POSITIONS</t>
        </is>
      </c>
      <c r="D134" s="40" t="inlineStr">
        <is>
          <t>Trailing stops and partial exits</t>
        </is>
      </c>
      <c r="E134" s="40" t="inlineStr">
        <is>
          <t>New</t>
        </is>
      </c>
      <c r="F134" s="53" t="inlineStr">
        <is>
          <t>P1</t>
        </is>
      </c>
      <c r="G134" s="39" t="inlineStr">
        <is>
          <t>6</t>
        </is>
      </c>
      <c r="H134" s="50" t="inlineStr">
        <is>
          <t>Correctness-critical</t>
        </is>
      </c>
      <c r="I134" s="39" t="inlineStr">
        <is>
          <t>FEAT</t>
        </is>
      </c>
      <c r="J134" s="43" t="n">
        <v>1.5</v>
      </c>
      <c r="K134" s="40" t="inlineStr">
        <is>
          <t>E15-S05</t>
        </is>
      </c>
      <c r="L134" s="40" t="n"/>
      <c r="M134" s="44" t="n"/>
      <c r="N134" s="45" t="n"/>
      <c r="O134" s="46" t="n"/>
      <c r="P134" s="46" t="n"/>
      <c r="Q134" s="47" t="n"/>
      <c r="R134" s="39" t="n">
        <v>0</v>
      </c>
      <c r="S134" s="48" t="n"/>
      <c r="T134" s="48" t="n"/>
      <c r="U134" s="48" t="n"/>
      <c r="V134" s="48" t="inlineStr">
        <is>
          <t>Activate trailing after N R; partial booking at configured levels.</t>
        </is>
      </c>
      <c r="W134" s="49" t="n"/>
      <c r="X134" t="inlineStr">
        <is>
          <t>CONSTRAINT INHERITED FROM E15-S12 (30 Sep 2026).
1. A PARTIAL stop or exit fill leaves the position HELD at its original quantity - confirm_exit does not reduce it. Reducing the book on a partial exit is this story's.
2. Only FINISHED entries are booked, so a booked position cannot grow today. If this story ever books a working entry, the stop must be resized as it grows, or the later shares have no stop.</t>
        </is>
      </c>
    </row>
    <row r="135" ht="30" customHeight="1" s="59">
      <c r="A135" s="38" t="inlineStr">
        <is>
          <t>E15-S09</t>
        </is>
      </c>
      <c r="B135" s="39" t="inlineStr">
        <is>
          <t>E15</t>
        </is>
      </c>
      <c r="C135" s="40" t="inlineStr">
        <is>
          <t>EXECUTION &amp; POSITIONS</t>
        </is>
      </c>
      <c r="D135" s="40" t="inlineStr">
        <is>
          <t>Reconciliation loop</t>
        </is>
      </c>
      <c r="E135" s="40" t="inlineStr">
        <is>
          <t>QA-Success</t>
        </is>
      </c>
      <c r="F135" s="41" t="inlineStr">
        <is>
          <t>P0</t>
        </is>
      </c>
      <c r="G135" s="39" t="inlineStr">
        <is>
          <t>5</t>
        </is>
      </c>
      <c r="H135" s="51" t="inlineStr">
        <is>
          <t>Safety-critical</t>
        </is>
      </c>
      <c r="I135" s="39" t="inlineStr">
        <is>
          <t>SEC</t>
        </is>
      </c>
      <c r="J135" s="43" t="n">
        <v>2</v>
      </c>
      <c r="K135" s="40" t="inlineStr">
        <is>
          <t>E15-S03</t>
        </is>
      </c>
      <c r="L135" s="40" t="n"/>
      <c r="M135" s="44" t="n"/>
      <c r="N135" s="45" t="n"/>
      <c r="O135" s="46" t="n"/>
      <c r="P135" s="46" t="n"/>
      <c r="Q135" s="47" t="n">
        <v>100</v>
      </c>
      <c r="R135" s="39" t="n">
        <v>5</v>
      </c>
      <c r="S135" s="48" t="inlineStr">
        <is>
          <t>As an operator, I want local state continuously compared against the broker's, so that drift is detected rather than discovered.</t>
        </is>
      </c>
      <c r="T135" s="48" t="inlineStr">
        <is>
          <t>1. Every 30s during market hours, plus on every reconnect
2. Diff orders and positions
3. Broker state wins - through the state machine, consulting filled_quantity
4. RECONCILIATION_DRIFT audit event per difference
5. Unknown position -&gt; kill switch + P0 alert immediately
6. (constraints 4, 5, 8) Every booked position checked for a live stop every cycle; unprotected -&gt; exit at market; UnverifiedPosition resolved from the broker
7. (constraints 6, 7, 10) SUBMITTING rows queried; absent past a grace window -&gt; SUBMIT_FAILED
8. Give fetch_positions an honest type: the protocol promised Position, the Kite adapter returns raw dicts, and nothing noticed</t>
        </is>
      </c>
      <c r="U135" s="48" t="inlineStr">
        <is>
          <t>AC1 (RED) An unknown position - broker MIS quantity that our own orders do not explain - arms the kill switch in the cycle that first observes it.
AC2 (RED) A fill racing the two broker reads never produces a false halt. Positions are read BEFORE the orderbook, so a race can only make our orders explain more than the broker shows, never less.
AC3 (RED) Every booked position is checked for a live stop every cycle. One that is not protected is exited at market, and a failed exit halts - the same path as attach. Protection is never read from the mirror or from a row.
AC4 (RED) An UnverifiedPosition whose stop the broker confirms live becomes ProtectedPosition; one whose stop is absent or dead is exited.
AC5 (RED) Broker status is applied through the state machine: an OPEN report with a partial fill records PARTIAL, and a refused transition records RECONCILE_REQUIRED once - not once per cycle.
AC6 A SUBMITTING order absent at the broker past a grace window becomes SUBMIT_FAILED; inside the window it is left alone; present, it is adopted.
AC7 (RED) A holding our orders explain but the book does not hold is unprotected by definition and is exited. Until E15-S12 books fills, this is every fill - fail closed, and said plainly.
AC8 Every difference emits exactly one RECONCILIATION_DRIFT event whose stage and outcome fit decision_log's columns (String(28), String(12)), proved against the real table; a clean cycle emits none.
AC9 A broker read that fails is never acted on as a partial view. Consecutive failures halt (BROKER_DISCONNECTED) rather than leave open positions unwatched.</t>
        </is>
      </c>
      <c r="V135" s="48" t="inlineStr">
        <is>
          <t>BUSINESS ANALYSIS, 24 Sep 2026.
WHY THIS STORY AND NOT E15-S06: S06 is next by id but depends on E04-S05 (CAS classification), which is New. S09 is the first P0 in sequence with every dependency met, and it closes the gaps S04 and S05 left open on purpose: E15-S04's acceptance criterion is 'only half met' without this loop, and E15-S05 ends a restart with a book whose protection is 'entirely unknown, which is honest and is not safe until this loop exists'.
THE STORY HAD ONE ACCEPTANCE CRITERION and ten recorded constraints. A constraint that is not a criterion cannot be signed off, so Phase 1 wrote nine falsifiable criteria. The constraint list also had two blocks both numbered from 6; renumbered 1-10.
WHAT BREAKS IF THIS IS WRONG: an order placed outside this system - a bug, or someone else - runs unwatched; a stop rejected a second after it was verified leaves a position naked until square-off; a restart leaves every position's protection unknown indefinitely.
OUT OF SCOPE, with owners:
- BOOKING FILLS (entry filled -&gt; open_from_fill; stop or exit filled -&gt; confirm_exit): E15-S12, raised here. open_from_fill needs the approved sizing, slot and CAS flag, and the orders table carries none of them - that is its own design problem. Until it lands, AC7 means the system exits every fill. That is the honest behaviour of a half-built pipeline, not a defect.
- ACTING ON AN UNKNOWN POSITION. It is not ours; it may be the owner's own manual trade. The loop halts and alerts; it does not trade a position it did not open. Deliberate.
- Alert TRANSPORT: E14-S12, needs credentials. End-of-day reconciliation and journal: E15-S11.
FOUND WHILE READING:
- TradingAdapter.fetch_positions is declared '-&gt; list[Position]'. The Kite adapter returns raw dicts, and its own docstring says why that is right: mapping would invent a stop price, correlation id and slot the broker does not have. The protocol and the implementation disagree and no check noticed, so the first consumer - this loop - would have been typed against fields that do not exist.
- decision_log.outcome is String(12). The obvious outcome label, 'UNKNOWN_POSITION', is 16 characters and would fail the audit insert at the exact moment it matters - the decision_log.stage lesson, one column along.
- OrderRepository can write SUBMITTING, SUBMITTED and REJECTED and nothing else. A reconciler needs to write any legal transition.
- open_orders() hardcodes the terminal set as three strings rather than asking OrderStatus.is_terminal: two definitions of one fact.
DELIVERED 24 Sep 2026. execution/reconciliation.py.
READ EVERYTHING, THEN ACT, and never act on a partial view: a failed read does nothing and counts; three in a row halt (BROKER_DISCONNECTED).
UNKNOWN POSITIONS ARE FOUND PER SIDE, NOT BY NET. The two broker reads are separate calls. Read positions first and an ENTRY fill in the gap is harmless, but an EXIT fill makes the broker look like it holds shares nobody ordered, and a net comparison halts the day on its own square-off. Cumulative bought and sold each only grow, so positions-first plus a per-side comparison is race-free in both directions without a second read.
POLICY, STATED SO IT IS A CHOICE: MIS only (CNC/NRML/MTF are the owner's and never halt). ANY unexplained MIS fill halts - including a foreign sale netting against our long, which leaves our stop selling shares that are gone. The owner trading MIS by hand on the same account WILL halt the system. The loop never trades an unknown position, and alerts separately from the halt.
FOUND IN THE CODE BEFORE WRITING ANY: the adapter protocol, the Kite adapter and the design doc gave fetch_positions three different return types; subscribe was declared a coroutine while every implementation is an async iterator. Nothing checked conformance - @runtime_checkable checks names, not signatures. Now type-checked (_conforms in broker/kite/trading.py).
FOUND BY THE PRIMARY SOURCE: Kite keeps positions closed during the day in the net list at quantity 0, and quantity is signed. A reader treating every row as open sees a book full of positions that are not there.
TESTS: 2,239 -&gt; 2,361; coverage 92% -&gt; 93%; 86 reconciler unit + 16 integration (real Postgres, Redis, Kite mapping) + 9 ProtectiveStop unit + 11 SIT-19. Mutation: 38 injected, 38 killed (32/35 on the first run; 3 test gaps closed, then M36-M38 added for SIT-005/006).
SIT AGAINST THE PROMOTED QA TREE, 24 Sep 2026: QA e12a708 (DEV 2f1bc6e), CI green on both. 174 passed, 0 failed, 34 s.
QA-E15-23 (30 Sep 2026, found during E15-S12): a working partial entry that keeps filling after the loop exits it leaves the new shares naked - CRITICAL, fixed in E15-S12. This story's AC7 was met for a fill that no longer changes and missed the one that does.</t>
        </is>
      </c>
      <c r="W135" s="49" t="n"/>
      <c r="X135" s="75" t="inlineStr">
        <is>
          <t>'Broker state wins' is right. The hazard is that the unknown-position path trips the kill switch, which halts ENTRIES — but an unknown position that is real and unprotected needs more than a halt. Make the P0 alert distinguish 'unknown position exists' from 'system halted': they need different human responses within different timeframes.
CONSTRAINT INHERITED FROM E15-S03 (10 Sep 2026), recorded before this story starts rather than discovered as a crash in it.
1. THE RECONCILER MUST NOT MAP BROKER STATUS TO OUR STATUS NAIVELY. Kite's OPEN covers working AND partially-filled orders (broker/kite/mapping.py says so in its own docstring), so a poll of a PARTIAL order reports OPEN, and PARTIAL -&gt; OPEN is ILLEGAL in the transition table. Consult filled_quantity, not status alone. The refusal is deliberate: going back discards the knowledge that a fill occurred.
2. ON ANY REFUSED TRANSITION, RECORD RECONCILE_REQUIRED. It is legal from every non-terminal state and exists for exactly this. Retrying a refused transition every 30 seconds turns a fail-closed guard into a continuous alarm, and an alarm that is always on is not read.
3. BACKWARDS MOVES INTO SUBMITTED ARE REFUSED from OPEN, PARTIAL and RECONCILE_REQUIRED. If a live account shows Kite genuinely reporting a pre-open status after an order has worked, that is new information and the table should be revisited - not worked around at the call site.
CONSTRAINT INHERITED FROM E15-S04 (11 Sep 2026), in addition to the E15-S03 constraints above.
4. THE LOOP MUST CALL ProtectiveStop.is_protected FOR EVERY OPEN POSITION, every cycle. That predicate is the ONLY thing that catches a stop which was accepted, verified live at attach time, and rejected a second later - the asynchronous case E15-S04's build concern names, which no synchronous check can reach. E15-S04 delivers the predicate and deliberately does not deliver the loop; without this the story's acceptance criterion ('cannot persist for more than one cycle') is only half met.
5. AN UNPROTECTED POSITION FOUND BY THE LOOP TAKES THE SAME PATH AS ONE FOUND AT ATTACH TIME: exit at market, and halt if the exit fails. Do not invent a second policy for it.
CONSTRAINT INHERITED FROM SIT-003 (11 Sep 2026).
6. SUBMIT_FAILED IS MODELLED AND NOTHING WRITES IT. order_state.py gives it a legal incoming edge from SUBMITTING and an outgoing edge to RECONCILE_REQUIRED, and no code path in src/ has ever produced it. It belongs to THIS story: a submission that failed in a way the broker did not refuse is exactly what reconciliation has to resolve. SIT-003 fixed the sibling case (an outright rejection now writes REJECTED); do not assume this one was fixed with it.
7. A ROW IN SUBMITTING MEANS WE DO NOT KNOW, AND THAT IS NOW LOAD-BEARING. Since SIT-003 a refusal writes REJECTED, so a SUBMITTING row no longer conflates the refused case with the unknown one. Query it; do not treat it as failed.
CONSTRAINT INHERITED FROM E15-S05 (22 Sep 2026), in addition to the E15-S03 and E15-S04 constraints above.
8. RESTORE PRODUCES UnverifiedPosition, NEVER ProtectedPosition, and there is deliberately no code path from a row to the protected type. Your loop is what resolves it: call ProtectiveStop.is_protected and act on the answer. A restart currently ends with a book whose protection is entirely unknown, which is honest and is not safe until this loop exists.
9. THE REDIS MIRROR IS A CACHE, NOT AN AUTHORITY. PositionSnapshot.protection records what a process believed when it wrote the key. Anything with Redis access can write that key and the value can be stale by a tick. Trusting it is the same defect as reading stop_price off a row, one store along - it launders 'we thought so a moment ago' into 'the broker confirms a live stop'.
10. SUBMIT_FAILED IS STILL MODELLED AND UNREACHABLE (carried forward from SIT-003, which made REJECTED reachable). It belongs to this story's path.</t>
        </is>
      </c>
    </row>
    <row r="136" ht="30" customHeight="1" s="59">
      <c r="A136" s="38" t="inlineStr">
        <is>
          <t>E15-S10</t>
        </is>
      </c>
      <c r="B136" s="39" t="inlineStr">
        <is>
          <t>E15</t>
        </is>
      </c>
      <c r="C136" s="40" t="inlineStr">
        <is>
          <t>EXECUTION &amp; POSITIONS</t>
        </is>
      </c>
      <c r="D136" s="40" t="inlineStr">
        <is>
          <t>Paper trading mode</t>
        </is>
      </c>
      <c r="E136" s="40" t="inlineStr">
        <is>
          <t>New</t>
        </is>
      </c>
      <c r="F136" s="41" t="inlineStr">
        <is>
          <t>P0</t>
        </is>
      </c>
      <c r="G136" s="39" t="inlineStr">
        <is>
          <t>5</t>
        </is>
      </c>
      <c r="H136" s="51" t="inlineStr">
        <is>
          <t>Safety-critical</t>
        </is>
      </c>
      <c r="I136" s="39" t="inlineStr">
        <is>
          <t>FEAT</t>
        </is>
      </c>
      <c r="J136" s="43" t="n">
        <v>1.5</v>
      </c>
      <c r="K136" s="40" t="inlineStr">
        <is>
          <t>E15-S01</t>
        </is>
      </c>
      <c r="L136" s="40" t="n"/>
      <c r="M136" s="44" t="n"/>
      <c r="N136" s="45" t="n"/>
      <c r="O136" s="46" t="n"/>
      <c r="P136" s="46" t="n"/>
      <c r="Q136" s="47" t="n"/>
      <c r="R136" s="39" t="n">
        <v>4</v>
      </c>
      <c r="S136" s="48" t="inlineStr">
        <is>
          <t>As a validator, I want paper trading to use the identical code path, so that what I validate is what will run live.</t>
        </is>
      </c>
      <c r="T136" s="48" t="inlineStr">
        <is>
          <t>1. Simulated broker with realistic fills, rejections, partial fills
2. Same risk engine, same order gateway, same position manager
3. Only the adapter differs
4. Simulated slippage and costs</t>
        </is>
      </c>
      <c r="U136" s="48" t="inlineStr">
        <is>
          <t>• 🔴 Switching paper→live changes exactly one dependency injection</t>
        </is>
      </c>
      <c r="V136" s="48" t="n"/>
      <c r="W136" s="49" t="n"/>
      <c r="X136" s="75" t="inlineStr">
        <is>
          <t>'Switching paper-&gt;live changes exactly one dependency injection' is a strong claim and deserves a STRUCTURAL test, the way the ReadOnlyGuard test works. Otherwise one stray `if mode == PAPER` in the risk path makes every paper result unrepresentative of live.</t>
        </is>
      </c>
    </row>
    <row r="137" ht="30" customHeight="1" s="59">
      <c r="A137" s="38" t="inlineStr">
        <is>
          <t>E15-S11</t>
        </is>
      </c>
      <c r="B137" s="39" t="inlineStr">
        <is>
          <t>E15</t>
        </is>
      </c>
      <c r="C137" s="40" t="inlineStr">
        <is>
          <t>EXECUTION &amp; POSITIONS</t>
        </is>
      </c>
      <c r="D137" s="40" t="inlineStr">
        <is>
          <t>EOD reconciliation and journal</t>
        </is>
      </c>
      <c r="E137" s="40" t="inlineStr">
        <is>
          <t>New</t>
        </is>
      </c>
      <c r="F137" s="41" t="inlineStr">
        <is>
          <t>P0</t>
        </is>
      </c>
      <c r="G137" s="39" t="inlineStr">
        <is>
          <t>5</t>
        </is>
      </c>
      <c r="H137" s="50" t="inlineStr">
        <is>
          <t>Correctness-critical</t>
        </is>
      </c>
      <c r="I137" s="39" t="inlineStr">
        <is>
          <t>FEAT</t>
        </is>
      </c>
      <c r="J137" s="43" t="n">
        <v>1</v>
      </c>
      <c r="K137" s="40" t="inlineStr">
        <is>
          <t>E15-S09</t>
        </is>
      </c>
      <c r="L137" s="40" t="n"/>
      <c r="M137" s="44" t="n"/>
      <c r="N137" s="45" t="n"/>
      <c r="O137" s="46" t="n"/>
      <c r="P137" s="46" t="n"/>
      <c r="Q137" s="47" t="n"/>
      <c r="R137" s="39" t="n">
        <v>0</v>
      </c>
      <c r="S137" s="48" t="n"/>
      <c r="T137" s="48" t="n"/>
      <c r="U137" s="48" t="n"/>
      <c r="V137" s="48" t="inlineStr">
        <is>
          <t>Final reconciliation, journal entries with setup/regime/outcome attribution, daily statistics.</t>
        </is>
      </c>
      <c r="W137" s="49" t="n"/>
    </row>
    <row r="138" ht="30" customHeight="1" s="59">
      <c r="A138" s="38" t="inlineStr">
        <is>
          <t>E16-S01</t>
        </is>
      </c>
      <c r="B138" s="39" t="inlineStr">
        <is>
          <t>E16</t>
        </is>
      </c>
      <c r="C138" s="40" t="inlineStr">
        <is>
          <t>AUTONOMY &amp; APPROVAL</t>
        </is>
      </c>
      <c r="D138" s="40" t="inlineStr">
        <is>
          <t>Autonomy level management</t>
        </is>
      </c>
      <c r="E138" s="40" t="inlineStr">
        <is>
          <t>New</t>
        </is>
      </c>
      <c r="F138" s="41" t="inlineStr">
        <is>
          <t>P0</t>
        </is>
      </c>
      <c r="G138" s="39" t="inlineStr">
        <is>
          <t>5</t>
        </is>
      </c>
      <c r="H138" s="51" t="inlineStr">
        <is>
          <t>Safety-critical</t>
        </is>
      </c>
      <c r="I138" s="39" t="inlineStr">
        <is>
          <t>FEAT</t>
        </is>
      </c>
      <c r="J138" s="43" t="n">
        <v>1</v>
      </c>
      <c r="K138" s="40" t="inlineStr">
        <is>
          <t>E14-S01</t>
        </is>
      </c>
      <c r="L138" s="40" t="n"/>
      <c r="M138" s="44" t="n"/>
      <c r="N138" s="45" t="n"/>
      <c r="O138" s="46" t="n"/>
      <c r="P138" s="46" t="n"/>
      <c r="Q138" s="47" t="n"/>
      <c r="R138" s="39" t="n">
        <v>0</v>
      </c>
      <c r="S138" s="48" t="n"/>
      <c r="T138" s="48" t="n"/>
      <c r="U138" s="48" t="n"/>
      <c r="V138" s="48" t="inlineStr">
        <is>
          <t>L0–L4 levels controlling system behaviour; level change requires re-auth.</t>
        </is>
      </c>
      <c r="W138" s="49" t="n"/>
    </row>
    <row r="139" ht="30" customHeight="1" s="59">
      <c r="A139" s="38" t="inlineStr">
        <is>
          <t>E16-S02</t>
        </is>
      </c>
      <c r="B139" s="39" t="inlineStr">
        <is>
          <t>E16</t>
        </is>
      </c>
      <c r="C139" s="40" t="inlineStr">
        <is>
          <t>AUTONOMY &amp; APPROVAL</t>
        </is>
      </c>
      <c r="D139" s="40" t="inlineStr">
        <is>
          <t>Envelope evaluation</t>
        </is>
      </c>
      <c r="E139" s="40" t="inlineStr">
        <is>
          <t>New</t>
        </is>
      </c>
      <c r="F139" s="41" t="inlineStr">
        <is>
          <t>P0</t>
        </is>
      </c>
      <c r="G139" s="39" t="inlineStr">
        <is>
          <t>5</t>
        </is>
      </c>
      <c r="H139" s="51" t="inlineStr">
        <is>
          <t>Safety-critical</t>
        </is>
      </c>
      <c r="I139" s="39" t="inlineStr">
        <is>
          <t>FEAT</t>
        </is>
      </c>
      <c r="J139" s="43" t="n">
        <v>1.5</v>
      </c>
      <c r="K139" s="40" t="inlineStr">
        <is>
          <t>E16-S01</t>
        </is>
      </c>
      <c r="L139" s="40" t="n"/>
      <c r="M139" s="44" t="n"/>
      <c r="N139" s="45" t="n"/>
      <c r="O139" s="46" t="n"/>
      <c r="P139" s="46" t="n"/>
      <c r="Q139" s="47" t="n"/>
      <c r="R139" s="39" t="n">
        <v>3</v>
      </c>
      <c r="S139" s="48" t="n"/>
      <c r="T139" s="48" t="inlineStr">
        <is>
          <t>1. Evaluate each trade against the autonomy envelope
2. Inside → auto-execute; outside → escalate
3. Record which envelope condition triggered escalation</t>
        </is>
      </c>
      <c r="U139" s="48" t="n"/>
      <c r="V139" s="48" t="n"/>
      <c r="W139" s="49" t="n"/>
    </row>
    <row r="140" ht="30" customHeight="1" s="59">
      <c r="A140" s="38" t="inlineStr">
        <is>
          <t>E16-S03</t>
        </is>
      </c>
      <c r="B140" s="39" t="inlineStr">
        <is>
          <t>E16</t>
        </is>
      </c>
      <c r="C140" s="40" t="inlineStr">
        <is>
          <t>AUTONOMY &amp; APPROVAL</t>
        </is>
      </c>
      <c r="D140" s="40" t="inlineStr">
        <is>
          <t>Escalation and approval flow</t>
        </is>
      </c>
      <c r="E140" s="40" t="inlineStr">
        <is>
          <t>New</t>
        </is>
      </c>
      <c r="F140" s="41" t="inlineStr">
        <is>
          <t>P0</t>
        </is>
      </c>
      <c r="G140" s="39" t="inlineStr">
        <is>
          <t>5</t>
        </is>
      </c>
      <c r="H140" s="51" t="inlineStr">
        <is>
          <t>Safety-critical</t>
        </is>
      </c>
      <c r="I140" s="39" t="inlineStr">
        <is>
          <t>FEAT</t>
        </is>
      </c>
      <c r="J140" s="43" t="n">
        <v>2</v>
      </c>
      <c r="K140" s="40" t="inlineStr">
        <is>
          <t>E16-S02, E19-S03</t>
        </is>
      </c>
      <c r="L140" s="40" t="n"/>
      <c r="M140" s="44" t="n"/>
      <c r="N140" s="45" t="n"/>
      <c r="O140" s="46" t="n"/>
      <c r="P140" s="46" t="n"/>
      <c r="Q140" s="47" t="n"/>
      <c r="R140" s="39" t="n">
        <v>5</v>
      </c>
      <c r="S140" s="48" t="n"/>
      <c r="T140" s="48" t="inlineStr">
        <is>
          <t>1. Send approval request with full context
2. 60-second window
3. Timeout → skip the trade (never auto-approve)
4. Approve/reject handling
5. Audit the decision and who made it</t>
        </is>
      </c>
      <c r="U140" s="48" t="inlineStr">
        <is>
          <t>• 🔴 An unanswered approval request never results in a trade</t>
        </is>
      </c>
      <c r="V140" s="48" t="n"/>
      <c r="W140" s="49" t="n"/>
      <c r="X140" s="75" t="inlineStr">
        <is>
          <t>The 60-second window must start when the message is DELIVERED, not when it is sent. Telegram delivery can lag; a window that expires before you see it makes L3 unusable in practice and will push you to widen the envelope for the wrong reason — to stop the timeouts rather than because the envelope was too tight.</t>
        </is>
      </c>
    </row>
    <row r="141" ht="30" customHeight="1" s="59">
      <c r="A141" s="38" t="inlineStr">
        <is>
          <t>E16-S04</t>
        </is>
      </c>
      <c r="B141" s="39" t="inlineStr">
        <is>
          <t>E16</t>
        </is>
      </c>
      <c r="C141" s="40" t="inlineStr">
        <is>
          <t>AUTONOMY &amp; APPROVAL</t>
        </is>
      </c>
      <c r="D141" s="40" t="inlineStr">
        <is>
          <t>Auto-demotion</t>
        </is>
      </c>
      <c r="E141" s="40" t="inlineStr">
        <is>
          <t>New</t>
        </is>
      </c>
      <c r="F141" s="41" t="inlineStr">
        <is>
          <t>P0</t>
        </is>
      </c>
      <c r="G141" s="39" t="inlineStr">
        <is>
          <t>5</t>
        </is>
      </c>
      <c r="H141" s="51" t="inlineStr">
        <is>
          <t>Safety-critical</t>
        </is>
      </c>
      <c r="I141" s="39" t="inlineStr">
        <is>
          <t>FEAT</t>
        </is>
      </c>
      <c r="J141" s="43" t="n">
        <v>1</v>
      </c>
      <c r="K141" s="40" t="inlineStr">
        <is>
          <t>E16-S01</t>
        </is>
      </c>
      <c r="L141" s="40" t="n"/>
      <c r="M141" s="44" t="n"/>
      <c r="N141" s="45" t="n"/>
      <c r="O141" s="46" t="n"/>
      <c r="P141" s="46" t="n"/>
      <c r="Q141" s="47" t="n"/>
      <c r="R141" s="39" t="n">
        <v>4</v>
      </c>
      <c r="S141" s="48" t="inlineStr">
        <is>
          <t>As a trader, I want the system to ask for more supervision when it is doing badly, so that autonomy is not retained through a losing streak.</t>
        </is>
      </c>
      <c r="T141" s="48" t="inlineStr">
        <is>
          <t>1. Triggers: daily loss %, consecutive losses, AI disagreement rate, 7-day win rate
2. Demote L3 → L2 automatically
3. Alert with the reason
4. Manual re-promotion only</t>
        </is>
      </c>
      <c r="U141" s="48" t="n"/>
      <c r="V141" s="48" t="n"/>
      <c r="W141" s="49" t="n"/>
    </row>
    <row r="142" ht="30" customHeight="1" s="59">
      <c r="A142" s="38" t="inlineStr">
        <is>
          <t>E16-S05</t>
        </is>
      </c>
      <c r="B142" s="39" t="inlineStr">
        <is>
          <t>E16</t>
        </is>
      </c>
      <c r="C142" s="40" t="inlineStr">
        <is>
          <t>AUTONOMY &amp; APPROVAL</t>
        </is>
      </c>
      <c r="D142" s="40" t="inlineStr">
        <is>
          <t>Escalation trigger conditions</t>
        </is>
      </c>
      <c r="E142" s="40" t="inlineStr">
        <is>
          <t>New</t>
        </is>
      </c>
      <c r="F142" s="41" t="inlineStr">
        <is>
          <t>P0</t>
        </is>
      </c>
      <c r="G142" s="39" t="inlineStr">
        <is>
          <t>5</t>
        </is>
      </c>
      <c r="H142" s="50" t="inlineStr">
        <is>
          <t>Correctness-critical</t>
        </is>
      </c>
      <c r="I142" s="39" t="inlineStr">
        <is>
          <t>FEAT</t>
        </is>
      </c>
      <c r="J142" s="43" t="n">
        <v>1</v>
      </c>
      <c r="K142" s="40" t="inlineStr">
        <is>
          <t>E16-S02</t>
        </is>
      </c>
      <c r="L142" s="40" t="n"/>
      <c r="M142" s="44" t="n"/>
      <c r="N142" s="45" t="n"/>
      <c r="O142" s="46" t="n"/>
      <c r="P142" s="46" t="n"/>
      <c r="Q142" s="47" t="n"/>
      <c r="R142" s="39" t="n">
        <v>0</v>
      </c>
      <c r="S142" s="48" t="n"/>
      <c r="T142" s="48" t="n"/>
      <c r="U142" s="48" t="n"/>
      <c r="V142" s="48" t="inlineStr">
        <is>
          <t>News unmatched to thesis · intraday regime change · correlation spike · broker reject streak · reconciliation drift.</t>
        </is>
      </c>
      <c r="W142" s="49" t="n"/>
    </row>
    <row r="143" ht="30" customHeight="1" s="59">
      <c r="A143" s="38" t="inlineStr">
        <is>
          <t>E16-S06</t>
        </is>
      </c>
      <c r="B143" s="39" t="inlineStr">
        <is>
          <t>E16</t>
        </is>
      </c>
      <c r="C143" s="40" t="inlineStr">
        <is>
          <t>AUTONOMY &amp; APPROVAL</t>
        </is>
      </c>
      <c r="D143" s="40" t="inlineStr">
        <is>
          <t>Autonomy audit trail</t>
        </is>
      </c>
      <c r="E143" s="40" t="inlineStr">
        <is>
          <t>New</t>
        </is>
      </c>
      <c r="F143" s="53" t="inlineStr">
        <is>
          <t>P1</t>
        </is>
      </c>
      <c r="G143" s="39" t="inlineStr">
        <is>
          <t>6</t>
        </is>
      </c>
      <c r="H143" s="42" t="inlineStr">
        <is>
          <t>Low</t>
        </is>
      </c>
      <c r="I143" s="39" t="inlineStr">
        <is>
          <t>FEAT</t>
        </is>
      </c>
      <c r="J143" s="43" t="n">
        <v>0.5</v>
      </c>
      <c r="K143" s="40" t="n"/>
      <c r="L143" s="40" t="n"/>
      <c r="M143" s="44" t="n"/>
      <c r="N143" s="45" t="n"/>
      <c r="O143" s="46" t="n"/>
      <c r="P143" s="46" t="n"/>
      <c r="Q143" s="47" t="n"/>
      <c r="R143" s="39" t="n">
        <v>0</v>
      </c>
      <c r="S143" s="48" t="n"/>
      <c r="T143" s="48" t="n"/>
      <c r="U143" s="48" t="n"/>
      <c r="V143" s="48" t="inlineStr">
        <is>
          <t>History of level changes, escalations, approvals, demotions.</t>
        </is>
      </c>
      <c r="W143" s="49" t="n"/>
    </row>
    <row r="144" ht="30" customHeight="1" s="59">
      <c r="A144" s="38" t="inlineStr">
        <is>
          <t>E17-S01</t>
        </is>
      </c>
      <c r="B144" s="39" t="inlineStr">
        <is>
          <t>E17</t>
        </is>
      </c>
      <c r="C144" s="40" t="inlineStr">
        <is>
          <t>DASHBOARD UI</t>
        </is>
      </c>
      <c r="D144" s="40" t="inlineStr">
        <is>
          <t>Application shell and authentication</t>
        </is>
      </c>
      <c r="E144" s="40" t="inlineStr">
        <is>
          <t>New</t>
        </is>
      </c>
      <c r="F144" s="41" t="inlineStr">
        <is>
          <t>P0</t>
        </is>
      </c>
      <c r="G144" s="39" t="inlineStr">
        <is>
          <t>4</t>
        </is>
      </c>
      <c r="H144" s="51" t="inlineStr">
        <is>
          <t>Safety-critical</t>
        </is>
      </c>
      <c r="I144" s="39" t="inlineStr">
        <is>
          <t>SEC</t>
        </is>
      </c>
      <c r="J144" s="43" t="n">
        <v>2</v>
      </c>
      <c r="K144" s="40" t="n"/>
      <c r="L144" s="40" t="n"/>
      <c r="M144" s="44" t="n"/>
      <c r="N144" s="45" t="n"/>
      <c r="O144" s="46" t="n"/>
      <c r="P144" s="46" t="n"/>
      <c r="Q144" s="47" t="n"/>
      <c r="R144" s="39" t="n">
        <v>7</v>
      </c>
      <c r="S144" s="48" t="n"/>
      <c r="T144" s="48" t="inlineStr">
        <is>
          <t>1. FastAPI + Jinja2 + HTMX skeleton
2. Bind to 127.0.0.1 only
3. WebAuthn passkey registration and login
4. TOTP fallback
5. Session management: rotation, HttpOnly/Secure/SameSite=Strict, absolute timeout
6. CSRF token on every mutating request
7. Strict CSP, no external origins, no CDN</t>
        </is>
      </c>
      <c r="U144" s="48" t="inlineStr">
        <is>
          <t>• 🔴 External port scan shows the dashboard closed
• 🔴 No inline scripts; CSP violations logged</t>
        </is>
      </c>
      <c r="V144" s="48" t="n"/>
      <c r="W144" s="49" t="n"/>
      <c r="X144" s="75" t="inlineStr">
        <is>
          <t>ARCHITECTURAL CONFLICT: 'bind to 127.0.0.1 only' is incompatible with reaching the dashboard from a phone, which is how the kill switch (E14-S09, '10 seconds from a phone') and approvals (E16-S03) are meant to work. Decide the access path deliberately — WireGuard, Tailscale or an SSH tunnel — and write it down, because the option that gets chosen under pressure at 14:00 is exposing the port. This is the same network question as E02-S01's callback and E23-S03's egress rules; resolve all three once.</t>
        </is>
      </c>
    </row>
    <row r="145" ht="30" customHeight="1" s="59">
      <c r="A145" s="38" t="inlineStr">
        <is>
          <t>E17-S02</t>
        </is>
      </c>
      <c r="B145" s="39" t="inlineStr">
        <is>
          <t>E17</t>
        </is>
      </c>
      <c r="C145" s="40" t="inlineStr">
        <is>
          <t>DASHBOARD UI</t>
        </is>
      </c>
      <c r="D145" s="40" t="inlineStr">
        <is>
          <t>SSE live update channel</t>
        </is>
      </c>
      <c r="E145" s="40" t="inlineStr">
        <is>
          <t>New</t>
        </is>
      </c>
      <c r="F145" s="41" t="inlineStr">
        <is>
          <t>P0</t>
        </is>
      </c>
      <c r="G145" s="39" t="inlineStr">
        <is>
          <t>4</t>
        </is>
      </c>
      <c r="H145" s="50" t="inlineStr">
        <is>
          <t>Correctness-critical</t>
        </is>
      </c>
      <c r="I145" s="39" t="inlineStr">
        <is>
          <t>FEAT</t>
        </is>
      </c>
      <c r="J145" s="43" t="n">
        <v>1.5</v>
      </c>
      <c r="K145" s="40" t="inlineStr">
        <is>
          <t>E17-S01</t>
        </is>
      </c>
      <c r="L145" s="40" t="n"/>
      <c r="M145" s="44" t="n"/>
      <c r="N145" s="45" t="n"/>
      <c r="O145" s="46" t="n"/>
      <c r="P145" s="46" t="n"/>
      <c r="Q145" s="47" t="n"/>
      <c r="R145" s="39" t="n">
        <v>0</v>
      </c>
      <c r="S145" s="48" t="n"/>
      <c r="T145" s="48" t="n"/>
      <c r="U145" s="48" t="n"/>
      <c r="V145" s="48" t="inlineStr">
        <is>
          <t>Single stream for positions, P&amp;L, health, activity. Auto-reconnect with visible banner. Throttled to 4 Hz.</t>
        </is>
      </c>
      <c r="W145" s="49" t="n"/>
    </row>
    <row r="146" ht="30" customHeight="1" s="59">
      <c r="A146" s="38" t="inlineStr">
        <is>
          <t>E17-S03</t>
        </is>
      </c>
      <c r="B146" s="39" t="inlineStr">
        <is>
          <t>E17</t>
        </is>
      </c>
      <c r="C146" s="40" t="inlineStr">
        <is>
          <t>DASHBOARD UI</t>
        </is>
      </c>
      <c r="D146" s="40" t="inlineStr">
        <is>
          <t>Live dashboard</t>
        </is>
      </c>
      <c r="E146" s="40" t="inlineStr">
        <is>
          <t>New</t>
        </is>
      </c>
      <c r="F146" s="41" t="inlineStr">
        <is>
          <t>P0</t>
        </is>
      </c>
      <c r="G146" s="39" t="inlineStr">
        <is>
          <t>4</t>
        </is>
      </c>
      <c r="H146" s="50" t="inlineStr">
        <is>
          <t>Correctness-critical</t>
        </is>
      </c>
      <c r="I146" s="39" t="inlineStr">
        <is>
          <t>FEAT</t>
        </is>
      </c>
      <c r="J146" s="43" t="n">
        <v>2.5</v>
      </c>
      <c r="K146" s="40" t="inlineStr">
        <is>
          <t>E17-S02</t>
        </is>
      </c>
      <c r="L146" s="40" t="n"/>
      <c r="M146" s="44" t="n"/>
      <c r="N146" s="45" t="n"/>
      <c r="O146" s="46" t="n"/>
      <c r="P146" s="46" t="n"/>
      <c r="Q146" s="47" t="n"/>
      <c r="R146" s="39" t="n">
        <v>8</v>
      </c>
      <c r="S146" s="48" t="n"/>
      <c r="T146" s="48" t="inlineStr">
        <is>
          <t>1. Status bar with mode, autonomy, interval, clock
2. Kill switch always visible, top-right, with confirm
3. Metrics row: P&amp;L, open risk, slots, win/loss, drawdown
4. Positions table with per-stock square-off warning
5. Watchlist with trigger status
6. Market context panel
7. Activity feed showing rejections, not just actions
8. System health panel</t>
        </is>
      </c>
      <c r="U146" s="48" t="inlineStr">
        <is>
          <t>• "Is everything OK?" answerable in under 2 seconds
• Direction never encoded by colour alone (arrow + sign + colour)</t>
        </is>
      </c>
      <c r="V146" s="48" t="n"/>
      <c r="W146" s="49" t="n"/>
      <c r="X146" s="75" t="inlineStr">
        <is>
          <t>A confirm dialog on a phone at speed is exactly where a mis-tap happens. Consider hold-to-confirm rather than a modal, and make sure E14-S09's 10-second requirement is measured INCLUDING the confirmation step, not just the request.</t>
        </is>
      </c>
    </row>
    <row r="147" ht="30" customHeight="1" s="59">
      <c r="A147" s="38" t="inlineStr">
        <is>
          <t>E17-S04</t>
        </is>
      </c>
      <c r="B147" s="39" t="inlineStr">
        <is>
          <t>E17</t>
        </is>
      </c>
      <c r="C147" s="40" t="inlineStr">
        <is>
          <t>DASHBOARD UI</t>
        </is>
      </c>
      <c r="D147" s="40" t="inlineStr">
        <is>
          <t>Chart component</t>
        </is>
      </c>
      <c r="E147" s="40" t="inlineStr">
        <is>
          <t>New</t>
        </is>
      </c>
      <c r="F147" s="41" t="inlineStr">
        <is>
          <t>P0</t>
        </is>
      </c>
      <c r="G147" s="39" t="inlineStr">
        <is>
          <t>4</t>
        </is>
      </c>
      <c r="H147" s="50" t="inlineStr">
        <is>
          <t>Correctness-critical</t>
        </is>
      </c>
      <c r="I147" s="39" t="inlineStr">
        <is>
          <t>FEAT</t>
        </is>
      </c>
      <c r="J147" s="43" t="n">
        <v>2</v>
      </c>
      <c r="K147" s="40" t="inlineStr">
        <is>
          <t>E17-S02</t>
        </is>
      </c>
      <c r="L147" s="40" t="n"/>
      <c r="M147" s="44" t="n"/>
      <c r="N147" s="45" t="n"/>
      <c r="O147" s="46" t="n"/>
      <c r="P147" s="46" t="n"/>
      <c r="Q147" s="47" t="n"/>
      <c r="R147" s="39" t="n">
        <v>6</v>
      </c>
      <c r="S147" s="48" t="n"/>
      <c r="T147" s="48" t="inlineStr">
        <is>
          <t>1. `lightweight-charts` integration, self-hosted
2. Candlestick + volume subplot
3. EMA overlays, opening range band, S/R levels
4. Entry/stop/target markers
5. `series.update()` for streaming — never full re-render
6. Visible stale state when the feed lags</t>
        </is>
      </c>
      <c r="U147" s="48" t="n"/>
      <c r="V147" s="48" t="n"/>
      <c r="W147" s="49" t="n"/>
    </row>
    <row r="148" ht="30" customHeight="1" s="59">
      <c r="A148" s="38" t="inlineStr">
        <is>
          <t>E17-S05</t>
        </is>
      </c>
      <c r="B148" s="39" t="inlineStr">
        <is>
          <t>E17</t>
        </is>
      </c>
      <c r="C148" s="40" t="inlineStr">
        <is>
          <t>DASHBOARD UI</t>
        </is>
      </c>
      <c r="D148" s="40" t="inlineStr">
        <is>
          <t>Symbol detail view</t>
        </is>
      </c>
      <c r="E148" s="40" t="inlineStr">
        <is>
          <t>New</t>
        </is>
      </c>
      <c r="F148" s="53" t="inlineStr">
        <is>
          <t>P1</t>
        </is>
      </c>
      <c r="G148" s="39" t="inlineStr">
        <is>
          <t>4</t>
        </is>
      </c>
      <c r="H148" s="42" t="inlineStr">
        <is>
          <t>Low</t>
        </is>
      </c>
      <c r="I148" s="39" t="inlineStr">
        <is>
          <t>FEAT</t>
        </is>
      </c>
      <c r="J148" s="43" t="n">
        <v>2</v>
      </c>
      <c r="K148" s="40" t="inlineStr">
        <is>
          <t>E17-S04</t>
        </is>
      </c>
      <c r="L148" s="40" t="n"/>
      <c r="M148" s="44" t="n"/>
      <c r="N148" s="45" t="n"/>
      <c r="O148" s="46" t="n"/>
      <c r="P148" s="46" t="n"/>
      <c r="Q148" s="47" t="n"/>
      <c r="R148" s="39" t="n">
        <v>0</v>
      </c>
      <c r="S148" s="48" t="n"/>
      <c r="T148" s="48" t="n"/>
      <c r="U148" s="48" t="n"/>
      <c r="V148" s="48" t="inlineStr">
        <is>
          <t>Chart + multi-timeframe panel + AI assessment + news (with decayed older items) + position panel with manual actions.</t>
        </is>
      </c>
      <c r="W148" s="49" t="n"/>
    </row>
    <row r="149" ht="30" customHeight="1" s="59">
      <c r="A149" s="38" t="inlineStr">
        <is>
          <t>E17-S06</t>
        </is>
      </c>
      <c r="B149" s="39" t="inlineStr">
        <is>
          <t>E17</t>
        </is>
      </c>
      <c r="C149" s="40" t="inlineStr">
        <is>
          <t>DASHBOARD UI</t>
        </is>
      </c>
      <c r="D149" s="40" t="inlineStr">
        <is>
          <t>Daily plan view</t>
        </is>
      </c>
      <c r="E149" s="40" t="inlineStr">
        <is>
          <t>New</t>
        </is>
      </c>
      <c r="F149" s="53" t="inlineStr">
        <is>
          <t>P1</t>
        </is>
      </c>
      <c r="G149" s="39" t="inlineStr">
        <is>
          <t>4</t>
        </is>
      </c>
      <c r="H149" s="42" t="inlineStr">
        <is>
          <t>Low</t>
        </is>
      </c>
      <c r="I149" s="39" t="inlineStr">
        <is>
          <t>FEAT</t>
        </is>
      </c>
      <c r="J149" s="43" t="n">
        <v>1.5</v>
      </c>
      <c r="K149" s="40" t="inlineStr">
        <is>
          <t>E11-S08</t>
        </is>
      </c>
      <c r="L149" s="40" t="n"/>
      <c r="M149" s="44" t="n"/>
      <c r="N149" s="45" t="n"/>
      <c r="O149" s="46" t="n"/>
      <c r="P149" s="46" t="n"/>
      <c r="Q149" s="47" t="n"/>
      <c r="R149" s="39" t="n">
        <v>0</v>
      </c>
      <c r="S149" s="48" t="n"/>
      <c r="T149" s="48" t="n"/>
      <c r="U149" s="48" t="n"/>
      <c r="V149" s="48" t="inlineStr">
        <is>
          <t>Thesis, ranked candidates with score breakdown, expandable playbooks, gap-invalidated candidates kept visible with reason.</t>
        </is>
      </c>
      <c r="W149" s="49" t="n"/>
    </row>
    <row r="150" ht="30" customHeight="1" s="59">
      <c r="A150" s="38" t="inlineStr">
        <is>
          <t>E17-S07</t>
        </is>
      </c>
      <c r="B150" s="39" t="inlineStr">
        <is>
          <t>E17</t>
        </is>
      </c>
      <c r="C150" s="40" t="inlineStr">
        <is>
          <t>DASHBOARD UI</t>
        </is>
      </c>
      <c r="D150" s="40" t="inlineStr">
        <is>
          <t>Positions and orders view</t>
        </is>
      </c>
      <c r="E150" s="40" t="inlineStr">
        <is>
          <t>New</t>
        </is>
      </c>
      <c r="F150" s="53" t="inlineStr">
        <is>
          <t>P1</t>
        </is>
      </c>
      <c r="G150" s="39" t="inlineStr">
        <is>
          <t>4</t>
        </is>
      </c>
      <c r="H150" s="42" t="inlineStr">
        <is>
          <t>Low</t>
        </is>
      </c>
      <c r="I150" s="39" t="inlineStr">
        <is>
          <t>FEAT</t>
        </is>
      </c>
      <c r="J150" s="43" t="n">
        <v>1</v>
      </c>
      <c r="K150" s="40" t="n"/>
      <c r="L150" s="40" t="n"/>
      <c r="M150" s="44" t="n"/>
      <c r="N150" s="45" t="n"/>
      <c r="O150" s="46" t="n"/>
      <c r="P150" s="46" t="n"/>
      <c r="Q150" s="47" t="n"/>
      <c r="R150" s="39" t="n">
        <v>0</v>
      </c>
      <c r="S150" s="48" t="n"/>
      <c r="T150" s="48" t="n"/>
      <c r="U150" s="48" t="n"/>
      <c r="V150" s="48" t="n"/>
      <c r="W150" s="49" t="n"/>
    </row>
    <row r="151" ht="30" customHeight="1" s="59">
      <c r="A151" s="38" t="inlineStr">
        <is>
          <t>E17-S08</t>
        </is>
      </c>
      <c r="B151" s="39" t="inlineStr">
        <is>
          <t>E17</t>
        </is>
      </c>
      <c r="C151" s="40" t="inlineStr">
        <is>
          <t>DASHBOARD UI</t>
        </is>
      </c>
      <c r="D151" s="40" t="inlineStr">
        <is>
          <t>Data visualisation standards</t>
        </is>
      </c>
      <c r="E151" s="40" t="inlineStr">
        <is>
          <t>New</t>
        </is>
      </c>
      <c r="F151" s="53" t="inlineStr">
        <is>
          <t>P1</t>
        </is>
      </c>
      <c r="G151" s="39" t="inlineStr">
        <is>
          <t>6</t>
        </is>
      </c>
      <c r="H151" s="50" t="inlineStr">
        <is>
          <t>Correctness-critical</t>
        </is>
      </c>
      <c r="I151" s="39" t="inlineStr">
        <is>
          <t>FEAT</t>
        </is>
      </c>
      <c r="J151" s="43" t="n">
        <v>1</v>
      </c>
      <c r="K151" s="40" t="n"/>
      <c r="L151" s="40" t="n"/>
      <c r="M151" s="44" t="n"/>
      <c r="N151" s="45" t="n"/>
      <c r="O151" s="46" t="n"/>
      <c r="P151" s="46" t="n"/>
      <c r="Q151" s="47" t="n"/>
      <c r="R151" s="39" t="n">
        <v>5</v>
      </c>
      <c r="S151" s="48" t="n"/>
      <c r="T151" s="48" t="inlineStr">
        <is>
          <t>1. Palette validated for CVD in light and dark
2. Direction never colour-alone — arrow + sign + colour
3. P&amp;L as diverging scale with grey midpoint
4. No dual-axis charts anywhere
5. Status colours reserved, never reused as series colours</t>
        </is>
      </c>
      <c r="U151" s="48" t="n"/>
      <c r="V151" s="48" t="n"/>
      <c r="W151" s="49" t="n"/>
    </row>
    <row r="152" ht="30" customHeight="1" s="59">
      <c r="A152" s="38" t="inlineStr">
        <is>
          <t>E17-S09</t>
        </is>
      </c>
      <c r="B152" s="39" t="inlineStr">
        <is>
          <t>E17</t>
        </is>
      </c>
      <c r="C152" s="40" t="inlineStr">
        <is>
          <t>DASHBOARD UI</t>
        </is>
      </c>
      <c r="D152" s="40" t="inlineStr">
        <is>
          <t>Performance analytics</t>
        </is>
      </c>
      <c r="E152" s="40" t="inlineStr">
        <is>
          <t>New</t>
        </is>
      </c>
      <c r="F152" s="52" t="inlineStr">
        <is>
          <t>P2</t>
        </is>
      </c>
      <c r="G152" s="39" t="inlineStr">
        <is>
          <t>6</t>
        </is>
      </c>
      <c r="H152" s="42" t="inlineStr">
        <is>
          <t>Low</t>
        </is>
      </c>
      <c r="I152" s="39" t="inlineStr">
        <is>
          <t>FEAT</t>
        </is>
      </c>
      <c r="J152" s="43" t="n">
        <v>1.5</v>
      </c>
      <c r="K152" s="40" t="n"/>
      <c r="L152" s="40" t="n"/>
      <c r="M152" s="44" t="n"/>
      <c r="N152" s="45" t="n"/>
      <c r="O152" s="46" t="n"/>
      <c r="P152" s="46" t="n"/>
      <c r="Q152" s="47" t="n"/>
      <c r="R152" s="39" t="n">
        <v>0</v>
      </c>
      <c r="S152" s="48" t="n"/>
      <c r="T152" s="48" t="n"/>
      <c r="U152" s="48" t="n"/>
      <c r="V152" s="48" t="inlineStr">
        <is>
          <t>Equity curve, R-multiple distribution, win rate by setup and regime.</t>
        </is>
      </c>
      <c r="W152" s="49" t="n"/>
    </row>
    <row r="153" ht="30" customHeight="1" s="59">
      <c r="A153" s="38" t="inlineStr">
        <is>
          <t>E18-S01</t>
        </is>
      </c>
      <c r="B153" s="39" t="inlineStr">
        <is>
          <t>E18</t>
        </is>
      </c>
      <c r="C153" s="40" t="inlineStr">
        <is>
          <t>ADMIN UI</t>
        </is>
      </c>
      <c r="D153" s="40" t="inlineStr">
        <is>
          <t>Admin shell and compliance panel</t>
        </is>
      </c>
      <c r="E153" s="40" t="inlineStr">
        <is>
          <t>New</t>
        </is>
      </c>
      <c r="F153" s="53" t="inlineStr">
        <is>
          <t>P1</t>
        </is>
      </c>
      <c r="G153" s="39" t="inlineStr">
        <is>
          <t>6</t>
        </is>
      </c>
      <c r="H153" s="50" t="inlineStr">
        <is>
          <t>Correctness-critical</t>
        </is>
      </c>
      <c r="I153" s="39" t="inlineStr">
        <is>
          <t>FEAT</t>
        </is>
      </c>
      <c r="J153" s="43" t="n">
        <v>1.5</v>
      </c>
      <c r="K153" s="40" t="inlineStr">
        <is>
          <t>E17-S01</t>
        </is>
      </c>
      <c r="L153" s="40" t="n"/>
      <c r="M153" s="44" t="n"/>
      <c r="N153" s="45" t="n"/>
      <c r="O153" s="46" t="n"/>
      <c r="P153" s="46" t="n"/>
      <c r="Q153" s="47" t="n"/>
      <c r="R153" s="39" t="n">
        <v>0</v>
      </c>
      <c r="S153" s="48" t="n"/>
      <c r="T153" s="48" t="n"/>
      <c r="U153" s="48" t="n"/>
      <c r="V153" s="48" t="inlineStr">
        <is>
          <t>Live status of every compliance constraint; read-only.</t>
        </is>
      </c>
      <c r="W153" s="49" t="n"/>
    </row>
    <row r="154" ht="30" customHeight="1" s="59">
      <c r="A154" s="38" t="inlineStr">
        <is>
          <t>E18-S02</t>
        </is>
      </c>
      <c r="B154" s="39" t="inlineStr">
        <is>
          <t>E18</t>
        </is>
      </c>
      <c r="C154" s="40" t="inlineStr">
        <is>
          <t>ADMIN UI</t>
        </is>
      </c>
      <c r="D154" s="40" t="inlineStr">
        <is>
          <t>Configuration editor</t>
        </is>
      </c>
      <c r="E154" s="40" t="inlineStr">
        <is>
          <t>New</t>
        </is>
      </c>
      <c r="F154" s="53" t="inlineStr">
        <is>
          <t>P1</t>
        </is>
      </c>
      <c r="G154" s="39" t="inlineStr">
        <is>
          <t>6</t>
        </is>
      </c>
      <c r="H154" s="51" t="inlineStr">
        <is>
          <t>Safety-critical</t>
        </is>
      </c>
      <c r="I154" s="39" t="inlineStr">
        <is>
          <t>FEAT</t>
        </is>
      </c>
      <c r="J154" s="43" t="n">
        <v>2.5</v>
      </c>
      <c r="K154" s="40" t="inlineStr">
        <is>
          <t>E18-S01</t>
        </is>
      </c>
      <c r="L154" s="40" t="n"/>
      <c r="M154" s="44" t="n"/>
      <c r="N154" s="45" t="n"/>
      <c r="O154" s="46" t="n"/>
      <c r="P154" s="46" t="n"/>
      <c r="Q154" s="47" t="n"/>
      <c r="R154" s="39" t="n">
        <v>7</v>
      </c>
      <c r="S154" s="48" t="n"/>
      <c r="T154" s="48" t="inlineStr">
        <is>
          <t>1. Section-based editor mirroring `system.yaml`
2. Derived values shown live ("1.0% → ₹5,000 per trade")
3. Inline explanation of trade-offs
4. Three-gate validation with clear errors
5. Save produces a git commit with a diff shown before confirmation
6. Re-authentication required to save
7. Immutable during an active session</t>
        </is>
      </c>
      <c r="U154" s="48" t="inlineStr">
        <is>
          <t>• 🔴 Hard bounds cannot be exceeded from the UI
• Every change is a reviewable commit</t>
        </is>
      </c>
      <c r="V154" s="48" t="n"/>
      <c r="W154" s="49" t="n"/>
      <c r="X154" s="75" t="inlineStr">
        <is>
          <t>'Immutable during an active session' and 'save produces a git commit' interact: a save attempted mid-session must fail BEFORE the commit, not after, or the repository and the running config diverge silently. Also, the re-auth requirement must not be satisfiable by a still-valid session cookie — that is not re-authentication.</t>
        </is>
      </c>
    </row>
    <row r="155" ht="30" customHeight="1" s="59">
      <c r="A155" s="38" t="inlineStr">
        <is>
          <t>E18-S03</t>
        </is>
      </c>
      <c r="B155" s="39" t="inlineStr">
        <is>
          <t>E18</t>
        </is>
      </c>
      <c r="C155" s="40" t="inlineStr">
        <is>
          <t>ADMIN UI</t>
        </is>
      </c>
      <c r="D155" s="40" t="inlineStr">
        <is>
          <t>Universe and filter management</t>
        </is>
      </c>
      <c r="E155" s="40" t="inlineStr">
        <is>
          <t>New</t>
        </is>
      </c>
      <c r="F155" s="53" t="inlineStr">
        <is>
          <t>P1</t>
        </is>
      </c>
      <c r="G155" s="39" t="inlineStr">
        <is>
          <t>6</t>
        </is>
      </c>
      <c r="H155" s="42" t="inlineStr">
        <is>
          <t>Low</t>
        </is>
      </c>
      <c r="I155" s="39" t="inlineStr">
        <is>
          <t>FEAT</t>
        </is>
      </c>
      <c r="J155" s="43" t="n">
        <v>1.5</v>
      </c>
      <c r="K155" s="40" t="n"/>
      <c r="L155" s="40" t="n"/>
      <c r="M155" s="44" t="n"/>
      <c r="N155" s="45" t="n"/>
      <c r="O155" s="46" t="n"/>
      <c r="P155" s="46" t="n"/>
      <c r="Q155" s="47" t="n"/>
      <c r="R155" s="39" t="n">
        <v>0</v>
      </c>
      <c r="S155" s="48" t="n"/>
      <c r="T155" s="48" t="n"/>
      <c r="U155" s="48" t="n"/>
      <c r="V155" s="48" t="inlineStr">
        <is>
          <t>Filter config with live preview of survivors per filter; weight editor enforcing sum to 1.0.</t>
        </is>
      </c>
      <c r="W155" s="49" t="n"/>
    </row>
    <row r="156" ht="30" customHeight="1" s="59">
      <c r="A156" s="38" t="inlineStr">
        <is>
          <t>E18-S04</t>
        </is>
      </c>
      <c r="B156" s="39" t="inlineStr">
        <is>
          <t>E18</t>
        </is>
      </c>
      <c r="C156" s="40" t="inlineStr">
        <is>
          <t>ADMIN UI</t>
        </is>
      </c>
      <c r="D156" s="40" t="inlineStr">
        <is>
          <t>Strategy management</t>
        </is>
      </c>
      <c r="E156" s="40" t="inlineStr">
        <is>
          <t>New</t>
        </is>
      </c>
      <c r="F156" s="53" t="inlineStr">
        <is>
          <t>P1</t>
        </is>
      </c>
      <c r="G156" s="39" t="inlineStr">
        <is>
          <t>6</t>
        </is>
      </c>
      <c r="H156" s="51" t="inlineStr">
        <is>
          <t>Safety-critical</t>
        </is>
      </c>
      <c r="I156" s="39" t="inlineStr">
        <is>
          <t>FEAT</t>
        </is>
      </c>
      <c r="J156" s="43" t="n">
        <v>2.5</v>
      </c>
      <c r="K156" s="40" t="inlineStr">
        <is>
          <t>E12-S02</t>
        </is>
      </c>
      <c r="L156" s="40" t="n"/>
      <c r="M156" s="44" t="n"/>
      <c r="N156" s="45" t="n"/>
      <c r="O156" s="46" t="n"/>
      <c r="P156" s="46" t="n"/>
      <c r="Q156" s="47" t="n"/>
      <c r="R156" s="39" t="n">
        <v>5</v>
      </c>
      <c r="S156" s="48" t="n"/>
      <c r="T156" s="48" t="inlineStr">
        <is>
          <t>1. Registry list with state, DSR, PBO, vs-backtest ratio
2. Detail tabs: definition, hypothesis, validation, live performance
3. YAML editor with live validation and primitive autocomplete
4. Approval screen requiring re-auth AND typing the strategy name
5. Trial log showing search cost and the implied DSR bar</t>
        </is>
      </c>
      <c r="U156" s="48" t="inlineStr">
        <is>
          <t>• 🔴 Promotion to ACTIVE requires deliberate, high-friction confirmation</t>
        </is>
      </c>
      <c r="V156" s="48" t="n"/>
      <c r="W156" s="49" t="n"/>
    </row>
    <row r="157" ht="30" customHeight="1" s="59">
      <c r="A157" s="38" t="inlineStr">
        <is>
          <t>E18-S05</t>
        </is>
      </c>
      <c r="B157" s="39" t="inlineStr">
        <is>
          <t>E18</t>
        </is>
      </c>
      <c r="C157" s="40" t="inlineStr">
        <is>
          <t>ADMIN UI</t>
        </is>
      </c>
      <c r="D157" s="40" t="inlineStr">
        <is>
          <t>Risk limits editor</t>
        </is>
      </c>
      <c r="E157" s="40" t="inlineStr">
        <is>
          <t>New</t>
        </is>
      </c>
      <c r="F157" s="53" t="inlineStr">
        <is>
          <t>P1</t>
        </is>
      </c>
      <c r="G157" s="39" t="inlineStr">
        <is>
          <t>6</t>
        </is>
      </c>
      <c r="H157" s="51" t="inlineStr">
        <is>
          <t>Safety-critical</t>
        </is>
      </c>
      <c r="I157" s="39" t="inlineStr">
        <is>
          <t>FEAT</t>
        </is>
      </c>
      <c r="J157" s="43" t="n">
        <v>1.5</v>
      </c>
      <c r="K157" s="40" t="inlineStr">
        <is>
          <t>E18-S02</t>
        </is>
      </c>
      <c r="L157" s="40" t="n"/>
      <c r="M157" s="44" t="n"/>
      <c r="N157" s="45" t="n"/>
      <c r="O157" s="46" t="n"/>
      <c r="P157" s="46" t="n"/>
      <c r="Q157" s="47" t="n"/>
      <c r="R157" s="39" t="n">
        <v>0</v>
      </c>
      <c r="S157" s="48" t="n"/>
      <c r="T157" s="48" t="n"/>
      <c r="U157" s="48" t="n"/>
      <c r="V157" s="48" t="inlineStr">
        <is>
          <t>With impact preview from backtest where available.</t>
        </is>
      </c>
      <c r="W157" s="49" t="n"/>
    </row>
    <row r="158" ht="30" customHeight="1" s="59">
      <c r="A158" s="38" t="inlineStr">
        <is>
          <t>E18-S06</t>
        </is>
      </c>
      <c r="B158" s="39" t="inlineStr">
        <is>
          <t>E18</t>
        </is>
      </c>
      <c r="C158" s="40" t="inlineStr">
        <is>
          <t>ADMIN UI</t>
        </is>
      </c>
      <c r="D158" s="40" t="inlineStr">
        <is>
          <t>AI settings and budget</t>
        </is>
      </c>
      <c r="E158" s="40" t="inlineStr">
        <is>
          <t>New</t>
        </is>
      </c>
      <c r="F158" s="53" t="inlineStr">
        <is>
          <t>P1</t>
        </is>
      </c>
      <c r="G158" s="39" t="inlineStr">
        <is>
          <t>6</t>
        </is>
      </c>
      <c r="H158" s="42" t="inlineStr">
        <is>
          <t>Low</t>
        </is>
      </c>
      <c r="I158" s="39" t="inlineStr">
        <is>
          <t>FEAT</t>
        </is>
      </c>
      <c r="J158" s="43" t="n">
        <v>1</v>
      </c>
      <c r="K158" s="40" t="n"/>
      <c r="L158" s="40" t="n"/>
      <c r="M158" s="44" t="n"/>
      <c r="N158" s="45" t="n"/>
      <c r="O158" s="46" t="n"/>
      <c r="P158" s="46" t="n"/>
      <c r="Q158" s="47" t="n"/>
      <c r="R158" s="39" t="n">
        <v>0</v>
      </c>
      <c r="S158" s="48" t="n"/>
      <c r="T158" s="48" t="n"/>
      <c r="U158" s="48" t="n"/>
      <c r="V158" s="48" t="inlineStr">
        <is>
          <t>Model selection, thresholds, live spend gauge, cache hit rate.</t>
        </is>
      </c>
      <c r="W158" s="49" t="n"/>
    </row>
    <row r="159" ht="30" customHeight="1" s="59">
      <c r="A159" s="38" t="inlineStr">
        <is>
          <t>E18-S07</t>
        </is>
      </c>
      <c r="B159" s="39" t="inlineStr">
        <is>
          <t>E18</t>
        </is>
      </c>
      <c r="C159" s="40" t="inlineStr">
        <is>
          <t>ADMIN UI</t>
        </is>
      </c>
      <c r="D159" s="40" t="inlineStr">
        <is>
          <t>News sources and injection monitor</t>
        </is>
      </c>
      <c r="E159" s="40" t="inlineStr">
        <is>
          <t>New</t>
        </is>
      </c>
      <c r="F159" s="53" t="inlineStr">
        <is>
          <t>P1</t>
        </is>
      </c>
      <c r="G159" s="39" t="inlineStr">
        <is>
          <t>6</t>
        </is>
      </c>
      <c r="H159" s="51" t="inlineStr">
        <is>
          <t>Safety-critical</t>
        </is>
      </c>
      <c r="I159" s="39" t="inlineStr">
        <is>
          <t>SEC</t>
        </is>
      </c>
      <c r="J159" s="43" t="n">
        <v>1</v>
      </c>
      <c r="K159" s="40" t="inlineStr">
        <is>
          <t>E08-S03</t>
        </is>
      </c>
      <c r="L159" s="40" t="n"/>
      <c r="M159" s="44" t="n"/>
      <c r="N159" s="45" t="n"/>
      <c r="O159" s="46" t="n"/>
      <c r="P159" s="46" t="n"/>
      <c r="Q159" s="47" t="n"/>
      <c r="R159" s="39" t="n">
        <v>4</v>
      </c>
      <c r="S159" s="48" t="n"/>
      <c r="T159" s="48" t="inlineStr">
        <is>
          <t>1. Provider allowlist management
2. Decay half-life configuration
3. Sanitiser hit counts by source with samples
4. A source with rising hits is a source to drop</t>
        </is>
      </c>
      <c r="U159" s="48" t="n"/>
      <c r="V159" s="48" t="n"/>
      <c r="W159" s="49" t="n"/>
    </row>
    <row r="160" ht="30" customHeight="1" s="59">
      <c r="A160" s="38" t="inlineStr">
        <is>
          <t>E18-S08</t>
        </is>
      </c>
      <c r="B160" s="39" t="inlineStr">
        <is>
          <t>E18</t>
        </is>
      </c>
      <c r="C160" s="40" t="inlineStr">
        <is>
          <t>ADMIN UI</t>
        </is>
      </c>
      <c r="D160" s="40" t="inlineStr">
        <is>
          <t>Audit log explorer</t>
        </is>
      </c>
      <c r="E160" s="40" t="inlineStr">
        <is>
          <t>New</t>
        </is>
      </c>
      <c r="F160" s="53" t="inlineStr">
        <is>
          <t>P1</t>
        </is>
      </c>
      <c r="G160" s="39" t="inlineStr">
        <is>
          <t>6</t>
        </is>
      </c>
      <c r="H160" s="50" t="inlineStr">
        <is>
          <t>Correctness-critical</t>
        </is>
      </c>
      <c r="I160" s="39" t="inlineStr">
        <is>
          <t>FEAT</t>
        </is>
      </c>
      <c r="J160" s="43" t="n">
        <v>1.5</v>
      </c>
      <c r="K160" s="40" t="inlineStr">
        <is>
          <t>E01-S05</t>
        </is>
      </c>
      <c r="L160" s="40" t="n"/>
      <c r="M160" s="44" t="n"/>
      <c r="N160" s="45" t="n"/>
      <c r="O160" s="46" t="n"/>
      <c r="P160" s="46" t="n"/>
      <c r="Q160" s="47" t="n"/>
      <c r="R160" s="39" t="n">
        <v>0</v>
      </c>
      <c r="S160" s="48" t="n"/>
      <c r="T160" s="48" t="n"/>
      <c r="U160" s="48" t="n"/>
      <c r="V160" s="48" t="inlineStr">
        <is>
          <t>Search by correlation ID; full trade life from candidacy to exit with every stage, latency, and rejection reason.</t>
        </is>
      </c>
      <c r="W160" s="49" t="n"/>
    </row>
    <row r="161" ht="30" customHeight="1" s="59">
      <c r="A161" s="38" t="inlineStr">
        <is>
          <t>E19-S01</t>
        </is>
      </c>
      <c r="B161" s="39" t="inlineStr">
        <is>
          <t>E19</t>
        </is>
      </c>
      <c r="C161" s="40" t="inlineStr">
        <is>
          <t>NOTIFICATIONS</t>
        </is>
      </c>
      <c r="D161" s="40" t="inlineStr">
        <is>
          <t>Telegram bot foundation</t>
        </is>
      </c>
      <c r="E161" s="40" t="inlineStr">
        <is>
          <t>New</t>
        </is>
      </c>
      <c r="F161" s="41" t="inlineStr">
        <is>
          <t>P0</t>
        </is>
      </c>
      <c r="G161" s="39" t="inlineStr">
        <is>
          <t>3</t>
        </is>
      </c>
      <c r="H161" s="51" t="inlineStr">
        <is>
          <t>Safety-critical</t>
        </is>
      </c>
      <c r="I161" s="39" t="inlineStr">
        <is>
          <t>SEC</t>
        </is>
      </c>
      <c r="J161" s="43" t="n">
        <v>1.5</v>
      </c>
      <c r="K161" s="40" t="n"/>
      <c r="L161" s="40" t="n"/>
      <c r="M161" s="44" t="n"/>
      <c r="N161" s="45" t="n"/>
      <c r="O161" s="46" t="n"/>
      <c r="P161" s="46" t="n"/>
      <c r="Q161" s="47" t="n"/>
      <c r="R161" s="39" t="n">
        <v>4</v>
      </c>
      <c r="S161" s="48" t="n"/>
      <c r="T161" s="48" t="inlineStr">
        <is>
          <t>1. Bot setup with token from secrets
2. Respond only to one hard-configured chat ID — ignore and log all others
3. Single recipient enforced (config validation already does this)
4. Message templating</t>
        </is>
      </c>
      <c r="U161" s="48" t="inlineStr">
        <is>
          <t>• 🔴 A message from any other chat ID is ignored and logged</t>
        </is>
      </c>
      <c r="V161" s="48" t="n"/>
      <c r="W161" s="49" t="n"/>
      <c r="X161" s="75" t="inlineStr">
        <is>
          <t>Use a WEBHOOK, not getUpdates polling. A leaked bot token lets an attacker poll getUpdates and steal your updates out from under the legitimate consumer — including approval callbacks. Also enable Telegram account 2FA with a non-SMS method: a SIM-swap on the Telegram account compromises trade approvals and the kill switch simultaneously.</t>
        </is>
      </c>
    </row>
    <row r="162" ht="30" customHeight="1" s="59">
      <c r="A162" s="38" t="inlineStr">
        <is>
          <t>E19-S02</t>
        </is>
      </c>
      <c r="B162" s="39" t="inlineStr">
        <is>
          <t>E19</t>
        </is>
      </c>
      <c r="C162" s="40" t="inlineStr">
        <is>
          <t>NOTIFICATIONS</t>
        </is>
      </c>
      <c r="D162" s="40" t="inlineStr">
        <is>
          <t>Pre-market briefing delivery</t>
        </is>
      </c>
      <c r="E162" s="40" t="inlineStr">
        <is>
          <t>New</t>
        </is>
      </c>
      <c r="F162" s="41" t="inlineStr">
        <is>
          <t>P0</t>
        </is>
      </c>
      <c r="G162" s="39" t="inlineStr">
        <is>
          <t>3</t>
        </is>
      </c>
      <c r="H162" s="42" t="inlineStr">
        <is>
          <t>Low</t>
        </is>
      </c>
      <c r="I162" s="39" t="inlineStr">
        <is>
          <t>FEAT</t>
        </is>
      </c>
      <c r="J162" s="43" t="n">
        <v>1</v>
      </c>
      <c r="K162" s="40" t="inlineStr">
        <is>
          <t>E11-S08, E19-S01</t>
        </is>
      </c>
      <c r="L162" s="40" t="n"/>
      <c r="M162" s="44" t="n"/>
      <c r="N162" s="45" t="n"/>
      <c r="O162" s="46" t="n"/>
      <c r="P162" s="46" t="n"/>
      <c r="Q162" s="47" t="n"/>
      <c r="R162" s="39" t="n">
        <v>0</v>
      </c>
      <c r="S162" s="48" t="n"/>
      <c r="T162" s="48" t="n"/>
      <c r="U162" s="48" t="n"/>
      <c r="V162" s="48" t="n"/>
      <c r="W162" s="49" t="n"/>
    </row>
    <row r="163" ht="30" customHeight="1" s="59">
      <c r="A163" s="38" t="inlineStr">
        <is>
          <t>E19-S03</t>
        </is>
      </c>
      <c r="B163" s="39" t="inlineStr">
        <is>
          <t>E19</t>
        </is>
      </c>
      <c r="C163" s="40" t="inlineStr">
        <is>
          <t>NOTIFICATIONS</t>
        </is>
      </c>
      <c r="D163" s="40" t="inlineStr">
        <is>
          <t>Trade alerts and approval buttons</t>
        </is>
      </c>
      <c r="E163" s="40" t="inlineStr">
        <is>
          <t>New</t>
        </is>
      </c>
      <c r="F163" s="41" t="inlineStr">
        <is>
          <t>P0</t>
        </is>
      </c>
      <c r="G163" s="39" t="inlineStr">
        <is>
          <t>4</t>
        </is>
      </c>
      <c r="H163" s="51" t="inlineStr">
        <is>
          <t>Safety-critical</t>
        </is>
      </c>
      <c r="I163" s="39" t="inlineStr">
        <is>
          <t>FEAT</t>
        </is>
      </c>
      <c r="J163" s="43" t="n">
        <v>1.5</v>
      </c>
      <c r="K163" s="40" t="inlineStr">
        <is>
          <t>E19-S01</t>
        </is>
      </c>
      <c r="L163" s="40" t="n"/>
      <c r="M163" s="44" t="n"/>
      <c r="N163" s="45" t="n"/>
      <c r="O163" s="46" t="n"/>
      <c r="P163" s="46" t="n"/>
      <c r="Q163" s="47" t="n"/>
      <c r="R163" s="39" t="n">
        <v>4</v>
      </c>
      <c r="S163" s="48" t="n"/>
      <c r="T163" s="48" t="inlineStr">
        <is>
          <t>1. Trade opened/closed alerts with rationale
2. Approval requests with inline buttons and countdown
3. Expiry → skip (never auto-approve)
4. No sensitive data — no account numbers, no absolute capital</t>
        </is>
      </c>
      <c r="U163" s="48" t="n"/>
      <c r="V163" s="48" t="n"/>
      <c r="W163" s="49" t="n"/>
      <c r="X163" s="75" t="inlineStr">
        <is>
          <t>Inline-button callback data must be validated. An attacker able to invoke your bot's callback with a crafted payload could approve a trade. Sign or nonce the callback data and bind it to one specific pending approval, so a replayed or forged callback is rejected.</t>
        </is>
      </c>
    </row>
    <row r="164" ht="30" customHeight="1" s="59">
      <c r="A164" s="38" t="inlineStr">
        <is>
          <t>E19-S04</t>
        </is>
      </c>
      <c r="B164" s="39" t="inlineStr">
        <is>
          <t>E19</t>
        </is>
      </c>
      <c r="C164" s="40" t="inlineStr">
        <is>
          <t>NOTIFICATIONS</t>
        </is>
      </c>
      <c r="D164" s="40" t="inlineStr">
        <is>
          <t>Command handlers</t>
        </is>
      </c>
      <c r="E164" s="40" t="inlineStr">
        <is>
          <t>New</t>
        </is>
      </c>
      <c r="F164" s="41" t="inlineStr">
        <is>
          <t>P0</t>
        </is>
      </c>
      <c r="G164" s="39" t="inlineStr">
        <is>
          <t>4</t>
        </is>
      </c>
      <c r="H164" s="51" t="inlineStr">
        <is>
          <t>Safety-critical</t>
        </is>
      </c>
      <c r="I164" s="39" t="inlineStr">
        <is>
          <t>FEAT</t>
        </is>
      </c>
      <c r="J164" s="43" t="n">
        <v>1.5</v>
      </c>
      <c r="K164" s="40" t="inlineStr">
        <is>
          <t>E19-S01</t>
        </is>
      </c>
      <c r="L164" s="40" t="n"/>
      <c r="M164" s="44" t="n"/>
      <c r="N164" s="45" t="n"/>
      <c r="O164" s="46" t="n"/>
      <c r="P164" s="46" t="n"/>
      <c r="Q164" s="47" t="n"/>
      <c r="R164" s="39" t="n">
        <v>0</v>
      </c>
      <c r="S164" s="48" t="n"/>
      <c r="T164" s="48" t="n"/>
      <c r="U164" s="48" t="n"/>
      <c r="V164" s="48" t="inlineStr">
        <is>
          <t>`/status` `/positions` `/plan` `/pause` `/resume` `/kill` `/close` `/closeall` `/why` `/health`. Destructive commands require confirmation; `/kill` and `/closeall` require two steps.</t>
        </is>
      </c>
      <c r="W164" s="49" t="n"/>
    </row>
    <row r="165" ht="30" customHeight="1" s="59">
      <c r="A165" s="38" t="inlineStr">
        <is>
          <t>E19-S05</t>
        </is>
      </c>
      <c r="B165" s="39" t="inlineStr">
        <is>
          <t>E19</t>
        </is>
      </c>
      <c r="C165" s="40" t="inlineStr">
        <is>
          <t>NOTIFICATIONS</t>
        </is>
      </c>
      <c r="D165" s="40" t="inlineStr">
        <is>
          <t>Alert budgets and batching</t>
        </is>
      </c>
      <c r="E165" s="40" t="inlineStr">
        <is>
          <t>New</t>
        </is>
      </c>
      <c r="F165" s="53" t="inlineStr">
        <is>
          <t>P1</t>
        </is>
      </c>
      <c r="G165" s="39" t="inlineStr">
        <is>
          <t>4</t>
        </is>
      </c>
      <c r="H165" s="42" t="inlineStr">
        <is>
          <t>Low</t>
        </is>
      </c>
      <c r="I165" s="39" t="inlineStr">
        <is>
          <t>FEAT</t>
        </is>
      </c>
      <c r="J165" s="43" t="n">
        <v>0.5</v>
      </c>
      <c r="K165" s="40" t="inlineStr">
        <is>
          <t>E19-S03</t>
        </is>
      </c>
      <c r="L165" s="40" t="n"/>
      <c r="M165" s="44" t="n"/>
      <c r="N165" s="45" t="n"/>
      <c r="O165" s="46" t="n"/>
      <c r="P165" s="46" t="n"/>
      <c r="Q165" s="47" t="n"/>
      <c r="R165" s="39" t="n">
        <v>0</v>
      </c>
      <c r="S165" s="48" t="n"/>
      <c r="T165" s="48" t="n"/>
      <c r="U165" s="48" t="n"/>
      <c r="V165" s="48" t="inlineStr">
        <is>
          <t>P0 immediate · P1 ≤3/day · P2 ≤6/day batched into a digest beyond budget.</t>
        </is>
      </c>
      <c r="W165" s="49" t="n"/>
    </row>
    <row r="166" ht="30" customHeight="1" s="59">
      <c r="A166" s="38" t="inlineStr">
        <is>
          <t>E19-S06</t>
        </is>
      </c>
      <c r="B166" s="39" t="inlineStr">
        <is>
          <t>E19</t>
        </is>
      </c>
      <c r="C166" s="40" t="inlineStr">
        <is>
          <t>NOTIFICATIONS</t>
        </is>
      </c>
      <c r="D166" s="40" t="inlineStr">
        <is>
          <t>Email fallback</t>
        </is>
      </c>
      <c r="E166" s="40" t="inlineStr">
        <is>
          <t>New</t>
        </is>
      </c>
      <c r="F166" s="52" t="inlineStr">
        <is>
          <t>P2</t>
        </is>
      </c>
      <c r="G166" s="39" t="inlineStr">
        <is>
          <t>6</t>
        </is>
      </c>
      <c r="H166" s="42" t="inlineStr">
        <is>
          <t>Low</t>
        </is>
      </c>
      <c r="I166" s="39" t="inlineStr">
        <is>
          <t>FEAT</t>
        </is>
      </c>
      <c r="J166" s="43" t="n">
        <v>0.5</v>
      </c>
      <c r="K166" s="40" t="n"/>
      <c r="L166" s="40" t="n"/>
      <c r="M166" s="44" t="n"/>
      <c r="N166" s="45" t="n"/>
      <c r="O166" s="46" t="n"/>
      <c r="P166" s="46" t="n"/>
      <c r="Q166" s="47" t="n"/>
      <c r="R166" s="39" t="n">
        <v>0</v>
      </c>
      <c r="S166" s="48" t="n"/>
      <c r="T166" s="48" t="n"/>
      <c r="U166" s="48" t="n"/>
      <c r="V166" s="48" t="n"/>
      <c r="W166" s="49" t="n"/>
    </row>
    <row r="167" ht="30" customHeight="1" s="59">
      <c r="A167" s="38" t="inlineStr">
        <is>
          <t>E20-S01</t>
        </is>
      </c>
      <c r="B167" s="39" t="inlineStr">
        <is>
          <t>E20</t>
        </is>
      </c>
      <c r="C167" s="40" t="inlineStr">
        <is>
          <t>OBSERVABILITY</t>
        </is>
      </c>
      <c r="D167" s="40" t="inlineStr">
        <is>
          <t>Metrics instrumentation</t>
        </is>
      </c>
      <c r="E167" s="40" t="inlineStr">
        <is>
          <t>New</t>
        </is>
      </c>
      <c r="F167" s="53" t="inlineStr">
        <is>
          <t>P1</t>
        </is>
      </c>
      <c r="G167" s="39" t="inlineStr">
        <is>
          <t>6</t>
        </is>
      </c>
      <c r="H167" s="50" t="inlineStr">
        <is>
          <t>Correctness-critical</t>
        </is>
      </c>
      <c r="I167" s="39" t="inlineStr">
        <is>
          <t>OPS</t>
        </is>
      </c>
      <c r="J167" s="43" t="n">
        <v>1.5</v>
      </c>
      <c r="K167" s="40" t="n"/>
      <c r="L167" s="40" t="n"/>
      <c r="M167" s="44" t="n"/>
      <c r="N167" s="45" t="n"/>
      <c r="O167" s="46" t="n"/>
      <c r="P167" s="46" t="n"/>
      <c r="Q167" s="47" t="n"/>
      <c r="R167" s="39" t="n">
        <v>0</v>
      </c>
      <c r="S167" s="48" t="n"/>
      <c r="T167" s="48" t="n"/>
      <c r="U167" s="48" t="n"/>
      <c r="V167" s="48" t="inlineStr">
        <is>
          <t>Latency histograms per stage · data quality counters · AI metrics including cache hit ratio · trading counters · risk gauges · health.</t>
        </is>
      </c>
      <c r="W167" s="49" t="n"/>
    </row>
    <row r="168" ht="30" customHeight="1" s="59">
      <c r="A168" s="38" t="inlineStr">
        <is>
          <t>E20-S02</t>
        </is>
      </c>
      <c r="B168" s="39" t="inlineStr">
        <is>
          <t>E20</t>
        </is>
      </c>
      <c r="C168" s="40" t="inlineStr">
        <is>
          <t>OBSERVABILITY</t>
        </is>
      </c>
      <c r="D168" s="40" t="inlineStr">
        <is>
          <t>Latency profiler and adaptive interval</t>
        </is>
      </c>
      <c r="E168" s="40" t="inlineStr">
        <is>
          <t>New</t>
        </is>
      </c>
      <c r="F168" s="53" t="inlineStr">
        <is>
          <t>P1</t>
        </is>
      </c>
      <c r="G168" s="39" t="inlineStr">
        <is>
          <t>6</t>
        </is>
      </c>
      <c r="H168" s="51" t="inlineStr">
        <is>
          <t>Safety-critical</t>
        </is>
      </c>
      <c r="I168" s="39" t="inlineStr">
        <is>
          <t>FEAT</t>
        </is>
      </c>
      <c r="J168" s="43" t="n">
        <v>2</v>
      </c>
      <c r="K168" s="40" t="inlineStr">
        <is>
          <t>E20-S01</t>
        </is>
      </c>
      <c r="L168" s="40" t="n"/>
      <c r="M168" s="44" t="n"/>
      <c r="N168" s="45" t="n"/>
      <c r="O168" s="46" t="n"/>
      <c r="P168" s="46" t="n"/>
      <c r="Q168" s="47" t="n"/>
      <c r="R168" s="39" t="n">
        <v>5</v>
      </c>
      <c r="S168" s="48" t="inlineStr">
        <is>
          <t>As a system, I want my trading interval derived from measured latency, so that I never act on analysis I have not finished.</t>
        </is>
      </c>
      <c r="T168" s="48" t="inlineStr">
        <is>
          <t>1. Record per-stage latency in a rolling window
2. Compute p95 of the full pipeline
3. Apply headroom multiplier
4. Round up to the nearest supported interval
5. Recalibrate daily; publish to `control:interval`</t>
        </is>
      </c>
      <c r="U168" s="48" t="inlineStr">
        <is>
          <t>• 🔴 Degraded latency automatically steps the interval down, never up</t>
        </is>
      </c>
      <c r="V168" s="48" t="n"/>
      <c r="W168" s="49" t="n"/>
      <c r="X168" s="75" t="inlineStr">
        <is>
          <t>'Degraded latency steps the interval DOWN, never up' is ambiguous and getting it backwards is catastrophic. Confirm 'down' means LESS FREQUENT (a longer interval). The system must slow down when it is struggling, never speed up.</t>
        </is>
      </c>
    </row>
    <row r="169" ht="30" customHeight="1" s="59">
      <c r="A169" s="38" t="inlineStr">
        <is>
          <t>E20-S03</t>
        </is>
      </c>
      <c r="B169" s="39" t="inlineStr">
        <is>
          <t>E20</t>
        </is>
      </c>
      <c r="C169" s="40" t="inlineStr">
        <is>
          <t>OBSERVABILITY</t>
        </is>
      </c>
      <c r="D169" s="40" t="inlineStr">
        <is>
          <t>Grafana dashboards</t>
        </is>
      </c>
      <c r="E169" s="40" t="inlineStr">
        <is>
          <t>New</t>
        </is>
      </c>
      <c r="F169" s="53" t="inlineStr">
        <is>
          <t>P1</t>
        </is>
      </c>
      <c r="G169" s="39" t="inlineStr">
        <is>
          <t>6</t>
        </is>
      </c>
      <c r="H169" s="42" t="inlineStr">
        <is>
          <t>Low</t>
        </is>
      </c>
      <c r="I169" s="39" t="inlineStr">
        <is>
          <t>OPS</t>
        </is>
      </c>
      <c r="J169" s="43" t="n">
        <v>1.5</v>
      </c>
      <c r="K169" s="40" t="inlineStr">
        <is>
          <t>E20-S01</t>
        </is>
      </c>
      <c r="L169" s="40" t="n"/>
      <c r="M169" s="44" t="n"/>
      <c r="N169" s="45" t="n"/>
      <c r="O169" s="46" t="n"/>
      <c r="P169" s="46" t="n"/>
      <c r="Q169" s="47" t="n"/>
      <c r="R169" s="39" t="n">
        <v>0</v>
      </c>
      <c r="S169" s="48" t="n"/>
      <c r="T169" s="48" t="n"/>
      <c r="U169" s="48" t="n"/>
      <c r="V169" s="48" t="n"/>
      <c r="W169" s="49" t="n"/>
    </row>
    <row r="170" ht="30" customHeight="1" s="59">
      <c r="A170" s="38" t="inlineStr">
        <is>
          <t>E20-S04</t>
        </is>
      </c>
      <c r="B170" s="39" t="inlineStr">
        <is>
          <t>E20</t>
        </is>
      </c>
      <c r="C170" s="40" t="inlineStr">
        <is>
          <t>OBSERVABILITY</t>
        </is>
      </c>
      <c r="D170" s="40" t="inlineStr">
        <is>
          <t>Alerting rules</t>
        </is>
      </c>
      <c r="E170" s="40" t="inlineStr">
        <is>
          <t>New</t>
        </is>
      </c>
      <c r="F170" s="53" t="inlineStr">
        <is>
          <t>P1</t>
        </is>
      </c>
      <c r="G170" s="39" t="inlineStr">
        <is>
          <t>6</t>
        </is>
      </c>
      <c r="H170" s="50" t="inlineStr">
        <is>
          <t>Correctness-critical</t>
        </is>
      </c>
      <c r="I170" s="39" t="inlineStr">
        <is>
          <t>OPS</t>
        </is>
      </c>
      <c r="J170" s="43" t="n">
        <v>1</v>
      </c>
      <c r="K170" s="40" t="inlineStr">
        <is>
          <t>E20-S01</t>
        </is>
      </c>
      <c r="L170" s="40" t="n"/>
      <c r="M170" s="44" t="n"/>
      <c r="N170" s="45" t="n"/>
      <c r="O170" s="46" t="n"/>
      <c r="P170" s="46" t="n"/>
      <c r="Q170" s="47" t="n"/>
      <c r="R170" s="39" t="n">
        <v>0</v>
      </c>
      <c r="S170" s="48" t="n"/>
      <c r="T170" s="48" t="n"/>
      <c r="U170" s="48" t="n"/>
      <c r="V170" s="48" t="inlineStr">
        <is>
          <t>P0/P1/P2/P3 routing per the priority scheme.</t>
        </is>
      </c>
      <c r="W170" s="49" t="n"/>
    </row>
    <row r="171" ht="30" customHeight="1" s="59">
      <c r="A171" s="38" t="inlineStr">
        <is>
          <t>E20-S05</t>
        </is>
      </c>
      <c r="B171" s="39" t="inlineStr">
        <is>
          <t>E20</t>
        </is>
      </c>
      <c r="C171" s="40" t="inlineStr">
        <is>
          <t>OBSERVABILITY</t>
        </is>
      </c>
      <c r="D171" s="40" t="inlineStr">
        <is>
          <t>Health check framework</t>
        </is>
      </c>
      <c r="E171" s="40" t="inlineStr">
        <is>
          <t>New</t>
        </is>
      </c>
      <c r="F171" s="41" t="inlineStr">
        <is>
          <t>P0</t>
        </is>
      </c>
      <c r="G171" s="39" t="inlineStr">
        <is>
          <t>5</t>
        </is>
      </c>
      <c r="H171" s="51" t="inlineStr">
        <is>
          <t>Safety-critical</t>
        </is>
      </c>
      <c r="I171" s="39" t="inlineStr">
        <is>
          <t>OPS</t>
        </is>
      </c>
      <c r="J171" s="43" t="n">
        <v>1</v>
      </c>
      <c r="K171" s="40" t="n"/>
      <c r="L171" s="40" t="n"/>
      <c r="M171" s="44" t="n"/>
      <c r="N171" s="45" t="n"/>
      <c r="O171" s="46" t="n"/>
      <c r="P171" s="46" t="n"/>
      <c r="Q171" s="47" t="n"/>
      <c r="R171" s="39" t="n">
        <v>0</v>
      </c>
      <c r="S171" s="48" t="n"/>
      <c r="T171" s="48" t="n"/>
      <c r="U171" s="48" t="n"/>
      <c r="V171" s="48" t="inlineStr">
        <is>
          <t>Per-service `/health`; heartbeat to Redis with TTL; aggregated health gate that blocks trading when any critical service is unhealthy.</t>
        </is>
      </c>
      <c r="W171" s="49" t="n"/>
    </row>
    <row r="172" ht="30" customHeight="1" s="59">
      <c r="A172" s="38" t="inlineStr">
        <is>
          <t>E20-S06</t>
        </is>
      </c>
      <c r="B172" s="39" t="inlineStr">
        <is>
          <t>E20</t>
        </is>
      </c>
      <c r="C172" s="40" t="inlineStr">
        <is>
          <t>OBSERVABILITY</t>
        </is>
      </c>
      <c r="D172" s="40" t="inlineStr">
        <is>
          <t>Structured logging rollout</t>
        </is>
      </c>
      <c r="E172" s="40" t="inlineStr">
        <is>
          <t>New</t>
        </is>
      </c>
      <c r="F172" s="53" t="inlineStr">
        <is>
          <t>P1</t>
        </is>
      </c>
      <c r="G172" s="39" t="inlineStr">
        <is>
          <t>6</t>
        </is>
      </c>
      <c r="H172" s="42" t="inlineStr">
        <is>
          <t>Low</t>
        </is>
      </c>
      <c r="I172" s="39" t="inlineStr">
        <is>
          <t>OPS</t>
        </is>
      </c>
      <c r="J172" s="43" t="n">
        <v>0.5</v>
      </c>
      <c r="K172" s="40" t="n"/>
      <c r="L172" s="40" t="n"/>
      <c r="M172" s="44" t="n"/>
      <c r="N172" s="45" t="n"/>
      <c r="O172" s="46" t="n"/>
      <c r="P172" s="46" t="n"/>
      <c r="Q172" s="47" t="n"/>
      <c r="R172" s="39" t="n">
        <v>0</v>
      </c>
      <c r="S172" s="48" t="n"/>
      <c r="T172" s="48" t="n"/>
      <c r="U172" s="48" t="n"/>
      <c r="V172" s="48" t="inlineStr">
        <is>
          <t>Correlation ID binding across all services.</t>
        </is>
      </c>
      <c r="W172" s="49" t="n"/>
    </row>
    <row r="173" ht="30" customHeight="1" s="59">
      <c r="A173" s="38" t="inlineStr">
        <is>
          <t>E21-S01</t>
        </is>
      </c>
      <c r="B173" s="39" t="inlineStr">
        <is>
          <t>E21</t>
        </is>
      </c>
      <c r="C173" s="40" t="inlineStr">
        <is>
          <t>COMPLIANCE &amp; TAX</t>
        </is>
      </c>
      <c r="D173" s="40" t="inlineStr">
        <is>
          <t>Algo-ID attachment</t>
        </is>
      </c>
      <c r="E173" s="40" t="inlineStr">
        <is>
          <t>Cancelled - not applicable</t>
        </is>
      </c>
      <c r="F173" s="41" t="inlineStr">
        <is>
          <t>P0</t>
        </is>
      </c>
      <c r="G173" s="39" t="inlineStr">
        <is>
          <t>5</t>
        </is>
      </c>
      <c r="H173" s="51" t="inlineStr">
        <is>
          <t>Safety-critical</t>
        </is>
      </c>
      <c r="I173" s="39" t="inlineStr">
        <is>
          <t>SEC</t>
        </is>
      </c>
      <c r="J173" s="43" t="n">
        <v>0.5</v>
      </c>
      <c r="K173" s="40" t="n"/>
      <c r="L173" s="40" t="inlineStr">
        <is>
          <t>blocked on B1</t>
        </is>
      </c>
      <c r="M173" s="44" t="n"/>
      <c r="N173" s="45" t="n"/>
      <c r="O173" s="46" t="n"/>
      <c r="P173" s="46" t="n"/>
      <c r="Q173" s="47" t="n">
        <v>100</v>
      </c>
      <c r="R173" s="39" t="n">
        <v>0</v>
      </c>
      <c r="S173" s="48" t="n"/>
      <c r="T173" s="48" t="n"/>
      <c r="U173" s="48" t="n"/>
      <c r="V173" s="48" t="inlineStr">
        <is>
          <t>CANCELLED 9 Sep 2026, not deferred. The story assumed an Algo-ID must be attached to every order. It must not, at this operating profile: SEBI requires registration only AT OR ABOVE 10 orders/sec (circular 4 Feb 2025, clause I(c)), so a sub-threshold self-developed algo has no registered Algo-ID and the broker/exchange applies a generic identifier. kiteconnect documents algo_id as optional, default None. See blocker B1.
WHAT THE CODEBASE CARRIES INSTEAD, and it is enough: OrderRequest.algo_id is str|None and KiteTradingAdapter omits the parameter when unset rather than sending an empty string; config.py requires broker.algo_id in LIVE mode only at or above SEBI_ALGO_REGISTRATION_OPS, guarded at import time against MAX_ORDERS_PER_SECOND ever being raised to meet it; and SIT-14 asserts both halves across a full session - a configured id reaches every one of 316 orders, and the real configuration sends none.
REOPEN ONLY IF the order-rate cap is raised to 10+, or SEBI extends registration below the threshold.</t>
        </is>
      </c>
      <c r="W173" s="49" t="n"/>
    </row>
    <row r="174" ht="30" customHeight="1" s="59">
      <c r="A174" s="38" t="inlineStr">
        <is>
          <t>E21-S02</t>
        </is>
      </c>
      <c r="B174" s="39" t="inlineStr">
        <is>
          <t>E21</t>
        </is>
      </c>
      <c r="C174" s="40" t="inlineStr">
        <is>
          <t>COMPLIANCE &amp; TAX</t>
        </is>
      </c>
      <c r="D174" s="40" t="inlineStr">
        <is>
          <t>Static IP verification at startup</t>
        </is>
      </c>
      <c r="E174" s="40" t="inlineStr">
        <is>
          <t>New</t>
        </is>
      </c>
      <c r="F174" s="41" t="inlineStr">
        <is>
          <t>P0</t>
        </is>
      </c>
      <c r="G174" s="39" t="inlineStr">
        <is>
          <t>5</t>
        </is>
      </c>
      <c r="H174" s="51" t="inlineStr">
        <is>
          <t>Safety-critical</t>
        </is>
      </c>
      <c r="I174" s="39" t="inlineStr">
        <is>
          <t>SEC</t>
        </is>
      </c>
      <c r="J174" s="43" t="n">
        <v>0.5</v>
      </c>
      <c r="K174" s="40" t="n"/>
      <c r="L174" s="40" t="n"/>
      <c r="M174" s="44" t="n"/>
      <c r="N174" s="45" t="n"/>
      <c r="O174" s="46" t="n"/>
      <c r="P174" s="46" t="n"/>
      <c r="Q174" s="47" t="n"/>
      <c r="R174" s="39" t="n">
        <v>0</v>
      </c>
      <c r="S174" s="48" t="n"/>
      <c r="T174" s="48" t="n"/>
      <c r="U174" s="48" t="n"/>
      <c r="V174" s="48" t="inlineStr">
        <is>
          <t>Compare actual egress IP against config; refuse to start on mismatch in live mode.</t>
        </is>
      </c>
      <c r="W174" s="49" t="n"/>
    </row>
    <row r="175" ht="30" customHeight="1" s="59">
      <c r="A175" s="38" t="inlineStr">
        <is>
          <t>E21-S03</t>
        </is>
      </c>
      <c r="B175" s="39" t="inlineStr">
        <is>
          <t>E21</t>
        </is>
      </c>
      <c r="C175" s="40" t="inlineStr">
        <is>
          <t>COMPLIANCE &amp; TAX</t>
        </is>
      </c>
      <c r="D175" s="40" t="inlineStr">
        <is>
          <t>Charge-level fill accounting</t>
        </is>
      </c>
      <c r="E175" s="40" t="inlineStr">
        <is>
          <t>New</t>
        </is>
      </c>
      <c r="F175" s="41" t="inlineStr">
        <is>
          <t>P0</t>
        </is>
      </c>
      <c r="G175" s="39" t="inlineStr">
        <is>
          <t>6</t>
        </is>
      </c>
      <c r="H175" s="51" t="inlineStr">
        <is>
          <t>Safety-critical</t>
        </is>
      </c>
      <c r="I175" s="39" t="inlineStr">
        <is>
          <t>FEAT</t>
        </is>
      </c>
      <c r="J175" s="43" t="n">
        <v>2</v>
      </c>
      <c r="K175" s="40" t="inlineStr">
        <is>
          <t>E15-S03</t>
        </is>
      </c>
      <c r="L175" s="40" t="n"/>
      <c r="M175" s="44" t="n"/>
      <c r="N175" s="45" t="n"/>
      <c r="O175" s="46" t="n"/>
      <c r="P175" s="46" t="n"/>
      <c r="Q175" s="47" t="n"/>
      <c r="R175" s="39" t="n">
        <v>3</v>
      </c>
      <c r="S175" s="48" t="inlineStr">
        <is>
          <t>As a taxpayer, I want every charge recorded separately, so that year-end reconstruction from contract notes is unnecessary.</t>
        </is>
      </c>
      <c r="T175" s="48" t="inlineStr">
        <is>
          <t>1. Record STT, brokerage, GST, exchange charges, stamp duty, SEBI fees per fill
2. Reconcile against the broker contract note
3. Alert on divergence</t>
        </is>
      </c>
      <c r="U175" s="48" t="inlineStr">
        <is>
          <t>• 🔴 Charges match a real contract note to the paisa</t>
        </is>
      </c>
      <c r="V175" s="48" t="n"/>
      <c r="W175" s="49" t="n"/>
      <c r="X175" s="75" t="inlineStr">
        <is>
          <t>Contract notes arrive T+1, so same-day reconciliation compares against an ESTIMATE, not the note. Make the estimate/actual distinction explicit in the schema, or the tax figures silently inherit an estimate that was never corrected.</t>
        </is>
      </c>
    </row>
    <row r="176" ht="30" customHeight="1" s="59">
      <c r="A176" s="38" t="inlineStr">
        <is>
          <t>E21-S04</t>
        </is>
      </c>
      <c r="B176" s="39" t="inlineStr">
        <is>
          <t>E21</t>
        </is>
      </c>
      <c r="C176" s="40" t="inlineStr">
        <is>
          <t>COMPLIANCE &amp; TAX</t>
        </is>
      </c>
      <c r="D176" s="40" t="inlineStr">
        <is>
          <t>Intraday turnover computation</t>
        </is>
      </c>
      <c r="E176" s="40" t="inlineStr">
        <is>
          <t>New</t>
        </is>
      </c>
      <c r="F176" s="41" t="inlineStr">
        <is>
          <t>P0</t>
        </is>
      </c>
      <c r="G176" s="39" t="inlineStr">
        <is>
          <t>6</t>
        </is>
      </c>
      <c r="H176" s="51" t="inlineStr">
        <is>
          <t>Safety-critical</t>
        </is>
      </c>
      <c r="I176" s="39" t="inlineStr">
        <is>
          <t>FEAT</t>
        </is>
      </c>
      <c r="J176" s="43" t="n">
        <v>1</v>
      </c>
      <c r="K176" s="40" t="inlineStr">
        <is>
          <t>E21-S03</t>
        </is>
      </c>
      <c r="L176" s="40" t="n"/>
      <c r="M176" s="44" t="n"/>
      <c r="N176" s="45" t="n"/>
      <c r="O176" s="46" t="n"/>
      <c r="P176" s="46" t="n"/>
      <c r="Q176" s="47" t="n"/>
      <c r="R176" s="39" t="n">
        <v>0</v>
      </c>
      <c r="S176" s="48" t="inlineStr">
        <is>
          <t>As a taxpayer, I want turnover computed as the **absolute sum of profits and losses**, so that the ITR-3 figure is correct.</t>
        </is>
      </c>
      <c r="T176" s="48" t="n"/>
      <c r="U176" s="48" t="inlineStr">
        <is>
          <t>• 🔴 ₹2,000 profit + ₹1,500 loss = ₹3,500 turnover (verified on test data)</t>
        </is>
      </c>
      <c r="V176" s="48" t="n"/>
      <c r="W176" s="49" t="n"/>
      <c r="X176" s="75" t="inlineStr">
        <is>
          <t>The stated definition (absolute sum of profits and losses) is the INTRADAY/speculative one. If the system ever holds overnight, delivery turnover is computed differently (sale value). Guard the assumption explicitly, or the ITR figure is wrong the first time a position is carried.</t>
        </is>
      </c>
    </row>
    <row r="177" ht="30" customHeight="1" s="59">
      <c r="A177" s="38" t="inlineStr">
        <is>
          <t>E21-S05</t>
        </is>
      </c>
      <c r="B177" s="39" t="inlineStr">
        <is>
          <t>E21</t>
        </is>
      </c>
      <c r="C177" s="40" t="inlineStr">
        <is>
          <t>COMPLIANCE &amp; TAX</t>
        </is>
      </c>
      <c r="D177" s="40" t="inlineStr">
        <is>
          <t>Business expense register</t>
        </is>
      </c>
      <c r="E177" s="40" t="inlineStr">
        <is>
          <t>New</t>
        </is>
      </c>
      <c r="F177" s="53" t="inlineStr">
        <is>
          <t>P1</t>
        </is>
      </c>
      <c r="G177" s="39" t="inlineStr">
        <is>
          <t>6</t>
        </is>
      </c>
      <c r="H177" s="42" t="inlineStr">
        <is>
          <t>Low</t>
        </is>
      </c>
      <c r="I177" s="39" t="inlineStr">
        <is>
          <t>FEAT</t>
        </is>
      </c>
      <c r="J177" s="43" t="n">
        <v>1</v>
      </c>
      <c r="K177" s="40" t="n"/>
      <c r="L177" s="40" t="n"/>
      <c r="M177" s="44" t="n"/>
      <c r="N177" s="45" t="n"/>
      <c r="O177" s="46" t="n"/>
      <c r="P177" s="46" t="n"/>
      <c r="Q177" s="47" t="n"/>
      <c r="R177" s="39" t="n">
        <v>0</v>
      </c>
      <c r="S177" s="48" t="n"/>
      <c r="T177" s="48" t="n"/>
      <c r="U177" s="48" t="n"/>
      <c r="V177" s="48" t="inlineStr">
        <is>
          <t>Categorised entry for VPS, API spend, data subscriptions — all deductible.</t>
        </is>
      </c>
      <c r="W177" s="49" t="n"/>
    </row>
    <row r="178" ht="30" customHeight="1" s="59">
      <c r="A178" s="38" t="inlineStr">
        <is>
          <t>E21-S06</t>
        </is>
      </c>
      <c r="B178" s="39" t="inlineStr">
        <is>
          <t>E21</t>
        </is>
      </c>
      <c r="C178" s="40" t="inlineStr">
        <is>
          <t>COMPLIANCE &amp; TAX</t>
        </is>
      </c>
      <c r="D178" s="40" t="inlineStr">
        <is>
          <t>Tax report generator</t>
        </is>
      </c>
      <c r="E178" s="40" t="inlineStr">
        <is>
          <t>New</t>
        </is>
      </c>
      <c r="F178" s="53" t="inlineStr">
        <is>
          <t>P1</t>
        </is>
      </c>
      <c r="G178" s="39" t="inlineStr">
        <is>
          <t>6</t>
        </is>
      </c>
      <c r="H178" s="50" t="inlineStr">
        <is>
          <t>Correctness-critical</t>
        </is>
      </c>
      <c r="I178" s="39" t="inlineStr">
        <is>
          <t>FEAT</t>
        </is>
      </c>
      <c r="J178" s="43" t="n">
        <v>2</v>
      </c>
      <c r="K178" s="40" t="inlineStr">
        <is>
          <t>E21-S04, E21-S05</t>
        </is>
      </c>
      <c r="L178" s="40" t="n"/>
      <c r="M178" s="44" t="n"/>
      <c r="N178" s="45" t="n"/>
      <c r="O178" s="46" t="n"/>
      <c r="P178" s="46" t="n"/>
      <c r="Q178" s="47" t="n"/>
      <c r="R178" s="39" t="n">
        <v>0</v>
      </c>
      <c r="S178" s="48" t="n"/>
      <c r="T178" s="48" t="n"/>
      <c r="U178" s="48" t="n"/>
      <c r="V178" s="48" t="inlineStr">
        <is>
          <t>Speculative turnover, gross profit/loss, net income, itemised expenses, carry-forward position, financial-year selection, export.</t>
        </is>
      </c>
      <c r="W178" s="49" t="n"/>
    </row>
    <row r="179" ht="30" customHeight="1" s="59">
      <c r="A179" s="38" t="inlineStr">
        <is>
          <t>E21-S07</t>
        </is>
      </c>
      <c r="B179" s="39" t="inlineStr">
        <is>
          <t>E21</t>
        </is>
      </c>
      <c r="C179" s="40" t="inlineStr">
        <is>
          <t>COMPLIANCE &amp; TAX</t>
        </is>
      </c>
      <c r="D179" s="40" t="inlineStr">
        <is>
          <t>Compliance status panel</t>
        </is>
      </c>
      <c r="E179" s="40" t="inlineStr">
        <is>
          <t>New</t>
        </is>
      </c>
      <c r="F179" s="53" t="inlineStr">
        <is>
          <t>P1</t>
        </is>
      </c>
      <c r="G179" s="39" t="inlineStr">
        <is>
          <t>6</t>
        </is>
      </c>
      <c r="H179" s="42" t="inlineStr">
        <is>
          <t>Low</t>
        </is>
      </c>
      <c r="I179" s="39" t="inlineStr">
        <is>
          <t>FEAT</t>
        </is>
      </c>
      <c r="J179" s="43" t="n">
        <v>1</v>
      </c>
      <c r="K179" s="40" t="inlineStr">
        <is>
          <t>E18-S01</t>
        </is>
      </c>
      <c r="L179" s="40" t="n"/>
      <c r="M179" s="44" t="n"/>
      <c r="N179" s="45" t="n"/>
      <c r="O179" s="46" t="n"/>
      <c r="P179" s="46" t="n"/>
      <c r="Q179" s="47" t="n"/>
      <c r="R179" s="39" t="n">
        <v>0</v>
      </c>
      <c r="S179" s="48" t="n"/>
      <c r="T179" s="48" t="n"/>
      <c r="U179" s="48" t="n"/>
      <c r="V179" s="48" t="inlineStr">
        <is>
          <t>Live status of every constraint with a pre-live readiness summary.</t>
        </is>
      </c>
      <c r="W179" s="49" t="n"/>
    </row>
    <row r="180" ht="30" customHeight="1" s="59">
      <c r="A180" s="38" t="inlineStr">
        <is>
          <t>E21-S08</t>
        </is>
      </c>
      <c r="B180" s="39" t="inlineStr">
        <is>
          <t>E21</t>
        </is>
      </c>
      <c r="C180" s="40" t="inlineStr">
        <is>
          <t>COMPLIANCE &amp; TAX</t>
        </is>
      </c>
      <c r="D180" s="40" t="inlineStr">
        <is>
          <t>Audit chain verification utility</t>
        </is>
      </c>
      <c r="E180" s="40" t="inlineStr">
        <is>
          <t>New</t>
        </is>
      </c>
      <c r="F180" s="53" t="inlineStr">
        <is>
          <t>P1</t>
        </is>
      </c>
      <c r="G180" s="39" t="inlineStr">
        <is>
          <t>6</t>
        </is>
      </c>
      <c r="H180" s="51" t="inlineStr">
        <is>
          <t>Safety-critical</t>
        </is>
      </c>
      <c r="I180" s="39" t="inlineStr">
        <is>
          <t>SEC</t>
        </is>
      </c>
      <c r="J180" s="43" t="n">
        <v>1</v>
      </c>
      <c r="K180" s="40" t="inlineStr">
        <is>
          <t>E01-S05</t>
        </is>
      </c>
      <c r="L180" s="40" t="n"/>
      <c r="M180" s="44" t="n"/>
      <c r="N180" s="45" t="n"/>
      <c r="O180" s="46" t="n"/>
      <c r="P180" s="46" t="n"/>
      <c r="Q180" s="47" t="n"/>
      <c r="R180" s="39" t="n">
        <v>0</v>
      </c>
      <c r="S180" s="48" t="n"/>
      <c r="T180" s="48" t="n"/>
      <c r="U180" s="48" t="n"/>
      <c r="V180" s="48" t="inlineStr">
        <is>
          <t>Verify the hash chain end to end; detect any retroactive modification.</t>
        </is>
      </c>
      <c r="W180" s="49" t="n"/>
    </row>
    <row r="181" ht="30" customHeight="1" s="59">
      <c r="A181" s="38" t="inlineStr">
        <is>
          <t>E22-S01</t>
        </is>
      </c>
      <c r="B181" s="39" t="inlineStr">
        <is>
          <t>E22</t>
        </is>
      </c>
      <c r="C181" s="40" t="inlineStr">
        <is>
          <t>TESTING &amp; VALIDATION</t>
        </is>
      </c>
      <c r="D181" s="40" t="inlineStr">
        <is>
          <t>Property-based risk engine tests</t>
        </is>
      </c>
      <c r="E181" s="40" t="inlineStr">
        <is>
          <t>New</t>
        </is>
      </c>
      <c r="F181" s="41" t="inlineStr">
        <is>
          <t>P0</t>
        </is>
      </c>
      <c r="G181" s="39" t="inlineStr">
        <is>
          <t>5</t>
        </is>
      </c>
      <c r="H181" s="51" t="inlineStr">
        <is>
          <t>Safety-critical</t>
        </is>
      </c>
      <c r="I181" s="39" t="inlineStr">
        <is>
          <t>TEST</t>
        </is>
      </c>
      <c r="J181" s="43" t="n">
        <v>2</v>
      </c>
      <c r="K181" s="40" t="inlineStr">
        <is>
          <t>E14-S07</t>
        </is>
      </c>
      <c r="L181" s="40" t="n"/>
      <c r="M181" s="44" t="n"/>
      <c r="N181" s="45" t="n"/>
      <c r="O181" s="46" t="n"/>
      <c r="P181" s="46" t="n"/>
      <c r="Q181" s="47" t="n"/>
      <c r="R181" s="39" t="n">
        <v>5</v>
      </c>
      <c r="S181" s="48" t="n"/>
      <c r="T181" s="48" t="inlineStr">
        <is>
          <t>1. Position size never exceeds configured risk, for any input
2. Never exceeds slot count
3. Approved order always has a stop
4. Square-off always precedes broker deadline
5. Sizing clamps are monotonic</t>
        </is>
      </c>
      <c r="U181" s="48" t="n"/>
      <c r="V181" s="48" t="n"/>
      <c r="W181" s="49" t="n"/>
    </row>
    <row r="182" ht="30" customHeight="1" s="59">
      <c r="A182" s="38" t="inlineStr">
        <is>
          <t>E22-S02</t>
        </is>
      </c>
      <c r="B182" s="39" t="inlineStr">
        <is>
          <t>E22</t>
        </is>
      </c>
      <c r="C182" s="40" t="inlineStr">
        <is>
          <t>TESTING &amp; VALIDATION</t>
        </is>
      </c>
      <c r="D182" s="40" t="inlineStr">
        <is>
          <t>Integration test suite</t>
        </is>
      </c>
      <c r="E182" s="40" t="inlineStr">
        <is>
          <t>New</t>
        </is>
      </c>
      <c r="F182" s="53" t="inlineStr">
        <is>
          <t>P1</t>
        </is>
      </c>
      <c r="G182" s="39" t="inlineStr">
        <is>
          <t>7</t>
        </is>
      </c>
      <c r="H182" s="50" t="inlineStr">
        <is>
          <t>Correctness-critical</t>
        </is>
      </c>
      <c r="I182" s="39" t="inlineStr">
        <is>
          <t>TEST</t>
        </is>
      </c>
      <c r="J182" s="43" t="n">
        <v>2</v>
      </c>
      <c r="K182" s="40" t="n"/>
      <c r="L182" s="40" t="n"/>
      <c r="M182" s="44" t="n"/>
      <c r="N182" s="45" t="n"/>
      <c r="O182" s="46" t="n"/>
      <c r="P182" s="46" t="n"/>
      <c r="Q182" s="47" t="n"/>
      <c r="R182" s="39" t="n">
        <v>0</v>
      </c>
      <c r="S182" s="48" t="n"/>
      <c r="T182" s="48" t="n"/>
      <c r="U182" s="48" t="n"/>
      <c r="V182" s="48" t="inlineStr">
        <is>
          <t>Testcontainers for Redis and Postgres; every inter-service contract exercised.</t>
        </is>
      </c>
      <c r="W182" s="49" t="n"/>
    </row>
    <row r="183" ht="30" customHeight="1" s="59">
      <c r="A183" s="38" t="inlineStr">
        <is>
          <t>E22-S03</t>
        </is>
      </c>
      <c r="B183" s="39" t="inlineStr">
        <is>
          <t>E22</t>
        </is>
      </c>
      <c r="C183" s="40" t="inlineStr">
        <is>
          <t>TESTING &amp; VALIDATION</t>
        </is>
      </c>
      <c r="D183" s="40" t="inlineStr">
        <is>
          <t>Replay harness</t>
        </is>
      </c>
      <c r="E183" s="40" t="inlineStr">
        <is>
          <t>New</t>
        </is>
      </c>
      <c r="F183" s="53" t="inlineStr">
        <is>
          <t>P1</t>
        </is>
      </c>
      <c r="G183" s="39" t="inlineStr">
        <is>
          <t>7</t>
        </is>
      </c>
      <c r="H183" s="50" t="inlineStr">
        <is>
          <t>Correctness-critical</t>
        </is>
      </c>
      <c r="I183" s="39" t="inlineStr">
        <is>
          <t>TEST</t>
        </is>
      </c>
      <c r="J183" s="43" t="n">
        <v>2.5</v>
      </c>
      <c r="K183" s="40" t="inlineStr">
        <is>
          <t>E03-S06</t>
        </is>
      </c>
      <c r="L183" s="40" t="n"/>
      <c r="M183" s="44" t="n"/>
      <c r="N183" s="45" t="n"/>
      <c r="O183" s="46" t="n"/>
      <c r="P183" s="46" t="n"/>
      <c r="Q183" s="47" t="n"/>
      <c r="R183" s="39" t="n">
        <v>0</v>
      </c>
      <c r="S183" s="48" t="n"/>
      <c r="T183" s="48" t="n"/>
      <c r="U183" s="48" t="n"/>
      <c r="V183" s="48" t="inlineStr">
        <is>
          <t>Replay a recorded session through the full pipeline; assert deterministic outputs; regression on every change.</t>
        </is>
      </c>
      <c r="W183" s="49" t="n"/>
      <c r="X183" s="75" t="inlineStr">
        <is>
          <t>The replay is only as good as what was archived. Tick archival (E03-S06) is scheduled in Phase 6 and this in Phase 7 — but if archival starts late there is no history to replay and the harness has nothing to run against for months. Start archiving well before you need to replay.</t>
        </is>
      </c>
    </row>
    <row r="184" ht="30" customHeight="1" s="59">
      <c r="A184" s="38" t="inlineStr">
        <is>
          <t>E22-S04</t>
        </is>
      </c>
      <c r="B184" s="39" t="inlineStr">
        <is>
          <t>E22</t>
        </is>
      </c>
      <c r="C184" s="40" t="inlineStr">
        <is>
          <t>TESTING &amp; VALIDATION</t>
        </is>
      </c>
      <c r="D184" s="40" t="inlineStr">
        <is>
          <t>Chaos test suite</t>
        </is>
      </c>
      <c r="E184" s="40" t="inlineStr">
        <is>
          <t>New</t>
        </is>
      </c>
      <c r="F184" s="41" t="inlineStr">
        <is>
          <t>P0</t>
        </is>
      </c>
      <c r="G184" s="39" t="inlineStr">
        <is>
          <t>7</t>
        </is>
      </c>
      <c r="H184" s="51" t="inlineStr">
        <is>
          <t>Safety-critical</t>
        </is>
      </c>
      <c r="I184" s="39" t="inlineStr">
        <is>
          <t>TEST</t>
        </is>
      </c>
      <c r="J184" s="43" t="n">
        <v>2.5</v>
      </c>
      <c r="K184" s="40" t="n"/>
      <c r="L184" s="40" t="n"/>
      <c r="M184" s="44" t="n"/>
      <c r="N184" s="45" t="n"/>
      <c r="O184" s="46" t="n"/>
      <c r="P184" s="46" t="n"/>
      <c r="Q184" s="47" t="n"/>
      <c r="R184" s="39" t="n">
        <v>0</v>
      </c>
      <c r="S184" s="48" t="n"/>
      <c r="T184" s="48" t="n"/>
      <c r="U184" s="48" t="inlineStr">
        <is>
          <t>• 🔴 Every scenario fails closed; none opens new risk</t>
        </is>
      </c>
      <c r="V184" s="48" t="inlineStr">
        <is>
          <t>All nine scenarios from LOW_LEVEL_ARCHITECTURE §12.3 — kill each service, Redis restart, WebSocket drop, AI outage, broker 500, clock jump, disk full, duplicate tick flood.</t>
        </is>
      </c>
      <c r="W184" s="49" t="n"/>
    </row>
    <row r="185" ht="30" customHeight="1" s="59">
      <c r="A185" s="38" t="inlineStr">
        <is>
          <t>E22-S05</t>
        </is>
      </c>
      <c r="B185" s="39" t="inlineStr">
        <is>
          <t>E22</t>
        </is>
      </c>
      <c r="C185" s="40" t="inlineStr">
        <is>
          <t>TESTING &amp; VALIDATION</t>
        </is>
      </c>
      <c r="D185" s="40" t="inlineStr">
        <is>
          <t>Contract tests</t>
        </is>
      </c>
      <c r="E185" s="40" t="inlineStr">
        <is>
          <t>New</t>
        </is>
      </c>
      <c r="F185" s="53" t="inlineStr">
        <is>
          <t>P1</t>
        </is>
      </c>
      <c r="G185" s="39" t="inlineStr">
        <is>
          <t>7</t>
        </is>
      </c>
      <c r="H185" s="42" t="inlineStr">
        <is>
          <t>Low</t>
        </is>
      </c>
      <c r="I185" s="39" t="inlineStr">
        <is>
          <t>TEST</t>
        </is>
      </c>
      <c r="J185" s="43" t="n">
        <v>1</v>
      </c>
      <c r="K185" s="40" t="n"/>
      <c r="L185" s="40" t="n"/>
      <c r="M185" s="44" t="n"/>
      <c r="N185" s="45" t="n"/>
      <c r="O185" s="46" t="n"/>
      <c r="P185" s="46" t="n"/>
      <c r="Q185" s="47" t="n"/>
      <c r="R185" s="39" t="n">
        <v>0</v>
      </c>
      <c r="S185" s="48" t="n"/>
      <c r="T185" s="48" t="n"/>
      <c r="U185" s="48" t="n"/>
      <c r="V185" s="48" t="inlineStr">
        <is>
          <t>Recorded fixtures for broker and AI APIs; detect upstream shape drift.</t>
        </is>
      </c>
      <c r="W185" s="49" t="n"/>
    </row>
    <row r="186" ht="30" customHeight="1" s="59">
      <c r="A186" s="38" t="inlineStr">
        <is>
          <t>E22-S06</t>
        </is>
      </c>
      <c r="B186" s="39" t="inlineStr">
        <is>
          <t>E22</t>
        </is>
      </c>
      <c r="C186" s="40" t="inlineStr">
        <is>
          <t>TESTING &amp; VALIDATION</t>
        </is>
      </c>
      <c r="D186" s="40" t="inlineStr">
        <is>
          <t>Prompt injection corpus</t>
        </is>
      </c>
      <c r="E186" s="40" t="inlineStr">
        <is>
          <t>New</t>
        </is>
      </c>
      <c r="F186" s="41" t="inlineStr">
        <is>
          <t>P0</t>
        </is>
      </c>
      <c r="G186" s="39" t="inlineStr">
        <is>
          <t>7</t>
        </is>
      </c>
      <c r="H186" s="51" t="inlineStr">
        <is>
          <t>Safety-critical</t>
        </is>
      </c>
      <c r="I186" s="39" t="inlineStr">
        <is>
          <t>TEST</t>
        </is>
      </c>
      <c r="J186" s="43" t="n">
        <v>1.5</v>
      </c>
      <c r="K186" s="40" t="inlineStr">
        <is>
          <t>E08-S03</t>
        </is>
      </c>
      <c r="L186" s="40" t="n"/>
      <c r="M186" s="44" t="n"/>
      <c r="N186" s="45" t="n"/>
      <c r="O186" s="46" t="n"/>
      <c r="P186" s="46" t="n"/>
      <c r="Q186" s="47" t="n"/>
      <c r="R186" s="39" t="n">
        <v>0</v>
      </c>
      <c r="S186" s="48" t="n"/>
      <c r="T186" s="48" t="n"/>
      <c r="U186" s="48" t="n"/>
      <c r="V186" s="48" t="inlineStr">
        <is>
          <t>Adversarial news snippets: instruction override, role confusion, delimiter escape, Unicode obfuscation, nested encoding. Runs in CI because prompt changes can silently reopen a closed hole.</t>
        </is>
      </c>
      <c r="W186" s="49" t="n"/>
    </row>
    <row r="187" ht="30" customHeight="1" s="59">
      <c r="A187" s="38" t="inlineStr">
        <is>
          <t>E22-S07</t>
        </is>
      </c>
      <c r="B187" s="39" t="inlineStr">
        <is>
          <t>E22</t>
        </is>
      </c>
      <c r="C187" s="40" t="inlineStr">
        <is>
          <t>TESTING &amp; VALIDATION</t>
        </is>
      </c>
      <c r="D187" s="40" t="inlineStr">
        <is>
          <t>Coverage enforcement</t>
        </is>
      </c>
      <c r="E187" s="40" t="inlineStr">
        <is>
          <t>New</t>
        </is>
      </c>
      <c r="F187" s="41" t="inlineStr">
        <is>
          <t>P0</t>
        </is>
      </c>
      <c r="G187" s="39" t="inlineStr">
        <is>
          <t>7</t>
        </is>
      </c>
      <c r="H187" s="50" t="inlineStr">
        <is>
          <t>Correctness-critical</t>
        </is>
      </c>
      <c r="I187" s="39" t="inlineStr">
        <is>
          <t>TEST</t>
        </is>
      </c>
      <c r="J187" s="43" t="n">
        <v>0.5</v>
      </c>
      <c r="K187" s="40" t="n"/>
      <c r="L187" s="40" t="n"/>
      <c r="M187" s="44" t="n"/>
      <c r="N187" s="45" t="n"/>
      <c r="O187" s="46" t="n"/>
      <c r="P187" s="46" t="n"/>
      <c r="Q187" s="47" t="n"/>
      <c r="R187" s="39" t="n">
        <v>0</v>
      </c>
      <c r="S187" s="48" t="n"/>
      <c r="T187" s="48" t="n"/>
      <c r="U187" s="48" t="n"/>
      <c r="V187" s="48" t="inlineStr">
        <is>
          <t>100% line coverage gate on `execution/risk_engine.py` and `execution/sizer.py`.</t>
        </is>
      </c>
      <c r="W187" s="49" t="n"/>
    </row>
    <row r="188" ht="30" customHeight="1" s="59">
      <c r="A188" s="38" t="inlineStr">
        <is>
          <t>E22-S08</t>
        </is>
      </c>
      <c r="B188" s="39" t="inlineStr">
        <is>
          <t>E22</t>
        </is>
      </c>
      <c r="C188" s="40" t="inlineStr">
        <is>
          <t>TESTING &amp; VALIDATION</t>
        </is>
      </c>
      <c r="D188" s="40" t="inlineStr">
        <is>
          <t>Load and soak testing</t>
        </is>
      </c>
      <c r="E188" s="40" t="inlineStr">
        <is>
          <t>New</t>
        </is>
      </c>
      <c r="F188" s="52" t="inlineStr">
        <is>
          <t>P2</t>
        </is>
      </c>
      <c r="G188" s="39" t="inlineStr">
        <is>
          <t>7</t>
        </is>
      </c>
      <c r="H188" s="42" t="inlineStr">
        <is>
          <t>Low</t>
        </is>
      </c>
      <c r="I188" s="39" t="inlineStr">
        <is>
          <t>TEST</t>
        </is>
      </c>
      <c r="J188" s="43" t="n">
        <v>1</v>
      </c>
      <c r="K188" s="40" t="n"/>
      <c r="L188" s="40" t="n"/>
      <c r="M188" s="44" t="n"/>
      <c r="N188" s="45" t="n"/>
      <c r="O188" s="46" t="n"/>
      <c r="P188" s="46" t="n"/>
      <c r="Q188" s="47" t="n"/>
      <c r="R188" s="39" t="n">
        <v>0</v>
      </c>
      <c r="S188" s="48" t="n"/>
      <c r="T188" s="48" t="n"/>
      <c r="U188" s="48" t="n"/>
      <c r="V188" s="48" t="inlineStr">
        <is>
          <t>Full universe tick rates; multi-day soak for memory leaks.</t>
        </is>
      </c>
      <c r="W188" s="49" t="n"/>
    </row>
    <row r="189" ht="30" customHeight="1" s="59">
      <c r="A189" s="38" t="inlineStr">
        <is>
          <t>E23-S01</t>
        </is>
      </c>
      <c r="B189" s="39" t="inlineStr">
        <is>
          <t>E23</t>
        </is>
      </c>
      <c r="C189" s="40" t="inlineStr">
        <is>
          <t>DEPLOYMENT &amp; OPS</t>
        </is>
      </c>
      <c r="D189" s="40" t="inlineStr">
        <is>
          <t>VPS provisioning and hardening</t>
        </is>
      </c>
      <c r="E189" s="40" t="inlineStr">
        <is>
          <t>New</t>
        </is>
      </c>
      <c r="F189" s="41" t="inlineStr">
        <is>
          <t>P0</t>
        </is>
      </c>
      <c r="G189" s="39" t="inlineStr">
        <is>
          <t>7</t>
        </is>
      </c>
      <c r="H189" s="51" t="inlineStr">
        <is>
          <t>Safety-critical</t>
        </is>
      </c>
      <c r="I189" s="39" t="inlineStr">
        <is>
          <t>OPS</t>
        </is>
      </c>
      <c r="J189" s="43" t="n">
        <v>1.5</v>
      </c>
      <c r="K189" s="40" t="n"/>
      <c r="L189" s="40" t="n"/>
      <c r="M189" s="44" t="n"/>
      <c r="N189" s="45" t="n"/>
      <c r="O189" s="46" t="n"/>
      <c r="P189" s="46" t="n"/>
      <c r="Q189" s="47" t="n"/>
      <c r="R189" s="39" t="n">
        <v>0</v>
      </c>
      <c r="S189" s="48" t="n"/>
      <c r="T189" s="48" t="n"/>
      <c r="U189" s="48" t="n"/>
      <c r="V189" s="48" t="inlineStr">
        <is>
          <t>India-region host · static IP · firewall default-deny · SSH key-only, root disabled, fail2ban · unattended security upgrades outside market hours.</t>
        </is>
      </c>
      <c r="W189" s="49" t="n"/>
    </row>
    <row r="190" ht="30" customHeight="1" s="59">
      <c r="A190" s="38" t="inlineStr">
        <is>
          <t>E23-S02</t>
        </is>
      </c>
      <c r="B190" s="39" t="inlineStr">
        <is>
          <t>E23</t>
        </is>
      </c>
      <c r="C190" s="40" t="inlineStr">
        <is>
          <t>DEPLOYMENT &amp; OPS</t>
        </is>
      </c>
      <c r="D190" s="40" t="inlineStr">
        <is>
          <t>Static IP whitelisting</t>
        </is>
      </c>
      <c r="E190" s="40" t="inlineStr">
        <is>
          <t>New</t>
        </is>
      </c>
      <c r="F190" s="41" t="inlineStr">
        <is>
          <t>P0</t>
        </is>
      </c>
      <c r="G190" s="39" t="inlineStr">
        <is>
          <t>7</t>
        </is>
      </c>
      <c r="H190" s="51" t="inlineStr">
        <is>
          <t>Safety-critical</t>
        </is>
      </c>
      <c r="I190" s="39" t="inlineStr">
        <is>
          <t>SEC</t>
        </is>
      </c>
      <c r="J190" s="43" t="n">
        <v>0.5</v>
      </c>
      <c r="K190" s="40" t="inlineStr">
        <is>
          <t>E23-S01</t>
        </is>
      </c>
      <c r="L190" s="40" t="n"/>
      <c r="M190" s="44" t="n"/>
      <c r="N190" s="45" t="n"/>
      <c r="O190" s="46" t="n"/>
      <c r="P190" s="46" t="n"/>
      <c r="Q190" s="47" t="n"/>
      <c r="R190" s="39" t="n">
        <v>0</v>
      </c>
      <c r="S190" s="48" t="n"/>
      <c r="T190" s="48" t="n"/>
      <c r="U190" s="48" t="n"/>
      <c r="V190" s="48" t="inlineStr">
        <is>
          <t>Register at `developers.kite.trade`; verify orders succeed from the whitelisted IP and fail from elsewhere.</t>
        </is>
      </c>
      <c r="W190" s="49" t="n"/>
    </row>
    <row r="191" ht="30" customHeight="1" s="59">
      <c r="A191" s="38" t="inlineStr">
        <is>
          <t>E23-S03</t>
        </is>
      </c>
      <c r="B191" s="39" t="inlineStr">
        <is>
          <t>E23</t>
        </is>
      </c>
      <c r="C191" s="40" t="inlineStr">
        <is>
          <t>DEPLOYMENT &amp; OPS</t>
        </is>
      </c>
      <c r="D191" s="40" t="inlineStr">
        <is>
          <t>Docker Compose deployment</t>
        </is>
      </c>
      <c r="E191" s="40" t="inlineStr">
        <is>
          <t>New</t>
        </is>
      </c>
      <c r="F191" s="41" t="inlineStr">
        <is>
          <t>P0</t>
        </is>
      </c>
      <c r="G191" s="39" t="inlineStr">
        <is>
          <t>7</t>
        </is>
      </c>
      <c r="H191" s="51" t="inlineStr">
        <is>
          <t>Safety-critical</t>
        </is>
      </c>
      <c r="I191" s="39" t="inlineStr">
        <is>
          <t>OPS</t>
        </is>
      </c>
      <c r="J191" s="43" t="n">
        <v>1.5</v>
      </c>
      <c r="K191" s="40" t="inlineStr">
        <is>
          <t>E23-S01</t>
        </is>
      </c>
      <c r="L191" s="40" t="n"/>
      <c r="M191" s="44" t="n"/>
      <c r="N191" s="45" t="n"/>
      <c r="O191" s="46" t="n"/>
      <c r="P191" s="46" t="n"/>
      <c r="Q191" s="47" t="n"/>
      <c r="R191" s="39" t="n">
        <v>5</v>
      </c>
      <c r="S191" s="48" t="n"/>
      <c r="T191" s="48" t="inlineStr">
        <is>
          <t>1. First actual run of the topology
2. Verify `core` network has no internet access
3. Verify egress allowlists hold
4. Startup ordering and health gates
5. Resource limits tuned</t>
        </is>
      </c>
      <c r="U191" s="48" t="inlineStr">
        <is>
          <t>• 🔴 A container on `core` cannot reach the internet (verified by attempt)</t>
        </is>
      </c>
      <c r="V191" s="48" t="n"/>
      <c r="W191" s="49" t="n"/>
      <c r="X191" s="75" t="inlineStr">
        <is>
          <t>'Verify core has no internet access, by attempt' is the right test. Note the tension with E02-S01's auth callback and E17-S01's dashboard access — both want inbound reachability. Resolve the network design ONCE here rather than three times in three stories, or the answers will disagree.</t>
        </is>
      </c>
    </row>
    <row r="192" ht="30" customHeight="1" s="59">
      <c r="A192" s="38" t="inlineStr">
        <is>
          <t>E23-S04</t>
        </is>
      </c>
      <c r="B192" s="39" t="inlineStr">
        <is>
          <t>E23</t>
        </is>
      </c>
      <c r="C192" s="40" t="inlineStr">
        <is>
          <t>DEPLOYMENT &amp; OPS</t>
        </is>
      </c>
      <c r="D192" s="40" t="inlineStr">
        <is>
          <t>Backup and restore</t>
        </is>
      </c>
      <c r="E192" s="40" t="inlineStr">
        <is>
          <t>New</t>
        </is>
      </c>
      <c r="F192" s="41" t="inlineStr">
        <is>
          <t>P0</t>
        </is>
      </c>
      <c r="G192" s="39" t="inlineStr">
        <is>
          <t>7</t>
        </is>
      </c>
      <c r="H192" s="51" t="inlineStr">
        <is>
          <t>Safety-critical</t>
        </is>
      </c>
      <c r="I192" s="39" t="inlineStr">
        <is>
          <t>OPS</t>
        </is>
      </c>
      <c r="J192" s="43" t="n">
        <v>1</v>
      </c>
      <c r="K192" s="40" t="n"/>
      <c r="L192" s="40" t="n"/>
      <c r="M192" s="44" t="n"/>
      <c r="N192" s="45" t="n"/>
      <c r="O192" s="46" t="n"/>
      <c r="P192" s="46" t="n"/>
      <c r="Q192" s="47" t="n"/>
      <c r="R192" s="39" t="n">
        <v>0</v>
      </c>
      <c r="S192" s="48" t="n"/>
      <c r="T192" s="48" t="n"/>
      <c r="U192" s="48" t="n"/>
      <c r="V192" s="48" t="inlineStr">
        <is>
          <t>Nightly DB dump + config + audit export to off-host storage with separate credentials. Restore drill required.</t>
        </is>
      </c>
      <c r="W192" s="49" t="n"/>
    </row>
    <row r="193" ht="30" customHeight="1" s="59">
      <c r="A193" s="38" t="inlineStr">
        <is>
          <t>E23-S05</t>
        </is>
      </c>
      <c r="B193" s="39" t="inlineStr">
        <is>
          <t>E23</t>
        </is>
      </c>
      <c r="C193" s="40" t="inlineStr">
        <is>
          <t>DEPLOYMENT &amp; OPS</t>
        </is>
      </c>
      <c r="D193" s="40" t="inlineStr">
        <is>
          <t>CI pipeline</t>
        </is>
      </c>
      <c r="E193" s="40" t="inlineStr">
        <is>
          <t>New</t>
        </is>
      </c>
      <c r="F193" s="53" t="inlineStr">
        <is>
          <t>P1</t>
        </is>
      </c>
      <c r="G193" s="39" t="inlineStr">
        <is>
          <t>7</t>
        </is>
      </c>
      <c r="H193" s="42" t="inlineStr">
        <is>
          <t>Low</t>
        </is>
      </c>
      <c r="I193" s="39" t="inlineStr">
        <is>
          <t>OPS</t>
        </is>
      </c>
      <c r="J193" s="43" t="n">
        <v>1</v>
      </c>
      <c r="K193" s="40" t="n"/>
      <c r="L193" s="40" t="n"/>
      <c r="M193" s="44" t="n"/>
      <c r="N193" s="45" t="n"/>
      <c r="O193" s="46" t="n"/>
      <c r="P193" s="46" t="n"/>
      <c r="Q193" s="47" t="n"/>
      <c r="R193" s="39" t="n">
        <v>0</v>
      </c>
      <c r="S193" s="48" t="n"/>
      <c r="T193" s="48" t="n"/>
      <c r="U193" s="48" t="n"/>
      <c r="V193" s="48" t="inlineStr">
        <is>
          <t>`make check` on every PR; gitleaks; pip-audit; safety-invariant tests as a required check on `QA` and `PROD`.</t>
        </is>
      </c>
      <c r="W193" s="49" t="n"/>
    </row>
    <row r="194" ht="52.8" customHeight="1" s="59">
      <c r="A194" s="38" t="inlineStr">
        <is>
          <t>E23-S06</t>
        </is>
      </c>
      <c r="B194" s="39" t="inlineStr">
        <is>
          <t>E23</t>
        </is>
      </c>
      <c r="C194" s="40" t="inlineStr">
        <is>
          <t>DEPLOYMENT &amp; OPS</t>
        </is>
      </c>
      <c r="D194" s="40" t="inlineStr">
        <is>
          <t>Runbooks</t>
        </is>
      </c>
      <c r="E194" s="40" t="inlineStr">
        <is>
          <t>New</t>
        </is>
      </c>
      <c r="F194" s="53" t="inlineStr">
        <is>
          <t>P1</t>
        </is>
      </c>
      <c r="G194" s="39" t="inlineStr">
        <is>
          <t>7</t>
        </is>
      </c>
      <c r="H194" s="50" t="inlineStr">
        <is>
          <t>Correctness-critical</t>
        </is>
      </c>
      <c r="I194" s="39" t="inlineStr">
        <is>
          <t>DOC</t>
        </is>
      </c>
      <c r="J194" s="43" t="n">
        <v>1.5</v>
      </c>
      <c r="K194" s="40" t="n"/>
      <c r="L194" s="40" t="n"/>
      <c r="M194" s="44" t="n"/>
      <c r="N194" s="45" t="n"/>
      <c r="O194" s="46" t="n"/>
      <c r="P194" s="46" t="n"/>
      <c r="Q194" s="47" t="n"/>
      <c r="R194" s="39" t="n">
        <v>0</v>
      </c>
      <c r="S194" s="48" t="n"/>
      <c r="T194" s="48" t="n"/>
      <c r="U194" s="48" t="n"/>
      <c r="V194" s="48" t="inlineStr">
        <is>
          <t>Auth failure · feed loss · broker outage · unknown position · kill switch triggered · restore from backup · daily operational checklist.</t>
        </is>
      </c>
      <c r="W194" s="49" t="n"/>
    </row>
    <row r="195" ht="409.6" customHeight="1" s="59">
      <c r="A195" s="38" t="inlineStr">
        <is>
          <t>E23-S07</t>
        </is>
      </c>
      <c r="B195" s="39" t="inlineStr">
        <is>
          <t>E23</t>
        </is>
      </c>
      <c r="C195" s="40" t="inlineStr">
        <is>
          <t>DEPLOYMENT &amp; OPS</t>
        </is>
      </c>
      <c r="D195" s="40" t="inlineStr">
        <is>
          <t>Secrets backend migration</t>
        </is>
      </c>
      <c r="E195" s="40" t="inlineStr">
        <is>
          <t>New</t>
        </is>
      </c>
      <c r="F195" s="52" t="inlineStr">
        <is>
          <t>P2</t>
        </is>
      </c>
      <c r="G195" s="39" t="inlineStr">
        <is>
          <t>8</t>
        </is>
      </c>
      <c r="H195" s="51" t="inlineStr">
        <is>
          <t>Safety-critical</t>
        </is>
      </c>
      <c r="I195" s="39" t="inlineStr">
        <is>
          <t>SEC</t>
        </is>
      </c>
      <c r="J195" s="43" t="n">
        <v>1</v>
      </c>
      <c r="K195" s="40" t="n"/>
      <c r="L195" s="40" t="n"/>
      <c r="M195" s="44" t="n"/>
      <c r="N195" s="45" t="n"/>
      <c r="O195" s="46" t="n"/>
      <c r="P195" s="46" t="n"/>
      <c r="Q195" s="47" t="n"/>
      <c r="R195" s="39" t="n">
        <v>0</v>
      </c>
      <c r="S195" s="48" t="n"/>
      <c r="T195" s="48" t="n"/>
      <c r="U195" s="48" t="n"/>
      <c r="V195" s="48" t="inlineStr">
        <is>
          <t>SOPS+age → Vault when a second host appears. # CROSS-CUTTING BLOCKERS These gate multiple epics and are not code. Resolve first. | ID | Blocker | Blocks | Action | |---|---|---|---| | B1 | Algo-ID attachment mechanic unconfirmed | E02-S04, E21-S01 | Ask Zerodha: `tag` field or broker-injected? | | B2 | `pykiteconnect` lacks `market_protection` | E02-S04, E15-S01 | Install from git main, or wait for release | | B3 | NSE holiday list incomplete | E04-S07, all scheduling | Transcribe the circular | | B4 | Historical data pricing unconfirmed | E03-S03 budget | Ask Zerodha | | B5 | Daily login mechanism untested | E02-S01 | Prototype the phone→callback flow | | B6 | Static IP not procured | E23-S02, all live trading | Select provider, procure | # SUGGESTED SPRINT SEQUENCE Two-week sprints, solo. Each ends with something demonstrable. | Sprint | Focus | Key deliverable | |---|---|---| | 1 | E01 + B1–B6 resolution | Schema live, blockers answered | | 2 | E03 + E04 | Historical data flowing, hazard lists daily | | 3 | E02-S01..S03, E05-S01..S05 | Live ticks arriving and cleaned | | 4 | E05-S06..S08, E06-S01..S03 | Bars building, indicators warm | | 5 | E06-S04..S07, E07 | Ranked watchlist every morning | | 6 | E09, E19-S01..S02 | Macro context + Telegram working | | 7 | E08, E10-S01..S04 | News scored, AI layer live | | 8 | E11 | ★ Pre-market plan by 09:15 — the inflection point | | 9 | E10-S05, E13, E17-S01..S03 | Live signals with rationale, dashboard | | 10 | E14 | Risk engine complete, property-tested | | 11 | E15-S01..S07 | Order execution on paper | | 12 | E15-S08..S11, E16 | Position management, autonomy, approval | | 13 | E12-S01..S08 | Strategy registry + validation gauntlet | | 14 | E12-S09..S10, E20 | Shadow mode, observability | | 15 | E17-S04..S09, E18 | UI complete | | 16 | E21, E22-S01..S04 | Compliance, tax, chaos tests | | 17 | E22-S05..S08, E23 | Hardening, deployment | | 18 | Paper trading | Multi-week validation across regimes | | 19+ | PRE_LIVE_CHECKLIST | Approval mode, small live size | # WORKING NOTES Start every 🔴 story by writing the test that proves the invariant. Two real bugs shipped past a clean code read in Phase 0; both took under a minute to find by *executing* the claim. Code review catches intent; only execution catches behaviour. Never merge a 🔴 story at the end of a session. Sleep on it, re-read the diff in the morning. Phase 3 (Sprint 8) is the inflection point. From that week the system pays for itself as a research assistant whether or not execution is ever automated. If the schedule slips, protect this milestone over everything after it. The riskiest sequencing mistake would be building E12-S11/S12 (AI strategy generation) before E12-S05..S08 (the gauntlet). That is building the dangerous half of the feature first. *Living document. Update story status as work completes; add stories as discovery reveals them. Estimates are guesses until the first sprint calibrates them.*</t>
        </is>
      </c>
      <c r="W195" s="49" t="n"/>
      <c r="X195" s="75" t="inlineStr">
        <is>
          <t>The Vault provider currently raises NotImplementedError, which fails closed correctly. Preserve that property when implementing: an unavailable secrets backend must STOP startup, never silently fall back to environment variables — which is precisely what would happen under pressure if the fallback exists.</t>
        </is>
      </c>
    </row>
    <row r="196">
      <c r="A196" s="38" t="inlineStr">
        <is>
          <t>E01-S09</t>
        </is>
      </c>
      <c r="B196" s="39" t="inlineStr">
        <is>
          <t>E01</t>
        </is>
      </c>
      <c r="C196" s="40" t="inlineStr">
        <is>
          <t>PERSISTENCE &amp; DATA LAYER</t>
        </is>
      </c>
      <c r="D196" s="40" t="inlineStr">
        <is>
          <t>E01 end-to-end QA suite</t>
        </is>
      </c>
      <c r="E196" s="40" t="inlineStr">
        <is>
          <t>Closed</t>
        </is>
      </c>
      <c r="F196" s="41" t="inlineStr">
        <is>
          <t>P0</t>
        </is>
      </c>
      <c r="G196" s="39" t="inlineStr">
        <is>
          <t>1</t>
        </is>
      </c>
      <c r="H196" s="50" t="inlineStr">
        <is>
          <t>Correctness-critical</t>
        </is>
      </c>
      <c r="I196" s="39" t="inlineStr">
        <is>
          <t>TEST</t>
        </is>
      </c>
      <c r="J196" s="43" t="n">
        <v>0.5</v>
      </c>
      <c r="K196" s="40" t="inlineStr">
        <is>
          <t>E01-S01..S06</t>
        </is>
      </c>
      <c r="L196" s="40" t="inlineStr">
        <is>
          <t>None</t>
        </is>
      </c>
      <c r="M196" s="44" t="inlineStr">
        <is>
          <t>Self</t>
        </is>
      </c>
      <c r="N196" s="45" t="n">
        <v>1</v>
      </c>
      <c r="O196" s="46" t="inlineStr">
        <is>
          <t>None</t>
        </is>
      </c>
      <c r="P196" s="46" t="inlineStr">
        <is>
          <t>None</t>
        </is>
      </c>
      <c r="Q196" s="47" t="n">
        <v>100</v>
      </c>
      <c r="R196" s="39" t="n">
        <v>3</v>
      </c>
      <c r="S196" s="48" t="inlineStr">
        <is>
          <t>As a developer, I want the whole E01 stack exercised as ONE system, so that defects in the seams between components are caught here rather than in Phase 1.</t>
        </is>
      </c>
      <c r="T196" s="48" t="inlineStr">
        <is>
          <t>1. Full trade lifecycle: instrument sync -&gt; hazard flags -&gt; bars -&gt; Redis state -&gt; stream -&gt; rate limit -&gt; order -&gt; position -&gt; audit -&gt; verify -&gt; archive -&gt; restore (QA-E01-01..12)
2. Cross-component contract tests — symbol validity agreement, JSONB round trip, correlation_id propagation, lock/index agreement
3. Fail-closed behaviour for every component</t>
        </is>
      </c>
      <c r="U196" s="48" t="inlineStr">
        <is>
          <t>• One correlation_id reconstructs the full trade from decision_log
• Every component consumes what the previous one produced, unmodified
• Prices are still exact Decimals after an archive/restore cycle
• Every failure path degrades to 'do not trade', never to 'proceed'</t>
        </is>
      </c>
      <c r="V196" s="48" t="inlineStr">
        <is>
          <t>CLOSED 7 Aug 2026. 9 tests in tests/integration/test_e01_end_to_end.py.
THIS SUITE IMMEDIATELY EARNED ITS KEEP — it HUNG on first run, which turned out to be QA-SEC-05: the decision_log.symbol_id foreign key blocking the audit writer on an uncommitted business transaction. No per-story suite could have found that, because it only appears when the audit writer and a business transaction run against the same instrument at the same time.
Also validates the seams no single story owns: that a symbol the instruments table accepts is also a legal Redis key (a disagreement would mean a bar written and then a throw building the cache key for it), and that an audit payload survives the JSONB round trip so verification reads back what was hashed.</t>
        </is>
      </c>
      <c r="W196" s="49" t="inlineStr">
        <is>
          <t>Run with: pytest tests/integration/test_e01_end_to_end.py
Requires Docker (TimescaleDB + Redis containers). Skips cleanly without it.</t>
        </is>
      </c>
    </row>
    <row r="197">
      <c r="A197" s="38" t="inlineStr">
        <is>
          <t>E01-S10</t>
        </is>
      </c>
      <c r="B197" s="39" t="inlineStr">
        <is>
          <t>E01</t>
        </is>
      </c>
      <c r="C197" s="40" t="inlineStr">
        <is>
          <t>PERSISTENCE &amp; DATA LAYER</t>
        </is>
      </c>
      <c r="D197" s="40" t="inlineStr">
        <is>
          <t>E01 penetration-test suite</t>
        </is>
      </c>
      <c r="E197" s="40" t="inlineStr">
        <is>
          <t>Closed</t>
        </is>
      </c>
      <c r="F197" s="41" t="inlineStr">
        <is>
          <t>P0</t>
        </is>
      </c>
      <c r="G197" s="39" t="inlineStr">
        <is>
          <t>1</t>
        </is>
      </c>
      <c r="H197" s="50" t="inlineStr">
        <is>
          <t>Safety-critical</t>
        </is>
      </c>
      <c r="I197" s="39" t="inlineStr">
        <is>
          <t>SEC</t>
        </is>
      </c>
      <c r="J197" s="43" t="n">
        <v>0.5</v>
      </c>
      <c r="K197" s="40" t="inlineStr">
        <is>
          <t>E01-S01..S06</t>
        </is>
      </c>
      <c r="L197" s="40" t="inlineStr">
        <is>
          <t>None</t>
        </is>
      </c>
      <c r="M197" s="44" t="inlineStr">
        <is>
          <t>Self</t>
        </is>
      </c>
      <c r="N197" s="45" t="n">
        <v>1</v>
      </c>
      <c r="O197" s="46" t="inlineStr">
        <is>
          <t>None</t>
        </is>
      </c>
      <c r="P197" s="46" t="inlineStr">
        <is>
          <t>None</t>
        </is>
      </c>
      <c r="Q197" s="47" t="n">
        <v>100</v>
      </c>
      <c r="R197" s="39" t="n">
        <v>7</v>
      </c>
      <c r="S197" s="48" t="inlineStr">
        <is>
          <t>As the operator, I want E01 attacked deliberately rather than reviewed, so that the security properties it claims are the ones it actually has.</t>
        </is>
      </c>
      <c r="T197" s="48" t="inlineStr">
        <is>
          <t>1. Audit hash collision / forgery probes
2. Payload canonicalisation probes
3. Redis key injection via broker-supplied symbols
4. DLQ key growth
5. FK-induced audit blocking
6. Error-message leakage and log flooding
7. Chain preimage / reordering resistance</t>
        </is>
      </c>
      <c r="U197" s="48" t="inlineStr">
        <is>
          <t>• Every finding has a regression test that fails if it is reintroduced
• Every rejection test is paired with a control proving it is targeted
• Real NSE symbols (M&amp;M, BAJAJ-AUTO) are NOT broken by the input filter</t>
        </is>
      </c>
      <c r="V197" s="48" t="inlineStr">
        <is>
          <t>CLOSED 7 Aug 2026. 39 tests in tests/security/test_e01_pentest.py.
SIX VULNERABILITIES FOUND AND FIXED — see the 'Security Findings' sheet for the full detail. The most serious (QA-SEC-01, HIGH) was a hash collision in the audit chain: the material was built with "|".join(...) and an unescaped delimiter, so two DIFFERENT audit rows produced an IDENTICAL hash. That defeats the entire tamper-evidence property the chain exists to provide.
Threat model is deliberately realistic rather than theatrical: broker instrument data is untrusted external input, news and AI output reach audit payloads, and an attacker WITH database access is explicitly in scope for the audit chain — that is the whole reason it is hash-chained rather than merely append-only.</t>
        </is>
      </c>
      <c r="W197" s="49" t="inlineStr">
        <is>
          <t>Two of the six were found by the pen-test suite failing on its OWN first run (QA-SEC-03 regex bypass, QA-SEC-06 log flooding), which is the strongest argument for writing adversarial tests rather than reviewing code.</t>
        </is>
      </c>
    </row>
    <row r="198">
      <c r="A198" s="77" t="inlineStr">
        <is>
          <t>E00-S11</t>
        </is>
      </c>
      <c r="B198" s="48" t="inlineStr">
        <is>
          <t>E00</t>
        </is>
      </c>
      <c r="C198" s="48" t="inlineStr">
        <is>
          <t>FOUNDATION</t>
        </is>
      </c>
      <c r="D198" s="48" t="inlineStr">
        <is>
          <t>Strategy primitive evaluators and tri-state runtime</t>
        </is>
      </c>
      <c r="E198" s="48" t="inlineStr">
        <is>
          <t>QA-Success</t>
        </is>
      </c>
      <c r="F198" s="78" t="inlineStr">
        <is>
          <t>P0</t>
        </is>
      </c>
      <c r="G198" s="48" t="inlineStr">
        <is>
          <t>0</t>
        </is>
      </c>
      <c r="H198" s="79" t="inlineStr">
        <is>
          <t>Safety-critical</t>
        </is>
      </c>
      <c r="I198" s="48" t="inlineStr">
        <is>
          <t>FEAT</t>
        </is>
      </c>
      <c r="J198" s="80" t="n">
        <v>4</v>
      </c>
      <c r="K198" s="48" t="inlineStr">
        <is>
          <t>E00-S08, E06-S04</t>
        </is>
      </c>
      <c r="L198" s="48" t="inlineStr">
        <is>
          <t>-</t>
        </is>
      </c>
    </row>
    <row r="199">
      <c r="A199" s="77" t="inlineStr">
        <is>
          <t>E22-S00</t>
        </is>
      </c>
      <c r="B199" s="48" t="inlineStr">
        <is>
          <t>E22</t>
        </is>
      </c>
      <c r="C199" s="48" t="inlineStr">
        <is>
          <t>TESTING &amp; VALIDATION</t>
        </is>
      </c>
      <c r="D199" s="48" t="inlineStr">
        <is>
          <t>Mutation testing harness for the safety-critical paths</t>
        </is>
      </c>
      <c r="E199" s="48" t="inlineStr">
        <is>
          <t>QA-Success</t>
        </is>
      </c>
      <c r="F199" s="78" t="inlineStr">
        <is>
          <t>P1</t>
        </is>
      </c>
      <c r="G199" s="48" t="inlineStr">
        <is>
          <t>7</t>
        </is>
      </c>
      <c r="H199" s="79" t="inlineStr">
        <is>
          <t>Safety-critical</t>
        </is>
      </c>
      <c r="I199" s="48" t="inlineStr">
        <is>
          <t>INFRA</t>
        </is>
      </c>
      <c r="J199" s="80" t="n">
        <v>1</v>
      </c>
      <c r="K199" s="48" t="inlineStr">
        <is>
          <t>-</t>
        </is>
      </c>
      <c r="L199" s="48" t="inlineStr">
        <is>
          <t>-</t>
        </is>
      </c>
    </row>
    <row r="200">
      <c r="A200" s="76" t="inlineStr">
        <is>
          <t>E14-S10</t>
        </is>
      </c>
      <c r="B200" s="76" t="inlineStr">
        <is>
          <t>E14</t>
        </is>
      </c>
      <c r="C200" s="76" t="inlineStr">
        <is>
          <t>RISK ENGINE</t>
        </is>
      </c>
      <c r="D200" s="76" t="inlineStr">
        <is>
          <t>Sizer clamps to exposure headroom</t>
        </is>
      </c>
      <c r="E200" s="76" t="inlineStr">
        <is>
          <t>QA-Success</t>
        </is>
      </c>
      <c r="F200" s="76" t="inlineStr">
        <is>
          <t>P0</t>
        </is>
      </c>
      <c r="G200" s="76" t="inlineStr">
        <is>
          <t>5</t>
        </is>
      </c>
      <c r="H200" s="76" t="inlineStr">
        <is>
          <t>Safety-critical</t>
        </is>
      </c>
      <c r="I200" s="76" t="inlineStr">
        <is>
          <t>FEAT</t>
        </is>
      </c>
      <c r="J200" s="76" t="n">
        <v>0.5</v>
      </c>
      <c r="K200" s="76" t="inlineStr">
        <is>
          <t>E14-S04, E14-S07</t>
        </is>
      </c>
      <c r="Q200" t="n">
        <v>100</v>
      </c>
      <c r="R200" s="76" t="n">
        <v>3</v>
      </c>
      <c r="T200" s="76" t="inlineStr">
        <is>
          <t>1. Add sector headroom to the sizing clamp set
2. Add net-directional headroom to the sizing clamp set
3. Record which of them bound, in binding_constraint</t>
        </is>
      </c>
      <c r="U200" s="76" t="inlineStr">
        <is>
          <t>AC1 (RED) A position sized into a sector that is 35% of capital, with a 40% cap, is clamped so the resulting book is at or below 40% — not merely allowed because 35 &lt; 40.
AC2 (RED) The same for net directional exposure.
AC3 binding_constraint names the sector or net-exposure clamp when it is the one that bound, so a surprisingly small position is explainable.
AC4 (CONTROL) A position with ample headroom is unaffected by either clamp.</t>
        </is>
      </c>
      <c r="V200" s="76" t="inlineStr">
        <is>
          <t>DELIVERED 7 Sep 2026. The two portfolio caps now BIND. max_sector_exposure_pct (40) and max_net_directional_exposure_pct (60) had been in system.yaml since the beginning and were enforced by nothing. WHERE IT LANDED: execution/sizer.py, as two more entries in the existing min() clamp set, because the sizer is the only component that knows the quantity and already records which clamp bound. THE ARITHMETIC, and the part that is not obvious: sector exposure is UNSIGNED (a sector shock moves every name in it, so a short in that sector is exposed to the same event), while net directional is SIGNED, so the room available depends on which way the book already leans. One expression covers both directions: headroom = cap - sign * net, with sign +1 for a long and -1 for a short. A formula that ignored the sign would refuse the short that REDUCES directional risk while permitting the long that makes the book worse; that case is asserted directly. FAIL-CLOSED: the sizer refuses if the candidate has no sector, or if any open position is unclassified - a sector total computed over an incomplete book is too SMALL, which makes the headroom too LARGE and the clamp too LOOSE. Repeated in the sizer rather than assumed from check 9, which is the AUDIT-005 lesson: a component must not depend on a particular engine having been assembled with a particular check. REASON CODES: a zero quantity from either clamp reports SECTOR_EXPOSURE_LIMIT or NET_EXPOSURE_LIMIT, not POSITION_TOO_SMALL - the SIT-001 lesson about what a wrong label on a metric costs. FOUND WHILE BUILDING: CORR-001 and CORR-002, both in correlation.py, both recorded in QA Results. 36 new tests. Mutation testing: 15 injected, 14 killed, 1 verified benign.</t>
        </is>
      </c>
    </row>
    <row r="201" ht="150" customHeight="1" s="59">
      <c r="A201" s="38" t="inlineStr">
        <is>
          <t>E14-S11</t>
        </is>
      </c>
      <c r="B201" s="39" t="inlineStr">
        <is>
          <t>E14</t>
        </is>
      </c>
      <c r="C201" s="40" t="inlineStr">
        <is>
          <t>RISK ENGINE</t>
        </is>
      </c>
      <c r="D201" s="40" t="inlineStr">
        <is>
          <t>Signal priority queue when candidates exceed free slots</t>
        </is>
      </c>
      <c r="E201" s="40" t="inlineStr">
        <is>
          <t>New</t>
        </is>
      </c>
      <c r="F201" s="41" t="inlineStr">
        <is>
          <t>P1</t>
        </is>
      </c>
      <c r="G201" s="39" t="inlineStr">
        <is>
          <t>5</t>
        </is>
      </c>
      <c r="H201" s="51" t="inlineStr">
        <is>
          <t>Safety-critical</t>
        </is>
      </c>
      <c r="I201" s="39" t="inlineStr">
        <is>
          <t>FEAT</t>
        </is>
      </c>
      <c r="J201" s="39" t="n">
        <v>1</v>
      </c>
      <c r="K201" s="40" t="inlineStr">
        <is>
          <t>E12, E13, E14-S08</t>
        </is>
      </c>
      <c r="L201" s="40" t="inlineStr">
        <is>
          <t>E12 (no expectancy), E13 (no signal score)</t>
        </is>
      </c>
      <c r="M201" s="44" t="n"/>
      <c r="N201" s="45" t="n"/>
      <c r="O201" s="44" t="n"/>
      <c r="P201" s="44" t="n"/>
      <c r="Q201" s="44" t="n">
        <v>0</v>
      </c>
      <c r="R201" s="39" t="n">
        <v>3</v>
      </c>
      <c r="S201" s="48" t="n"/>
      <c r="T201" s="48" t="inlineStr">
        <is>
          <t>1. Rank candidate signals by score, then by expectancy 2. Feed the ranked order into SlotManager.claiming so the best candidates take the scarce slots 3. Record the ranking in the audit log so a passed-over signal is explainable</t>
        </is>
      </c>
      <c r="U201" s="48" t="inlineStr">
        <is>
          <t>AC1 With more candidates than free slots, the slots go to the highest-ranked candidates and the rest are refused with a reason naming the rank. AC2 (CONTROL) With fewer candidates than free slots, ranking changes nothing and every candidate is allocated. AC3 Ranking is deterministic - the same candidate set produces the same order on every run, so a session replays identically.</t>
        </is>
      </c>
      <c r="V201" s="48" t="inlineStr">
        <is>
          <t>SPLIT OUT OF E14-S08 on 7 Sep 2026 because it cannot be built yet, and building it anyway would have meant inventing the number it ranks on. E14-S08 task 2 asked to order candidates by 'score, then expectancy'. NOTHING IN src/ COMPUTES AN EXPECTANCY: paper_min_expectancy_r is a configured THRESHOLD with no producer, and the only other mention is a docstring in indicators/levels.py. The signals package is empty, so there is no signal score either. Until then E14-S08 allocates first-come, which is honest: it is what the system can actually justify. A made-up ranking over real money is worse than no ranking, because it looks like a decision. This is recorded rather than silently dropped so that the gap between the story as written and the story as delivered is visible.</t>
        </is>
      </c>
      <c r="W201" s="49" t="n"/>
    </row>
    <row r="202" ht="150" customHeight="1" s="59">
      <c r="A202" s="38" t="inlineStr">
        <is>
          <t>E14-S12</t>
        </is>
      </c>
      <c r="B202" s="39" t="inlineStr">
        <is>
          <t>E14</t>
        </is>
      </c>
      <c r="C202" s="40" t="inlineStr">
        <is>
          <t>RISK ENGINE</t>
        </is>
      </c>
      <c r="D202" s="40" t="inlineStr">
        <is>
          <t>Halt triggers from a phone and a dashboard</t>
        </is>
      </c>
      <c r="E202" s="40" t="inlineStr">
        <is>
          <t>New</t>
        </is>
      </c>
      <c r="F202" s="41" t="inlineStr">
        <is>
          <t>P0</t>
        </is>
      </c>
      <c r="G202" s="39" t="inlineStr">
        <is>
          <t>5</t>
        </is>
      </c>
      <c r="H202" s="51" t="inlineStr">
        <is>
          <t>Safety-critical</t>
        </is>
      </c>
      <c r="I202" s="39" t="inlineStr">
        <is>
          <t>SEC</t>
        </is>
      </c>
      <c r="J202" s="39" t="n">
        <v>1.5</v>
      </c>
      <c r="K202" s="40" t="inlineStr">
        <is>
          <t>E14-S09, E10 (notifier), E09 (api)</t>
        </is>
      </c>
      <c r="L202" s="40" t="inlineStr">
        <is>
          <t>B5 (Telegram bot credential); notifier and api packages are empty</t>
        </is>
      </c>
      <c r="M202" s="44" t="n"/>
      <c r="N202" s="45" t="n"/>
      <c r="O202" s="44" t="n"/>
      <c r="P202" s="44" t="n"/>
      <c r="Q202" s="44" t="n">
        <v>0</v>
      </c>
      <c r="R202" s="39" t="n">
        <v>2</v>
      </c>
      <c r="S202" s="48" t="n"/>
      <c r="T202" s="48" t="inlineStr">
        <is>
          <t>1. Telegram command that arms the halt, authenticated to one chat id 2. Dashboard control that does the same 3. The 'AI unavailable' auto-trigger, once there is an AI client whose availability can be observed 4. Confirm round-trip latency against AC1</t>
        </is>
      </c>
      <c r="U202" s="48" t="inlineStr">
        <is>
          <t>AC1 (RED) A halt is armed from a phone in under 10 seconds, measured end to end. AC2 Only an authorised chat id can arm or clear it. AC3 (CONTROL) An unauthenticated message changes nothing and is logged.</t>
        </is>
      </c>
      <c r="V202" s="48" t="inlineStr">
        <is>
          <t>SPLIT OUT OF E14-S09 on 8 Sep 2026. The controller is built and accepts a MANUAL arm today; what is missing is the transport. Both packages it needs are empty (notifier/, api/) and it requires a real bot credential, which is blocker B5 - money/credentials, the escalation category. The 'AI unavailable' trigger is folded in here rather than stubbed in S09, because a trigger that watches an empty package reads as a live control while observing nothing. AC1 lives here because it cannot be measured without the transport.</t>
        </is>
      </c>
      <c r="W202" s="49" t="n"/>
      <c r="X202" s="75" t="n"/>
    </row>
    <row r="203" ht="150" customHeight="1" s="59">
      <c r="A203" s="38" t="inlineStr">
        <is>
          <t>E14-S13</t>
        </is>
      </c>
      <c r="B203" s="39" t="inlineStr">
        <is>
          <t>E14</t>
        </is>
      </c>
      <c r="C203" s="40" t="inlineStr">
        <is>
          <t>RISK ENGINE</t>
        </is>
      </c>
      <c r="D203" s="40" t="inlineStr">
        <is>
          <t>Operator command to close open positions</t>
        </is>
      </c>
      <c r="E203" s="40" t="inlineStr">
        <is>
          <t>New</t>
        </is>
      </c>
      <c r="F203" s="41" t="inlineStr">
        <is>
          <t>P0</t>
        </is>
      </c>
      <c r="G203" s="39" t="inlineStr">
        <is>
          <t>5</t>
        </is>
      </c>
      <c r="H203" s="51" t="inlineStr">
        <is>
          <t>Safety-critical</t>
        </is>
      </c>
      <c r="I203" s="39" t="inlineStr">
        <is>
          <t>SEC</t>
        </is>
      </c>
      <c r="J203" s="39" t="n">
        <v>1</v>
      </c>
      <c r="K203" s="40" t="inlineStr">
        <is>
          <t>E14-S09, E15 (order gateway)</t>
        </is>
      </c>
      <c r="L203" s="40" t="inlineStr">
        <is>
          <t>No order path exists to cancel or close through</t>
        </is>
      </c>
      <c r="M203" s="44" t="n"/>
      <c r="N203" s="45" t="n"/>
      <c r="O203" s="44" t="n"/>
      <c r="P203" s="44" t="n"/>
      <c r="Q203" s="44" t="n">
        <v>0</v>
      </c>
      <c r="R203" s="39" t="n">
        <v>2</v>
      </c>
      <c r="S203" s="48" t="n"/>
      <c r="T203" s="48" t="inlineStr">
        <is>
          <t>1. An explicit operator command that closes open positions, separate from arming a halt 2. Cancel resting orders when a halt is armed 3. Record ExitReason.KILLSWITCH against each position closed this way</t>
        </is>
      </c>
      <c r="U203" s="48" t="inlineStr">
        <is>
          <t>AC1 (RED) Arming a halt closes NOTHING by itself - open positions are not blindly market-closed. AC2 The close command is a separate, explicitly confirmed action. AC3 The square-off timer keeps running throughout a halt, so a halted session still exits on its own terms before the broker's deadline.</t>
        </is>
      </c>
      <c r="V203" s="48" t="inlineStr">
        <is>
          <t>SPLIT OUT OF E14-S09 on 8 Sep 2026. There is no order path, so there is nothing to cancel and nothing to close through. AC1 is already satisfied and asserted in E14-S09 as a NEGATIVE, structural property: the halt controller holds no position or order collaborator, exposes no method that could liquidate, and imports nothing from those paths. It is restated here because when this story adds the capability, that property stops being free and has to be defended deliberately. AC3 is E14-S09's recorded build concern: a kill switch tripped at 14:00 that also stopped the exit path would leave positions for the broker to close at 15:20 at whatever price exists.</t>
        </is>
      </c>
      <c r="W203" s="49" t="n"/>
      <c r="X203" s="75" t="n"/>
    </row>
    <row r="204">
      <c r="A204" s="38" t="inlineStr">
        <is>
          <t>E15-S12</t>
        </is>
      </c>
      <c r="B204" s="39" t="inlineStr">
        <is>
          <t>E15</t>
        </is>
      </c>
      <c r="C204" s="40" t="inlineStr">
        <is>
          <t>EXECUTION &amp; POSITIONS</t>
        </is>
      </c>
      <c r="D204" s="40" t="inlineStr">
        <is>
          <t>Book fills from reconciliation</t>
        </is>
      </c>
      <c r="E204" s="40" t="inlineStr">
        <is>
          <t>QA-Success</t>
        </is>
      </c>
      <c r="F204" s="41" t="inlineStr">
        <is>
          <t>P0</t>
        </is>
      </c>
      <c r="G204" s="39" t="inlineStr">
        <is>
          <t>5</t>
        </is>
      </c>
      <c r="H204" s="50" t="inlineStr">
        <is>
          <t>Safety-critical</t>
        </is>
      </c>
      <c r="I204" s="39" t="inlineStr">
        <is>
          <t>FEAT</t>
        </is>
      </c>
      <c r="J204" s="39" t="n">
        <v>1.5</v>
      </c>
      <c r="K204" s="40" t="inlineStr">
        <is>
          <t>E15-S09, E15-S05</t>
        </is>
      </c>
      <c r="L204" s="40" t="n"/>
      <c r="M204" s="44" t="n"/>
      <c r="N204" s="45" t="n"/>
      <c r="O204" s="44" t="n"/>
      <c r="P204" s="44" t="n"/>
      <c r="Q204" s="44" t="n">
        <v>100</v>
      </c>
      <c r="R204" s="39" t="n">
        <v>7</v>
      </c>
      <c r="S204" s="48" t="inlineStr">
        <is>
          <t>As a trader, I want a fill the reconciliation loop observes to become a protected position in the book, so that the system can hold a position at all - until this exists, every fill is exited as unprotected.</t>
        </is>
      </c>
      <c r="T204" s="48" t="inlineStr">
        <is>
          <t>1. Carry the approved sizing, slot and CAS flag from submission to fill (the orders table has none of them) - an EntryPlan registered with the position manager
2. Entry observed FILLED (terminal) -&gt; PositionManager.open_from_fill, BEFORE the unbooked-exit step
3. Stop observed FILLED -&gt; confirm_exit(reason=STOP); emergency exit FILLED -&gt; confirm_exit(reason=UNPROTECTED)
4. A fill with no plan (e.g. after a restart) is exited, never booked on a guess
5. ADDED: a still-working entry with a partial fill is FROZEN (remainder cancelled through the gateway) before it is booked or exited
6. ADDED: a holding that can no longer be exited under the day's exit key halts instead of being left silently (QA-E15-23, CRITICAL, found in E15-S09)
7. ADDED: OrderGateway.cancel - the only path to cancelling an order, as placing is</t>
        </is>
      </c>
      <c r="U204" s="48" t="inlineStr">
        <is>
          <t>AC1 (RED) A terminal entry fill with an approved plan becomes a ProtectedPosition in the same cycle, before the unbooked-exit step runs.
AC2 (RED) A position whose stop fills leaves the book with exit_reason STOP and its realised P&amp;L; one whose emergency exit fills leaves with UNPROTECTED.
AC3 (RED) A fill with no plan is exited, never booked with a guessed stop.
AC4 (RED) A working entry with a partial fill is frozen - its remainder cancelled - before it is booked or exited; one that cannot be frozen within three cycles halts (NAKED_POSITION).
AC5 (RED) A holding that cannot be exited under the day's exit key (key already spent, or our exits exceeding our entries) halts rather than being left silently.
AC6 A doubted correlation is never booked; a replayed booking (PositionAlreadyHeldError) is a normal outcome, not a failure.</t>
        </is>
      </c>
      <c r="V204" s="48" t="inlineStr">
        <is>
          <t>RAISED 24 Sep 2026 by E15-S09's business analysis. Split out because open_from_fill needs data the orders table does not carry, which is a design problem of its own and would have doubled S09.
BUSINESS ANALYSIS, 30 Sep 2026.
RESEARCH (primary source, fetched 30 Sep 2026): Zerodha's market-price-protection article says the exchange 'will either convert your order to a limit order, or cancel your order'. A secondary summary says the unexecuted remainder stays open as a limit order at the protection price. Both agree a remainder CAN stay working - which of the two happens when does not change the design: build for the worse one.
THAT MAKES A PARTIAL ENTRY A MOVING TARGET. Book it and protect it, and its remainder can fill afterwards with no stop. Exit it, and the remainder can fill after the exit under a key that can only be used once. So a working partial entry is frozen first, and acted on once its quantity can no longer change.
FOUND WHILE PROBING THAT, IN SHIPPED E15-S09 CODE (QA-E15-23, CRITICAL): an entry filling 40, then 30 more after the loop exited the 40, leaves 30 shares long with no stop, no exit, no halt and no alert - forever. The day's SQUAREOFF key is spent and exit_is_live counts the FILLED exit as live. Confirmed with the real gateway, real ProtectiveStop and real Reconciler, not by reasoning.
DESIGN DECISION - PLANS ARE IN MEMORY, NOT DURABLE. The window between submission and booking is one cycle; a restart inside it exits the fill (AC3), which is safe and costs one trade. A durable plan table would book it instead, at the cost of a migration. Wrong if restarts during trading become common, or booking lags.
OUT OF SCOPE, with owners: resizing a stop when a booked position grows, and reducing the book's quantity on a PARTIAL stop or exit fill - both E15-S08 (partial exits). Registering plans at submission - the pipeline wiring, which does not exist yet; this story delivers the registry and its consumer, as S04 and S05 delivered mechanisms before their callers.
DELIVERED 30 Sep 2026. Step 3b of the reconciliation cycle, EntryPlan, OrderGateway.cancel.
CLOSE, FREEZE, BOOK - in that order, and BEFORE the protection check and the unbooked-exit step. A stop that filled closes with STOP; an emergency exit with UNPROTECTED. A working partial entry is frozen - its remainder cancelled through the gateway, the only path to a cancel - and acted on once its quantity cannot change. A finished entry with a plan is booked; one without is exited, never booked on a guess.
BOOKED UNDER OUR IDENTITY. The Kite adapter derives an order's correlation id from its truncated tag; booked from that, the stop key is wrong and the next step exits the position just protected. Proved against the real adapter.
QA-E15-23 (CRITICAL, in E15-S09's shipped code) FIXED HERE: only a WORKING exit covers a holding. Anything uncovered once the day's exit key is spent (EXIT_SPENT), or our exits outrunning our entries (OVER_EXITED), halts once and re-arms every cycle.
FOUND DURING THE STORY: two E15-S09 tests asserted what the fake allowed and the real key rule forbids (QA-E15-24); PositionManager accepted no calendar and failed at its first booking (QA-E15-25); an integration helper committed its session and leaked rows into the next file (QA-E15-26); a mutation survivor's test passed for the wrong reason (QA-E15-27); a booking failure's broker text reached the audit table (REC-003).
TESTS: 2,361 -&gt; 2,419; coverage 93% flat; 30 reconciler unit + 8 position-manager unit + 9 gateway-cancel unit + 4 integration (real Postgres, Redis, Kite mapping) + 7 SIT-20. Mutation: 21 injected, 21 killed (19/21 first run; both survivors verified benign - second layers - and now held directly).
SIT AGAINST THE PROMOTED QA TREE, 15 Oct 2026: QA 4426069 (DEV 21c042c, CI green on DEV). 181 passed, 0 failed, including all 7 SIT-20 scenarios; Documents/, scripts/tracker and .claude absent from the QA tree.
QA CI ON 4426069 WAS RED, 15 Oct 2026 - not this story's code. The Tests job passed; the Security job's dependency audit failed on four advisories published between the DEV run (30 Sep) and the QA run: three in urllib3 2.7.0 and one in Twisted 26.4.0 (DEP-001, DEP-002, DEP-003). Fixed in DEV 2125817 - urllib3 2.8.0; the Twisted IMAP-server advisory, which has no patched release and is unreachable here, is ignored by ID and the ignore is held by TestTheAcceptedTwistedAdvisory. Full gate 2,427 passed, 0 skipped, coverage 93%.
RE-PROMOTED AND SIT RE-RUN, 15 Oct 2026: QA e28427e (DEV 2125817), CI green on DEV and QA. 201 passed, 0 failed - all 181 SIT scenarios including the 7 SIT-20 ones, plus the 20 dependency-hygiene tests - run from a worktree of the QA branch with algotrader confirmed loaded from that tree. Documents/, scripts/tracker and .claude absent from QA. No new SIT defects.</t>
        </is>
      </c>
      <c r="W204" s="49" t="n"/>
      <c r="X204" t="inlineStr">
        <is>
          <t>CONSTRAINT INHERITED FROM E15-S09 (24 Sep 2026).
1. BOOKING MUST RUN BEFORE S09's UNBOOKED-HOLDING CHECK IN THE SAME CYCLE. That check exits anything our orders explain but the book does not hold. Run it first and a fresh fill is exited thirty seconds before it could have been protected.
2. open_from_fill raises PositionAlreadyHeldError on a replay (SIT-004). That is the normal outcome of a restart, not a failure to handle.
3. A KEY ON MORE THAN ONE BROKER ORDER IS NOT BOOKABLE (REC-001). The reconciler halts on it and marks the correlation doubted; do not book a fill for a doubted correlation - some of those shares may not be ours.
4. confirm_exit's default reason is UNPROTECTED. A stop fill is STOP; pass it.</t>
        </is>
      </c>
    </row>
    <row r="205">
      <c r="A205" s="38" t="inlineStr">
        <is>
          <t>E15-S13</t>
        </is>
      </c>
      <c r="B205" s="39" t="inlineStr">
        <is>
          <t>E15</t>
        </is>
      </c>
      <c r="C205" s="40" t="inlineStr">
        <is>
          <t>EXECUTION &amp; POSITIONS</t>
        </is>
      </c>
      <c r="D205" s="40" t="inlineStr">
        <is>
          <t>Execution service: from signal to protected position</t>
        </is>
      </c>
      <c r="E205" s="40" t="inlineStr">
        <is>
          <t>New</t>
        </is>
      </c>
      <c r="F205" s="41" t="inlineStr">
        <is>
          <t>P0</t>
        </is>
      </c>
      <c r="G205" s="39" t="inlineStr">
        <is>
          <t>5</t>
        </is>
      </c>
      <c r="H205" s="50" t="inlineStr">
        <is>
          <t>Safety-critical</t>
        </is>
      </c>
      <c r="I205" s="39" t="inlineStr">
        <is>
          <t>FEAT</t>
        </is>
      </c>
      <c r="J205" s="39" t="n">
        <v>2</v>
      </c>
      <c r="K205" s="40" t="inlineStr">
        <is>
          <t>E15-S12, E15-S09, E14-S07</t>
        </is>
      </c>
      <c r="L205" s="40" t="n"/>
      <c r="M205" s="44" t="n"/>
      <c r="N205" s="45" t="n"/>
      <c r="O205" s="44" t="n"/>
      <c r="P205" s="44" t="n"/>
      <c r="Q205" s="44" t="n"/>
      <c r="R205" s="39" t="n">
        <v>5</v>
      </c>
      <c r="S205" s="48" t="inlineStr">
        <is>
          <t>As a trader, I want the execution service to take an approved signal all the way to a protected position and keep watching it, so that the mechanisms built separately in E15 actually run together.</t>
        </is>
      </c>
      <c r="T205" s="48" t="inlineStr">
        <is>
          <t>1. Consume Recommendations from stream:signals; evaluate them with the real risk engine
2. Allocate the slot, submit the entry, and register its EntryPlan with the position manager AS it is sent
3. Run the reconciliation loop on its 30s schedule and on reconnect
4. Restore the book on start-up before the first cycle
5. Supply the CAS flag from instrument_daily_status (E04-S05 populates it)</t>
        </is>
      </c>
      <c r="U205" s="48" t="inlineStr">
        <is>
          <t>AC1 (RED) An approved signal becomes a ProtectedPosition through the running service, end to end.
AC2 (RED) A signal the risk engine rejects places nothing.
AC3 (RED) A restart restores the book before the first cycle, so nothing held is mistaken for unbooked.</t>
        </is>
      </c>
      <c r="V205" s="48" t="inlineStr">
        <is>
          <t>RAISED 30 Sep 2026 by E15-S12. S04, S05, S09 and S12 each delivered a mechanism and deliberately left its caller; this story is the caller. Until it exists nothing registers an EntryPlan when an entry is sent, so in production every fill is still exited as unprotected.</t>
        </is>
      </c>
      <c r="W205" s="49" t="n"/>
      <c r="X205" t="inlineStr">
        <is>
          <t>CONSTRAINT INHERITED FROM E15-S12 (30 Sep 2026).
1. REGISTER THE PLAN BEFORE THE FIRST CYCLE CAN SEE THE FILL. A MARKET entry can fill before submit returns; a cycle that sees the fill with no plan exits it.
2. RESTORE BEFORE RECONCILING. A cycle run on an empty book treats every held position as an unbooked fill and exits it.
CONSTRAINTS FROM THE 27 OCT 2026 VERIFICATION (QA-VER-01).
1. BUILD THE RISK ENGINE THROUGH ONE FACTORY that registers all fourteen checks in canonical order and asserts the id list equals all_check_ids(). RiskEngine(checks=[], sizer=...) approves everything - a legitimate test affordance, and a total bypass if production ever constructs one by hand.
2. EvalContext.entries_today MUST come from the order book (entries this strategy made in this symbol today). None refuses to fire - max_entries_per_day defaults to 1 and is now enforced (AUDIT-012). EvalContext.sector likewise, for strategies restricted to sectors.
3. PAIR EVERY DECISION WITH THE RECOMMENDATION IT WAS EVALUATED WITH. The gateway now refuses a mismatch (AUDIT-006); the SIT harness had it wrong for weeks (SIT-008).
4. RECONCILIATION READS SHARE THE DATA TOKEN BUCKET WITH BACKFILL. A backfill draining the bucket makes the 30-second reads fail, and three consecutive failures arm BROKER_DISCONNECTED. Either keep backfill out of the session or give reconciliation its own budget.</t>
        </is>
      </c>
    </row>
  </sheetData>
  <autoFilter ref="A4:W197"/>
  <conditionalFormatting sqref="A5:D197">
    <cfRule type="expression" priority="16" dxfId="42">
      <formula>OR($E5="Removed",$E5="Closed")</formula>
    </cfRule>
  </conditionalFormatting>
  <conditionalFormatting sqref="E5:E197">
    <cfRule type="expression" priority="2" dxfId="13">
      <formula>EXACT($E5,"New")</formula>
    </cfRule>
    <cfRule type="expression" priority="3" dxfId="12">
      <formula>EXACT($E5,"Business Review")</formula>
    </cfRule>
    <cfRule type="expression" priority="4" dxfId="11">
      <formula>EXACT($E5,"Business Approved")</formula>
    </cfRule>
    <cfRule type="expression" priority="5" dxfId="10">
      <formula>EXACT($E5,"Active")</formula>
    </cfRule>
    <cfRule type="expression" priority="6" dxfId="9">
      <formula>EXACT($E5,"Development In-Progress")</formula>
    </cfRule>
    <cfRule type="expression" priority="7" dxfId="8">
      <formula>EXACT($E5,"Development Completed")</formula>
    </cfRule>
    <cfRule type="expression" priority="8" dxfId="7">
      <formula>EXACT($E5,"QA In-Progress")</formula>
    </cfRule>
    <cfRule type="expression" priority="9" dxfId="6">
      <formula>EXACT($E5,"QA-Success")</formula>
    </cfRule>
    <cfRule type="expression" priority="10" dxfId="5">
      <formula>EXACT($E5,"QA-Fail")</formula>
    </cfRule>
    <cfRule type="expression" priority="11" dxfId="4">
      <formula>EXACT($E5,"Closed")</formula>
    </cfRule>
    <cfRule type="expression" priority="12" dxfId="3">
      <formula>EXACT($E5,"Removed")</formula>
    </cfRule>
    <cfRule type="expression" priority="13" dxfId="2">
      <formula>EXACT($E5,"Moved to Backlog")</formula>
    </cfRule>
    <cfRule type="expression" priority="14" dxfId="1">
      <formula>EXACT($E5,"Blocked")</formula>
    </cfRule>
    <cfRule type="expression" priority="15" dxfId="0">
      <formula>EXACT($E5,"On Hold")</formula>
    </cfRule>
  </conditionalFormatting>
  <dataValidations count="2">
    <dataValidation sqref="E5:E197" showDropDown="0" showInputMessage="0" showErrorMessage="0" allowBlank="0" errorTitle="Invalid status" error="Pick a status from the list." promptTitle="Status" prompt="Select the current status" type="list">
      <formula1>"New,Business Review,Business Approved,Active,Development In-Progress,Development Completed,QA In-Progress,QA-Success,QA-Fail,Closed,Removed,Moved to Backlog,Blocked,On Hold"</formula1>
      <formula2>0</formula2>
    </dataValidation>
    <dataValidation sqref="Q5:Q197" showDropDown="0" showInputMessage="0" showErrorMessage="0" allowBlank="1" errorTitle="Invalid percentage" error="Enter a value between 0% and 100%." type="decimal">
      <formula1>0</formula1>
      <formula2>1</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4"/>
  <sheetViews>
    <sheetView tabSelected="1" topLeftCell="C1" zoomScaleNormal="100" workbookViewId="0">
      <pane ySplit="4" topLeftCell="A5" activePane="bottomLeft" state="frozen"/>
      <selection pane="bottomLeft" activeCell="F10" sqref="F10"/>
    </sheetView>
  </sheetViews>
  <sheetFormatPr baseColWidth="8" defaultColWidth="8.6640625" defaultRowHeight="14.4"/>
  <cols>
    <col width="8" customWidth="1" style="59" min="1" max="1"/>
    <col width="42" customWidth="1" style="59" min="2" max="2"/>
    <col width="26" customWidth="1" style="59" min="3" max="3"/>
    <col width="44" customWidth="1" style="59" min="4" max="4"/>
    <col width="23" customWidth="1" style="59" min="5" max="5"/>
    <col width="14" customWidth="1" style="59" min="6" max="6"/>
    <col width="13" customWidth="1" style="59" min="7" max="7"/>
    <col width="74.33203125" customWidth="1" style="59" min="8" max="8"/>
  </cols>
  <sheetData>
    <row r="1" ht="17.4" customHeight="1" s="59">
      <c r="A1" s="36" t="inlineStr">
        <is>
          <t>CROSS-CUTTING BLOCKERS</t>
        </is>
      </c>
    </row>
    <row r="2">
      <c r="A2" s="2" t="inlineStr">
        <is>
          <t>These gate multiple epics and are not code. Resolve first.</t>
        </is>
      </c>
    </row>
    <row r="4" ht="30" customHeight="1" s="59">
      <c r="A4" s="37" t="inlineStr">
        <is>
          <t>ID</t>
        </is>
      </c>
      <c r="B4" s="37" t="inlineStr">
        <is>
          <t>Blocker</t>
        </is>
      </c>
      <c r="C4" s="37" t="inlineStr">
        <is>
          <t>Blocks</t>
        </is>
      </c>
      <c r="D4" s="37" t="inlineStr">
        <is>
          <t>Action Required</t>
        </is>
      </c>
      <c r="E4" s="37" t="inlineStr">
        <is>
          <t>Status</t>
        </is>
      </c>
      <c r="F4" s="37" t="inlineStr">
        <is>
          <t>Owner</t>
        </is>
      </c>
      <c r="G4" s="37" t="inlineStr">
        <is>
          <t>Target Date</t>
        </is>
      </c>
      <c r="H4" s="37" t="inlineStr">
        <is>
          <t>Resolution Notes</t>
        </is>
      </c>
    </row>
    <row r="5" ht="150" customHeight="1" s="59">
      <c r="A5" s="38" t="inlineStr">
        <is>
          <t>B1</t>
        </is>
      </c>
      <c r="B5" s="48" t="inlineStr">
        <is>
          <t>Algo-ID attachment mechanic unconfirmed</t>
        </is>
      </c>
      <c r="C5" s="48" t="inlineStr">
        <is>
          <t>Nothing. E21-S01 cancelled; E02-S04 unblocked</t>
        </is>
      </c>
      <c r="D5" s="48" t="inlineStr">
        <is>
          <t>NONE. The question was malformed: it asked HOW an Algo-ID is attached, and the answer is that at this system's operating profile there is none to attach. No email to Zerodha was needed or sent.</t>
        </is>
      </c>
      <c r="E5" s="40" t="inlineStr">
        <is>
          <t>CLOSED 9 Sep 2026 - NOT APPLICABLE</t>
        </is>
      </c>
      <c r="F5" s="44" t="inlineStr">
        <is>
          <t>Self</t>
        </is>
      </c>
      <c r="G5" s="46" t="n"/>
      <c r="H5" s="49" t="inlineStr">
        <is>
          <t>CLOSED 9 Sep 2026 by primary-source research, superseding the Aug 2026 narrowing that called this 'a one-line email'.
THE FINDING: below SEBI's 10 orders/sec threshold a self-developed personal algo is NOT REGISTERED, so no Algo-ID is issued and there is nothing for the developer to obtain or attach - the order is tagged with a GENERIC identifier on the broker/exchange side.
EVIDENCE, four independent lines: (1) SEBI/HO/MIRSD/MIRSD-PoD/P/CIR/2025/0000013 of 4 Feb 2025, clause I(c) - self-developed retail algos register 'only if they cross the specified order per second threshold'; clause I(d) - brokers categorise as algo orders those 'above the specified threshold'. (2) The apparent counter-clause II(b) ('all algo orders shall be tagged') sits under STOCK BROKER responsibilities, and I(b) scopes developer-side tagging to APIs 'extended by brokers to algo providers' - a personal algo is not an algo provider. (3) Zerodha's own Z-Connect summary of the NSE circular: orders 'tagged with generic ID (unregistered, &lt;=10 OPS)', and the only thing asked of the developer is a static IP dedicated to the API key. (4) The installed SDK: kiteconnect 5.2.1 documents place_order's algo_id as 'an optional algo ID to associate with the order', default None.
RESIDUAL UNCERTAINTY, recorded honestly: NSE's FAQ of 3 Nov 2025 could not be fetched directly - NSE refuses non-Indian IPs, which is blocker B8. The NSE line is therefore via Zerodha's summary and secondary reporting rather than the source PDF. Zerodha's statement governs this account and is unambiguous. Re-read the FAQ from the VPS once B6 is done.
WHAT THIS CHANGED IN THE CODE, and it is the part that mattered: common/config.py refused to load in LIVE mode without broker.algo_id. That gate failed CLOSED, so it was safe - but it would have blocked go-live PERMANENTLY on paperwork that is never issued. It is now conditional on execution.max_orders_per_second &gt;= SEBI_ALGO_REGISTRATION_OPS (10), with a module-level guard that refuses to import if MAX_ORDERS_PER_SECOND is ever raised to meet it - crossing that line is a change of REGULATORY REGIME, not of throughput. doctor.py now reports an unset algo_id as OK rather than as an outstanding task.
WHAT DID NOT DISSOLVE: the static IP (B6). Mandatory at every order rate; orders from an unwhitelisted address are rejected outright. That is now the only outstanding SEBI item.</t>
        </is>
      </c>
    </row>
    <row r="6" ht="30" customHeight="1" s="59">
      <c r="A6" s="38" t="inlineStr">
        <is>
          <t>B2</t>
        </is>
      </c>
      <c r="B6" s="48" t="inlineStr">
        <is>
          <t>pykiteconnect lacks market_protection</t>
        </is>
      </c>
      <c r="C6" s="48" t="inlineStr">
        <is>
          <t>E02-S04, E15-S01</t>
        </is>
      </c>
      <c r="D6" s="48" t="inlineStr">
        <is>
          <t>Install from git main, or wait for release</t>
        </is>
      </c>
      <c r="E6" s="40" t="inlineStr">
        <is>
          <t>Closed</t>
        </is>
      </c>
      <c r="F6" s="44" t="inlineStr">
        <is>
          <t>Self</t>
        </is>
      </c>
      <c r="G6" s="46" t="n"/>
      <c r="H6" s="49" t="inlineStr">
        <is>
          <t>RESOLVED 7 Aug 2026 — the wait is over; no action needed.
VERIFIED ON THE INSTALLED SDK: kiteconnect 5.2.1 (current on PyPI) DOES expose market_protection on KiteConnect.place_order(). The gap was in 5.1.0, which is what the design documents were written against. Confirmed by inspecting the live signature, and by its own docstring: "market_protection accepts -1 for automatic market protection applied by the system as per market protection guidelines, or a value greater than 0 up to 100 representing a percentage."
That matches EXACTLY what OrderRequest's validator already enforces (common/models/trading.py): -1 or a positive percentage, 0 rejected. The model and the broker agree without any change being needed.
scripts/doctor.py verifies this at runtime and now reports the version correctly (it previously printed a module object, because `kiteconnect.__version__` is a submodule not a string — fixed).
ACTION: pin `kiteconnect&gt;=5.2.1` in pyproject so a downgrade cannot silently reintroduce the gap.
[YOUR ORIGINAL NOTE: "I would prefer 'wait for release'."] — the release had already landed.</t>
        </is>
      </c>
    </row>
    <row r="7" ht="150" customHeight="1" s="59">
      <c r="A7" s="38" t="inlineStr">
        <is>
          <t>B3</t>
        </is>
      </c>
      <c r="B7" s="48" t="inlineStr">
        <is>
          <t>NSE holiday list incomplete</t>
        </is>
      </c>
      <c r="C7" s="48" t="inlineStr">
        <is>
          <t>E04-S07, all scheduling</t>
        </is>
      </c>
      <c r="D7" s="48" t="inlineStr">
        <is>
          <t>Full 2026 NSE holiday list transcribed and cross-checked against THREE independent publications of the circular, because the first two disagreed: one omitted 24 Nov (Guru Nanak Jayanti), the other omitted 15 Jan (Maharashtra municipal elections - a separate special closure rather than part of the annual circular). Both are real; both are included. 19 dates, verified_against_nse_circular: true, yielding 245 trading days in 2026. Muhurat trading (Sun 8 Nov) recorded as a special session with trade: false - it is a real session on a SUNDAY, so anything reasoning 'weekend implies closed' is wrong on that date. Also added: the calendar now REFUSES to answer for a year the file does not cover, because a 2026-only list would make 2027 look like a year with no holidays at all.</t>
        </is>
      </c>
      <c r="E7" s="40" t="inlineStr">
        <is>
          <t>RESOLVED 24 Aug 2026</t>
        </is>
      </c>
      <c r="F7" s="44" t="inlineStr">
        <is>
          <t>Self</t>
        </is>
      </c>
      <c r="G7" s="46" t="n"/>
      <c r="H7" s="49" t="inlineStr">
        <is>
          <t>SPRINT 1 — DAY 2. Independent desk work, no external dependency, so it pairs well with the schema day.
config/nse_holidays.yaml currently carries fixed-date holidays only (Republic Day, Maharashtra Day, Gandhi Jayanti, Christmas, Good Friday 2026-04-03) and is flagged verified_against_nse_circular: false. Transcribe the full NSE circular for the trading year, including the lunar-calendar holidays that cannot be computed, then set the flag true.
scripts/doctor.py already warns via check_market_calendar() when the list is incomplete, so the gap is not silent — but every scheduling decision in the system reads this file, which is why it blocks broadly.
[YOUR ORIGINAL NOTE: "Research on this topic, and arrive at a relevant answer"]</t>
        </is>
      </c>
    </row>
    <row r="8" ht="30" customHeight="1" s="59">
      <c r="A8" s="38" t="inlineStr">
        <is>
          <t>B4</t>
        </is>
      </c>
      <c r="B8" s="48" t="inlineStr">
        <is>
          <t>Historical data pricing unconfirmed</t>
        </is>
      </c>
      <c r="C8" s="48" t="inlineStr">
        <is>
          <t>E03-S03 budget</t>
        </is>
      </c>
      <c r="D8" s="48" t="inlineStr">
        <is>
          <t>Ask Zerodha</t>
        </is>
      </c>
      <c r="E8" s="40" t="inlineStr">
        <is>
          <t>Closed</t>
        </is>
      </c>
      <c r="F8" s="44" t="inlineStr">
        <is>
          <t>Self</t>
        </is>
      </c>
      <c r="G8" s="46" t="n"/>
      <c r="H8" s="49" t="inlineStr">
        <is>
          <t>RESOLVED Aug 2026 by checking Zerodha's own pricing page rather than the working assumption.
Kite Connect was restructured. The Personal tier is FREE - order management, GTT, alerts, margins, portfolio - but carries NO data at all, so it cannot feed this system. Connect at Rs.500/month per app adds real-time data over WebSocket AND historical candle data.
There is no separate historical add-on any more. Total cost for what this system needs is Rs.500/month, not the Rs.500 + Rs.2000 the design documents assumed. broker/profiles.py updated: historical_data_extra_cost is now False.
ACTION: subscribe. It is the cheapest item on the critical path and it unblocks E03-S03 and all of E05.</t>
        </is>
      </c>
    </row>
    <row r="9" ht="150" customHeight="1" s="59">
      <c r="A9" s="38" t="inlineStr">
        <is>
          <t>B5</t>
        </is>
      </c>
      <c r="B9" s="48" t="inlineStr">
        <is>
          <t>Daily login mechanism untested</t>
        </is>
      </c>
      <c r="C9" s="48" t="inlineStr">
        <is>
          <t>E02-S01</t>
        </is>
      </c>
      <c r="D9" s="48" t="inlineStr">
        <is>
          <t>Unchanged and genuinely blocked on you: the daily re-auth flow cannot be exercised without a real Kite account. The code path is built and unit-tested against a fake client; what is untested is the live phone-to-callback round trip.</t>
        </is>
      </c>
      <c r="E9" s="40" t="inlineStr">
        <is>
          <t>Active - needs your credentials</t>
        </is>
      </c>
      <c r="F9" s="44" t="inlineStr">
        <is>
          <t>Self</t>
        </is>
      </c>
      <c r="G9" s="46" t="n"/>
      <c r="H9" s="49" t="inlineStr">
        <is>
          <t>NOT SPRINT 1 — needs E02 to exist before there is anything to prototype against. Scheduled to surface in Sprint 3 (E02-S01..S03).
Constraint is already accepted: Zerodha requires a browser redirect with daily token expiry, so one manual human login per trading morning before the pre-open is a permanent floor, not a temporary gap. The prototype work is the phone -&gt; callback capture flow, not an attempt to remove the touchpoint.</t>
        </is>
      </c>
    </row>
    <row r="10" ht="150" customHeight="1" s="59">
      <c r="A10" s="38" t="inlineStr">
        <is>
          <t>B6</t>
        </is>
      </c>
      <c r="B10" s="48" t="inlineStr">
        <is>
          <t>Static IP not procured</t>
        </is>
      </c>
      <c r="C10" s="48" t="inlineStr">
        <is>
          <t>E23-S02, all live trading</t>
        </is>
      </c>
      <c r="D10" s="48" t="inlineStr">
        <is>
          <t>Confirmed from Zerodha's own developer forum: the static IP applies to ORDER ENDPOINTS ONLY. WebSocket market data, order book, positions and every other endpoint remain accessible from any IP - so E03/E04/E05/E06 and all strategy work need no static IP. Registration is live at developers.kite.trade under 'IP Whitelist'; ONE IP per app; orders from an unregistered IP are rejected outright. Also confirmed there: 10 OPS is account-wide across all apps for a client ID (we cap at 5), market protection of 0 is rejected including for SL-M, and order slicing is capped at 10 slices. Only the procurement itself needs you.</t>
        </is>
      </c>
      <c r="E10" s="40" t="inlineStr">
        <is>
          <t>Active - research complete, procurement needs you</t>
        </is>
      </c>
      <c r="F10" s="44" t="inlineStr">
        <is>
          <t>Self</t>
        </is>
      </c>
      <c r="G10" s="46" t="n"/>
      <c r="H10" s="49" t="inlineStr">
        <is>
          <t>SPRINT 1 — PROCEDURE NOW DOCUMENTED in EPIC01_TECHNICAL_SPEC.md §17.1. Not a coding task, but it gates ALL live trading, so start it early — procurement has lead time.
1. Choose the host: an Indian VPS with a dedicated IPv4 included (simplest/cheapest), or AWS ap-south-1 EC2 with an Elastic IP, or any provider offering a static/reserved IP in an India region. SEBI requires only that it is static AND India-hosted.
2. Provision, then confirm the actual EGRESS IP from the box itself with curl -s https://api.ipify.org — the assigned IP and the egress IP can differ behind NAT, and the egress value is what the broker sees.
3. Whitelist it: developers.kite.trade -&gt; your app's profile page -&gt; IP Whitelist. IPv4 and IPv6 both accepted.
4. Record it: system.static_ip in system.yaml and EXPECTED_EGRESS_IP in .env.
5. Verify BOTH directions: make doctor compares live egress against config and fails on mismatch; then test the negative case — an order attempt from a non-whitelisted address must be REJECTED. Only the negative test proves the whitelist is actually enforcing.
Two things to know before picking a provider: the static IP applies to ORDER ENDPOINTS ONLY (quotes, WebSocket and positions work from any IP, so a data-only fallback needs no whitelisted address); and each IP binds to ONE Zerodha account.
[YOUR ORIGINAL NOTE: "Explain on the procedure for this"]
CONFIRMED Aug 2026 from Zerodha: all order requests from an unregistered IP will be rejected. Whitelist at the developer console, Profile, IP Whitelist; up to two IPs (one primary mandatory, one optional secondary); shareable only with immediate family.
IMPORTANT AND USEFUL: validation applies to ORDER endpoints only. Quotes, historical data and the WebSocket work from anywhere - so ALL of E03, E04, E05 and E06 can be built and tested before the VPS exists. Only order placement is gated.</t>
        </is>
      </c>
    </row>
    <row r="11" ht="210" customHeight="1" s="59">
      <c r="A11" s="77" t="inlineStr">
        <is>
          <t>B7</t>
        </is>
      </c>
      <c r="B11" s="48" t="inlineStr">
        <is>
          <t>kiteconnect pins a vulnerable autobahn (CVE-2020-35678)</t>
        </is>
      </c>
      <c r="C11" s="48" t="inlineStr">
        <is>
          <t>E02-S03 WebSocket ticker, all live market data</t>
        </is>
      </c>
      <c r="D11" s="48" t="inlineStr">
        <is>
          <t>CLOSED. No environment we build contains the vulnerable autobahn, and CI asserts that from inside its own runner rather than being told so.
HOW, and this is the part the first attempt got wrong: a floor of autobahn&gt;=20.12.3 in pyproject.toml is UNSATISFIABLE. kiteconnect's ==19.11.2 is a hard pin, so pip fails with ResolutionImpossible rather than warning, and every CI job broke for two commits. It passed locally only because the package had been force-installed over an already-resolved environment - the environment being verified was one that pip install could never produce.
The pin is DECLARATIVE, not a runtime requirement, so resolution runs first and the package is then replaced:
    pip install -c constraints.txt -e ".[dev]"
    pip install --no-deps --upgrade "autobahn==26.7.1"
applied in all three CI install jobs, ops/Dockerfile and `make install`.
EVIDENCE: tests/security/test_dependency_hygiene.py runs inside CI's Security job (pytest tests/security/) and asserts, without skipping, that the INSTALLED autobahn is &gt;= 20.12.3, that kiteconnect still imports under it, and that market_protection and algo_id survive on place_order. DEV 0acab9b and QA 24ae953 are green on all five jobs. pip-audit reports zero known vulnerabilities and is a hard gate.</t>
        </is>
      </c>
      <c r="E11" s="48" t="inlineStr">
        <is>
          <t>CLOSED 24 Aug 2026 - verified in CI</t>
        </is>
      </c>
      <c r="F11" s="49" t="inlineStr">
        <is>
          <t>Self</t>
        </is>
      </c>
      <c r="G11" s="81" t="inlineStr">
        <is>
          <t>None</t>
        </is>
      </c>
      <c r="H11" s="49" t="inlineStr">
        <is>
          <t>RE-SCOPED Aug 2026 - there is a real way out, and it removes a second problem at the same time.
kiteconnect 5.2.1 (July 2026, the latest) STILL pins autobahn[twisted]==19.11.2. Upstream has not fixed it and will not on our schedule.
BUT the Kite WebSocket protocol is fully documented - endpoint wss://ws.kite.trade, JSON subscribe messages, and byte-level packet layouts for ltp (8B), quote (44B) and full (184B). So E05-S01 can be built on the websockets library instead of KiteTicker. That makes the vulnerable autobahn code UNREACHABLE (never imported) and simultaneously removes the Twisted-to-asyncio bridging problem E05-S01 was carrying.
Honest caveat: autobahn stays INSTALLED, because kiteconnect hard-depends on it, so pip-audit will keep flagging it. The defensible position is installed-but-unreachable, provable with a test asserting autobahn is not in sys.modules after importing the app.
KiteMarketDataAdapter.subscribe() already raises NotImplementedError naming this decision, so nobody wires up the vulnerable path by reflex.</t>
        </is>
      </c>
    </row>
    <row r="12">
      <c r="A12" s="38" t="inlineStr">
        <is>
          <t>CA-B1</t>
        </is>
      </c>
      <c r="B12" s="48" t="inlineStr">
        <is>
          <t>`ohlcv.is_adjusted BOOLEAN` cannot support re-adjustment</t>
        </is>
      </c>
      <c r="C12" s="48" t="inlineStr">
        <is>
          <t>E03-S02, E06 (all indicators), E22 (backtest validity)</t>
        </is>
      </c>
      <c r="D12" s="48" t="inlineStr">
        <is>
          <t>Redesign the adjustment storage model before any price is adjusted</t>
        </is>
      </c>
      <c r="E12" s="40" t="inlineStr">
        <is>
          <t>Closed</t>
        </is>
      </c>
      <c r="F12" s="44" t="inlineStr">
        <is>
          <t>Self</t>
        </is>
      </c>
      <c r="G12" s="46" t="n"/>
      <c r="H12" s="49" t="inlineStr">
        <is>
          <t>RESOLVED 11 Aug 2026 — schema redesigned, built and tested. Full analysis in SPRINT02_TECHNICAL_SPEC.md §4.
WHY IT WAS BLOCKING: a boolean records THAT a bar was adjusted, not BY HOW MUCH. The second corporate action therefore has nothing to build on, and adjusting the stored price in place compounds the first adjustment with no error and no failing test. Safety-critical: a wrong adjustment is silent, and it invalidates every backtest over that symbol rather than throwing.
RESOLUTION: raw OHLC is immutable (BR-15). `corporate_action` holds the actions (BR-19); each bar carries `price_adj_factor` and `volume_adj_factor`; the repository applies them on read. Recompute rebuilds from the full history, so it is idempotent and a bad action is fixed by correcting the row.
NOT A BLOCKER ANYMORE, but E03-S02 stays open: the adjustment ENGINE is done, the corporate action FEED is not, and that needs a data source — which is the same credential dependency as B1/B4, not a design gap.</t>
        </is>
      </c>
    </row>
    <row r="13" ht="150" customHeight="1" s="59">
      <c r="A13" s="38" t="inlineStr">
        <is>
          <t>B8</t>
        </is>
      </c>
      <c r="B13" s="48" t="inlineStr">
        <is>
          <t>NSE blocks programmatic access to its public data</t>
        </is>
      </c>
      <c r="C13" s="48" t="inlineStr">
        <is>
          <t>E04 (all 7 stories), E03-S01, E03-S02 feed</t>
        </is>
      </c>
      <c r="D13" s="48" t="inlineStr">
        <is>
          <t>What NSE blocks is OVERSEAS access, not programmatic access as such: its edge refuses non-Indian IPs and its robots policy excludes crawlers, but a polite client on an Indian host carrying the session cookie its own site issues is an ordinary visitor. Community libraries (nsepython, NseIndiaApi at 3 req/s) work on Indian servers. This collapses B8 into B6: SEBI already requires an India-hosted static IP for the order path, and the same host answers the data question. Built scripts/check_data_reachability.py so the answer is one command on the day there is a host - read-only, no credentials, safe during market hours. Run from THIS machine it already reaches 4 of 6 sources including Kite instruments and NSE marketStatus.</t>
        </is>
      </c>
      <c r="E13" s="40" t="inlineStr">
        <is>
          <t>Narrowed - same fix as B6</t>
        </is>
      </c>
      <c r="F13" s="44" t="inlineStr">
        <is>
          <t>Self</t>
        </is>
      </c>
      <c r="G13" s="44" t="n"/>
      <c r="H13" s="49" t="inlineStr">
        <is>
          <t>FOUND Aug 2026 during next-steps research. NSE actively blocks scripted access to its website, and in 2025 NSE and BSE restricted website access for overseas users entirely.
SCOPE - this affects DAILY REFERENCE DATA, not live market data. Live ticks and historical candles come from Kite Connect, an authenticated commercial API, and are completely unaffected. What is affected is the 05:30 fetch of ASM/GSM, T2T, F&amp;O ban, circuit bands, CAS scope, the earnings calendar, bhavcopy and corporate actions - all of which come from NSE's public site.
It is a fetch-RELIABILITY problem, not a wall. The data is public; the difficulty is that the site is hostile to automation and changes shape without notice. Kite's instrument dump does NOT help - it carries token, symbol, tick size, lot size and segment, with no series, ASM, GSM, T2T or ban field (verified against the API docs).
MITIGATIONS: jugaad-data (actively maintained, with caching specifically to avoid being blocked); nsefin for corporate actions, which is also E03-S02's missing feed; BSE as a fallback since ~90% of NSE equities are dual-listed; Zerodha's consolidated scrip sheet as a cross-check only (no SLA). The India-hosted VPS already required by constraint C1 sidesteps the geo-restriction.
WHY IT IS SURVIVABLE: the fetch runs at 05:30, hours before the open, so a failure has a long runway for a retry, a fallback source or a manual override. E04-S01's acceptance criterion already says a fetch failure blocks the trading day rather than proceeding blind - the right posture: a bad fetch costs a trading day, not money.
ACTION: spend an hour proving NSE reachability from the target environment before writing fetchers. That assumption sits under 8 stories and roughly 10 days of work.</t>
        </is>
      </c>
    </row>
    <row r="14" ht="250" customHeight="1" s="59">
      <c r="A14" s="77" t="inlineStr">
        <is>
          <t>B9</t>
        </is>
      </c>
      <c r="B14" s="48" t="inlineStr">
        <is>
          <t>kiteconnect runs against an autobahn it does not declare support for</t>
        </is>
      </c>
      <c r="C14" s="48" t="inlineStr">
        <is>
          <t>Nothing today. A future kiteconnect release could.</t>
        </is>
      </c>
      <c r="D14" s="48" t="inlineStr">
        <is>
          <t>Registered as its own row rather than folded into B7, because it is a different risk with a different resolution. B7 was 'a vulnerable package is present'. This is 'we run an undeclared combination'.
`pip check` reports it plainly: kiteconnect 5.2.1 has requirement autobahn[twisted]==19.11.2, but you have autobahn 26.7.1. Two consequences:
  1. Only kiteconnect.ticker imports autobahn, and we never construct a KiteTicker - the live feed is built on `websockets` against the documented binary protocol. So nothing we call depends on the pinned API.
  2. --no-deps means autobahn 26.7.1's own dependencies are not pulled by that step. They are satisfied in practice - CI imports kiteconnect successfully, which transitively imports autobahn.twisted.websocket - but that is an observed property of the environment rather than a declared one.
WATCHED BY: test_kiteconnect_still_imports_under_the_replacement and test_the_order_parameters_we_depend_on_survive. If a future kiteconnect genuinely needs 19.11.2's API, those fail rather than an order being rejected at the exchange.
RESOLVES PERMANENTLY when kiteconnect relaxes its pin, or when the REST client is replaced - we use it for KiteConnect and kiteconnect.exceptions only, and it is a thin requests wrapper. Not worth doing for this reason alone.</t>
        </is>
      </c>
      <c r="E14" s="48" t="inlineStr">
        <is>
          <t>Accepted risk - watched by tests</t>
        </is>
      </c>
      <c r="F14" s="49" t="inlineStr">
        <is>
          <t>Self</t>
        </is>
      </c>
      <c r="G14" s="81" t="inlineStr"/>
      <c r="H14" s="49" t="inlineStr">
        <is>
          <t>Opened 24 Aug 2026, as the residual of closing B7. Reviewed whenever kiteconnect is upgraded.</t>
        </is>
      </c>
    </row>
  </sheetData>
  <autoFilter ref="A4:H11"/>
  <conditionalFormatting sqref="E5:E11">
    <cfRule type="expression" priority="2" dxfId="13">
      <formula>EXACT($E5,"New")</formula>
    </cfRule>
    <cfRule type="expression" priority="3" dxfId="12">
      <formula>EXACT($E5,"Business Review")</formula>
    </cfRule>
    <cfRule type="expression" priority="4" dxfId="11">
      <formula>EXACT($E5,"Business Approved")</formula>
    </cfRule>
    <cfRule type="expression" priority="5" dxfId="10">
      <formula>EXACT($E5,"Active")</formula>
    </cfRule>
    <cfRule type="expression" priority="6" dxfId="9">
      <formula>EXACT($E5,"Development In-Progress")</formula>
    </cfRule>
    <cfRule type="expression" priority="7" dxfId="8">
      <formula>EXACT($E5,"Development Completed")</formula>
    </cfRule>
    <cfRule type="expression" priority="8" dxfId="7">
      <formula>EXACT($E5,"QA In-Progress")</formula>
    </cfRule>
    <cfRule type="expression" priority="9" dxfId="6">
      <formula>EXACT($E5,"QA-Success")</formula>
    </cfRule>
    <cfRule type="expression" priority="10" dxfId="5">
      <formula>EXACT($E5,"QA-Fail")</formula>
    </cfRule>
    <cfRule type="expression" priority="11" dxfId="4">
      <formula>EXACT($E5,"Closed")</formula>
    </cfRule>
    <cfRule type="expression" priority="12" dxfId="3">
      <formula>EXACT($E5,"Removed")</formula>
    </cfRule>
    <cfRule type="expression" priority="13" dxfId="2">
      <formula>EXACT($E5,"Moved to Backlog")</formula>
    </cfRule>
    <cfRule type="expression" priority="14" dxfId="1">
      <formula>EXACT($E5,"Blocked")</formula>
    </cfRule>
    <cfRule type="expression" priority="15" dxfId="0">
      <formula>EXACT($E5,"On Hold")</formula>
    </cfRule>
  </conditionalFormatting>
  <dataValidations count="1">
    <dataValidation sqref="E5:E11" showDropDown="0" showInputMessage="0" showErrorMessage="0" allowBlank="0" type="list">
      <formula1>"New,Business Review,Business Approved,Active,Development In-Progress,Development Completed,QA In-Progress,QA-Success,QA-Fail,Closed,Removed,Moved to Backlog,Blocked,On Hold"</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10" customWidth="1" style="59" min="1" max="1"/>
    <col width="42" customWidth="1" style="59" min="2" max="2"/>
    <col width="26" customWidth="1" style="59" min="3" max="3"/>
    <col width="40" customWidth="1" style="59" min="4" max="4"/>
    <col width="18" customWidth="1" style="59" min="5" max="5"/>
    <col width="12" customWidth="1" style="59" min="6" max="6"/>
    <col width="14" customWidth="1" style="59" min="7" max="7"/>
    <col width="90" customWidth="1" style="59" min="8" max="8"/>
  </cols>
  <sheetData>
    <row r="1">
      <c r="A1" s="36" t="inlineStr">
        <is>
          <t>E01 BLOCKERS — PERSISTENCE &amp; DATA LAYER</t>
        </is>
      </c>
    </row>
    <row r="2">
      <c r="A2" s="2" t="inlineStr">
        <is>
          <t>Blockers specific to E01 items. A blocker is something that cannot be resolved from inside the project and that prevents CORRECT completion — not 'this is hard'. See DEVELOPMENT_PROCEDURE.md §8.</t>
        </is>
      </c>
    </row>
    <row r="4">
      <c r="A4" s="37" t="inlineStr">
        <is>
          <t>ID</t>
        </is>
      </c>
      <c r="B4" s="37" t="inlineStr">
        <is>
          <t>Blocker</t>
        </is>
      </c>
      <c r="C4" s="37" t="inlineStr">
        <is>
          <t>Blocks</t>
        </is>
      </c>
      <c r="D4" s="37" t="inlineStr">
        <is>
          <t>Action Required</t>
        </is>
      </c>
      <c r="E4" s="37" t="inlineStr">
        <is>
          <t>Status</t>
        </is>
      </c>
      <c r="F4" s="37" t="inlineStr">
        <is>
          <t>Owner</t>
        </is>
      </c>
      <c r="G4" s="37" t="inlineStr">
        <is>
          <t>Target Date</t>
        </is>
      </c>
      <c r="H4" s="37" t="inlineStr">
        <is>
          <t>Resolution Notes</t>
        </is>
      </c>
    </row>
    <row r="5">
      <c r="A5" s="38" t="inlineStr">
        <is>
          <t>E01-B1</t>
        </is>
      </c>
      <c r="B5" s="48" t="inlineStr">
        <is>
          <t>None identified — every remaining E01 item is buildable</t>
        </is>
      </c>
      <c r="C5" s="48" t="inlineStr">
        <is>
          <t>nothing</t>
        </is>
      </c>
      <c r="D5" s="48" t="inlineStr">
        <is>
          <t>No action. Recorded so the absence is explicit rather than assumed.</t>
        </is>
      </c>
      <c r="E5" s="40" t="inlineStr">
        <is>
          <t>Closed</t>
        </is>
      </c>
      <c r="F5" s="44" t="inlineStr">
        <is>
          <t>Self</t>
        </is>
      </c>
      <c r="G5" s="46" t="inlineStr">
        <is>
          <t>None</t>
        </is>
      </c>
      <c r="H5" s="49" t="inlineStr">
        <is>
          <t>Assessed 7 Aug 2026 before starting E01-S02/S03/S04/S05/S06.
E01 depends on NO external credential, account or third-party answer. Postgres and Redis are local containers; nothing in the epic touches the broker, the AI provider, news, or the static IP.
The blockers that DO exist (B1 Algo-ID value, B4 data pricing, B6 static IP, B7 autobahn CVE) all gate E02+ or live trading, NOT E01. Verified against the main Blockers sheet.
The one thing that LOOKED like an E01 blocker — the undecided TimescaleDB pin — was DESIGNED AWAY rather than waited on: the migration detects the installed version at runtime and emits matching DDL, verified on 2.17.2 and 2.29.1. That is the preferred resolution when one exists (DEVELOPMENT_PROCEDURE.md §8.2).</t>
        </is>
      </c>
    </row>
  </sheetData>
  <autoFilter ref="A4:H5"/>
  <dataValidations count="1">
    <dataValidation sqref="E5" showDropDown="0" showInputMessage="0" showErrorMessage="0" allowBlank="0" type="list">
      <formula1>"New,Business Review,Business Approved,Active,Development In-Progress,Development Completed,QA In-Progress,QA-Success,QA-Fail,Closed,Removed,Moved to Backlog,Blocked,On Hold"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0"/>
  <sheetViews>
    <sheetView workbookViewId="0">
      <pane ySplit="4" topLeftCell="A5" activePane="bottomLeft" state="frozen"/>
      <selection pane="bottomLeft" activeCell="A1" sqref="A1"/>
    </sheetView>
  </sheetViews>
  <sheetFormatPr baseColWidth="8" defaultRowHeight="15"/>
  <cols>
    <col width="12" customWidth="1" style="59" min="1" max="1"/>
    <col width="11" customWidth="1" style="59" min="2" max="2"/>
    <col width="30" customWidth="1" style="59" min="3" max="3"/>
    <col width="10" customWidth="1" style="59" min="4" max="4"/>
    <col width="62" customWidth="1" style="59" min="5" max="5"/>
    <col width="34" customWidth="1" style="59" min="6" max="6"/>
    <col width="34" customWidth="1" style="59" min="7" max="7"/>
    <col width="14" customWidth="1" style="59" min="9" max="9"/>
    <col width="10" customWidth="1" style="59" min="10" max="10"/>
  </cols>
  <sheetData>
    <row r="1" ht="24" customHeight="1" s="59">
      <c r="A1" s="61" t="inlineStr">
        <is>
          <t>QA RESULTS — E01 END-TO-END</t>
        </is>
      </c>
    </row>
    <row r="2" ht="30" customHeight="1" s="59">
      <c r="A2" s="62" t="inlineStr">
        <is>
          <t>End-to-end verification of the persistence layer as ONE system. Per-story suites test components in isolation; these test the SEAMS between them, which is where integration defects live. Run: pytest tests/integration/  (requires Docker).</t>
        </is>
      </c>
    </row>
    <row r="3"/>
    <row r="4">
      <c r="A4" s="82" t="inlineStr">
        <is>
          <t>QA ID</t>
        </is>
      </c>
      <c r="B4" s="82" t="inlineStr">
        <is>
          <t>Story</t>
        </is>
      </c>
      <c r="C4" s="82" t="inlineStr">
        <is>
          <t>Area</t>
        </is>
      </c>
      <c r="D4" s="82" t="inlineStr">
        <is>
          <t>Result</t>
        </is>
      </c>
      <c r="E4" s="82" t="inlineStr">
        <is>
          <t>What was verified</t>
        </is>
      </c>
      <c r="F4" s="82" t="inlineStr">
        <is>
          <t>Evidence</t>
        </is>
      </c>
      <c r="G4" s="82" t="inlineStr">
        <is>
          <t>Test file</t>
        </is>
      </c>
      <c r="I4" s="83" t="inlineStr">
        <is>
          <t>Result</t>
        </is>
      </c>
      <c r="J4" s="83" t="inlineStr">
        <is>
          <t>Count</t>
        </is>
      </c>
    </row>
    <row r="5" ht="58" customHeight="1" s="59">
      <c r="A5" s="65" t="inlineStr">
        <is>
          <t>QA-E01-01</t>
        </is>
      </c>
      <c r="B5" s="65" t="inlineStr">
        <is>
          <t>E01-S01</t>
        </is>
      </c>
      <c r="C5" s="65" t="inlineStr">
        <is>
          <t>Instrument sync</t>
        </is>
      </c>
      <c r="D5" s="66" t="inlineStr">
        <is>
          <t>PASS</t>
        </is>
      </c>
      <c r="E5" s="67" t="inlineStr">
        <is>
          <t>Upsert is idempotent; symbol&lt;-&gt;id cache resolves; a new listing mid-session needs no restart</t>
        </is>
      </c>
      <c r="F5" s="67" t="inlineStr">
        <is>
          <t>50 lookups issue 0 queries</t>
        </is>
      </c>
      <c r="G5" s="67" t="inlineStr">
        <is>
          <t>test_e01_end_to_end.py</t>
        </is>
      </c>
      <c r="I5" t="inlineStr">
        <is>
          <t>PASS</t>
        </is>
      </c>
      <c r="J5" t="n">
        <v>30</v>
      </c>
    </row>
    <row r="6" ht="58" customHeight="1" s="59">
      <c r="A6" s="65" t="inlineStr">
        <is>
          <t>QA-E01-02</t>
        </is>
      </c>
      <c r="B6" s="65" t="inlineStr">
        <is>
          <t>E01-S01</t>
        </is>
      </c>
      <c r="C6" s="65" t="inlineStr">
        <is>
          <t>Hazard flags + eligibility view</t>
        </is>
      </c>
      <c r="D6" s="66" t="inlineStr">
        <is>
          <t>PASS</t>
        </is>
      </c>
      <c r="E6" s="67" t="inlineStr">
        <is>
          <t>Per-symbol-per-day flags stored; v_eligible_today excludes T2T/ASM/GSM and is IST-anchored</t>
        </is>
      </c>
      <c r="F6" s="67" t="inlineStr">
        <is>
          <t>T2T symbol correctly excluded</t>
        </is>
      </c>
      <c r="G6" s="67" t="inlineStr">
        <is>
          <t>test_schema_business_rules.py</t>
        </is>
      </c>
      <c r="I6" t="inlineStr">
        <is>
          <t>FAIL -&gt; FIXED</t>
        </is>
      </c>
      <c r="J6" t="n">
        <v>11</v>
      </c>
    </row>
    <row r="7" ht="58" customHeight="1" s="59">
      <c r="A7" s="65" t="inlineStr">
        <is>
          <t>QA-E01-03</t>
        </is>
      </c>
      <c r="B7" s="65" t="inlineStr">
        <is>
          <t>E01-S02</t>
        </is>
      </c>
      <c r="C7" s="65" t="inlineStr">
        <is>
          <t>Bar write and warm-up read</t>
        </is>
      </c>
      <c r="D7" s="66" t="inlineStr">
        <is>
          <t>PASS</t>
        </is>
      </c>
      <c r="E7" s="67" t="inlineStr">
        <is>
          <t>30 bars written; warm_up_batch returns them oldest-first as exact Decimals</t>
        </is>
      </c>
      <c r="F7" s="67" t="inlineStr">
        <is>
          <t>query count constant vs symbol count</t>
        </is>
      </c>
      <c r="G7" s="67" t="inlineStr">
        <is>
          <t>test_repositories.py</t>
        </is>
      </c>
      <c r="I7" t="inlineStr">
        <is>
          <t>BLOCKED</t>
        </is>
      </c>
      <c r="J7" t="n">
        <v>0</v>
      </c>
    </row>
    <row r="8" ht="58" customHeight="1" s="59">
      <c r="A8" s="65" t="inlineStr">
        <is>
          <t>QA-E01-04</t>
        </is>
      </c>
      <c r="B8" s="65" t="inlineStr">
        <is>
          <t>E01-S03</t>
        </is>
      </c>
      <c r="C8" s="65" t="inlineStr">
        <is>
          <t>Redis typed state round trip</t>
        </is>
      </c>
      <c r="D8" s="66" t="inlineStr">
        <is>
          <t>PASS</t>
        </is>
      </c>
      <c r="E8" s="67" t="inlineStr">
        <is>
          <t>Decimal survives model_dump_json exactly; corrupt payload reads as absent</t>
        </is>
      </c>
      <c r="F8" s="67" t="inlineStr">
        <is>
          <t>1510.7500 in == 1510.7500 out</t>
        </is>
      </c>
      <c r="G8" s="67" t="inlineStr">
        <is>
          <t>test_redis_layer.py</t>
        </is>
      </c>
    </row>
    <row r="9" ht="58" customHeight="1" s="59">
      <c r="A9" s="65" t="inlineStr">
        <is>
          <t>QA-E01-05</t>
        </is>
      </c>
      <c r="B9" s="65" t="inlineStr">
        <is>
          <t>E01-S03</t>
        </is>
      </c>
      <c r="C9" s="65" t="inlineStr">
        <is>
          <t>Slot lock + DB unique index</t>
        </is>
      </c>
      <c r="D9" s="66" t="inlineStr">
        <is>
          <t>PASS</t>
        </is>
      </c>
      <c r="E9" s="67" t="inlineStr">
        <is>
          <t>Lock refuses the second holder; partial unique index refuses the second insert independently</t>
        </is>
      </c>
      <c r="F9" s="67" t="inlineStr">
        <is>
          <t>both layers hold</t>
        </is>
      </c>
      <c r="G9" s="67" t="inlineStr">
        <is>
          <t>test_e01_end_to_end.py</t>
        </is>
      </c>
    </row>
    <row r="10" ht="58" customHeight="1" s="59">
      <c r="A10" s="65" t="inlineStr">
        <is>
          <t>QA-E01-06</t>
        </is>
      </c>
      <c r="B10" s="65" t="inlineStr">
        <is>
          <t>E01-S04</t>
        </is>
      </c>
      <c r="C10" s="65" t="inlineStr">
        <is>
          <t>Signal across the stream</t>
        </is>
      </c>
      <c r="D10" s="66" t="inlineStr">
        <is>
          <t>PASS</t>
        </is>
      </c>
      <c r="E10" s="67" t="inlineStr">
        <is>
          <t>Envelope published and consumed; correlation_id preserved end to end</t>
        </is>
      </c>
      <c r="F10" s="67" t="inlineStr">
        <is>
          <t>correlation_id matches</t>
        </is>
      </c>
      <c r="G10" s="67" t="inlineStr">
        <is>
          <t>test_event_streams.py</t>
        </is>
      </c>
    </row>
    <row r="11" ht="58" customHeight="1" s="59">
      <c r="A11" s="65" t="inlineStr">
        <is>
          <t>QA-E01-07</t>
        </is>
      </c>
      <c r="B11" s="65" t="inlineStr">
        <is>
          <t>E01-S03</t>
        </is>
      </c>
      <c r="C11" s="65" t="inlineStr">
        <is>
          <t>Order rate limiting</t>
        </is>
      </c>
      <c r="D11" s="66" t="inlineStr">
        <is>
          <t>PASS</t>
        </is>
      </c>
      <c r="E11" s="67" t="inlineStr">
        <is>
          <t>Token bucket gates before submission; 25 concurrent callers yield exactly capacity</t>
        </is>
      </c>
      <c r="F11" s="67" t="inlineStr">
        <is>
          <t>exactly 5 of 25 allowed</t>
        </is>
      </c>
      <c r="G11" s="67" t="inlineStr">
        <is>
          <t>test_redis_layer.py</t>
        </is>
      </c>
    </row>
    <row r="12" ht="58" customHeight="1" s="59">
      <c r="A12" s="65" t="inlineStr">
        <is>
          <t>QA-E01-08</t>
        </is>
      </c>
      <c r="B12" s="65" t="inlineStr">
        <is>
          <t>E01-S02</t>
        </is>
      </c>
      <c r="C12" s="65" t="inlineStr">
        <is>
          <t>Two-transaction order submission</t>
        </is>
      </c>
      <c r="D12" s="66" t="inlineStr">
        <is>
          <t>PASS</t>
        </is>
      </c>
      <c r="E12" s="67" t="inlineStr">
        <is>
          <t>SUBMITTING row exists before the broker call; recovery finds it by client_order_id</t>
        </is>
      </c>
      <c r="F12" s="67" t="inlineStr">
        <is>
          <t>status transitions correctly</t>
        </is>
      </c>
      <c r="G12" s="67" t="inlineStr">
        <is>
          <t>test_e01_end_to_end.py</t>
        </is>
      </c>
    </row>
    <row r="13" ht="58" customHeight="1" s="59">
      <c r="A13" s="65" t="inlineStr">
        <is>
          <t>QA-E01-09</t>
        </is>
      </c>
      <c r="B13" s="65" t="inlineStr">
        <is>
          <t>E01-S01</t>
        </is>
      </c>
      <c r="C13" s="65" t="inlineStr">
        <is>
          <t>Position with stop + deadline</t>
        </is>
      </c>
      <c r="D13" s="66" t="inlineStr">
        <is>
          <t>PASS</t>
        </is>
      </c>
      <c r="E13" s="67" t="inlineStr">
        <is>
          <t>BR-1 and BR-7 enforced NOT NULL; slot occupied then freed on close</t>
        </is>
      </c>
      <c r="F13" s="67" t="inlineStr">
        <is>
          <t>naked position impossible</t>
        </is>
      </c>
      <c r="G13" s="67" t="inlineStr">
        <is>
          <t>test_schema_business_rules.py</t>
        </is>
      </c>
    </row>
    <row r="14" ht="58" customHeight="1" s="59">
      <c r="A14" s="65" t="inlineStr">
        <is>
          <t>QA-E01-10</t>
        </is>
      </c>
      <c r="B14" s="65" t="inlineStr">
        <is>
          <t>E01-S03</t>
        </is>
      </c>
      <c r="C14" s="65" t="inlineStr">
        <is>
          <t>Square-off timer armed</t>
        </is>
      </c>
      <c r="D14" s="66" t="inlineStr">
        <is>
          <t>PASS</t>
        </is>
      </c>
      <c r="E14" s="67" t="inlineStr">
        <is>
          <t>ZSET schedule; pop_due is atomic across 6 concurrent workers, no double-pop</t>
        </is>
      </c>
      <c r="F14" s="67" t="inlineStr">
        <is>
          <t>20 popped, 0 duplicates</t>
        </is>
      </c>
      <c r="G14" s="67" t="inlineStr">
        <is>
          <t>test_redis_layer.py</t>
        </is>
      </c>
    </row>
    <row r="15" ht="58" customHeight="1" s="59">
      <c r="A15" s="65" t="inlineStr">
        <is>
          <t>QA-E01-11</t>
        </is>
      </c>
      <c r="B15" s="65" t="inlineStr">
        <is>
          <t>E01-S05</t>
        </is>
      </c>
      <c r="C15" s="65" t="inlineStr">
        <is>
          <t>Audit trail reconstructs the trade</t>
        </is>
      </c>
      <c r="D15" s="66" t="inlineStr">
        <is>
          <t>PASS</t>
        </is>
      </c>
      <c r="E15" s="67" t="inlineStr">
        <is>
          <t>5 stages written; chain verifies; by_correlation returns them in order</t>
        </is>
      </c>
      <c r="F15" s="67" t="inlineStr">
        <is>
          <t>PREMARKET-&gt;SIGNAL-&gt;RISK-&gt;ORDER-&gt;FILL</t>
        </is>
      </c>
      <c r="G15" s="67" t="inlineStr">
        <is>
          <t>test_e01_end_to_end.py</t>
        </is>
      </c>
    </row>
    <row r="16" ht="58" customHeight="1" s="59">
      <c r="A16" s="65" t="inlineStr">
        <is>
          <t>QA-E01-12</t>
        </is>
      </c>
      <c r="B16" s="65" t="inlineStr">
        <is>
          <t>E01-S06</t>
        </is>
      </c>
      <c r="C16" s="65" t="inlineStr">
        <is>
          <t>Archive / purge / restore cycle</t>
        </is>
      </c>
      <c r="D16" s="66" t="inlineStr">
        <is>
          <t>PASS</t>
        </is>
      </c>
      <c r="E16" s="67" t="inlineStr">
        <is>
          <t>30 bars archived and verified, purged only after verification, restored with exact prices</t>
        </is>
      </c>
      <c r="F16" s="67" t="inlineStr">
        <is>
          <t>prices identical after restore</t>
        </is>
      </c>
      <c r="G16" s="67" t="inlineStr">
        <is>
          <t>test_retention.py</t>
        </is>
      </c>
    </row>
    <row r="17" ht="58" customHeight="1" s="59">
      <c r="A17" s="65" t="inlineStr">
        <is>
          <t>QA-E01-13</t>
        </is>
      </c>
      <c r="B17" s="65" t="inlineStr">
        <is>
          <t>cross</t>
        </is>
      </c>
      <c r="C17" s="65" t="inlineStr">
        <is>
          <t>Symbol validity agreement</t>
        </is>
      </c>
      <c r="D17" s="66" t="inlineStr">
        <is>
          <t>PASS</t>
        </is>
      </c>
      <c r="E17" s="67" t="inlineStr">
        <is>
          <t>Every symbol the instruments table accepts is also a legal Redis key</t>
        </is>
      </c>
      <c r="F17" s="67" t="inlineStr">
        <is>
          <t>M&amp;M, BAJAJ-AUTO, L&amp;TFH all pass</t>
        </is>
      </c>
      <c r="G17" s="67" t="inlineStr">
        <is>
          <t>test_e01_end_to_end.py</t>
        </is>
      </c>
    </row>
    <row r="18" ht="58" customHeight="1" s="59">
      <c r="A18" s="65" t="inlineStr">
        <is>
          <t>QA-E01-14</t>
        </is>
      </c>
      <c r="B18" s="65" t="inlineStr">
        <is>
          <t>cross</t>
        </is>
      </c>
      <c r="C18" s="65" t="inlineStr">
        <is>
          <t>Audit payload JSONB round trip</t>
        </is>
      </c>
      <c r="D18" s="66" t="inlineStr">
        <is>
          <t>PASS</t>
        </is>
      </c>
      <c r="E18" s="67" t="inlineStr">
        <is>
          <t>Unicode, nesting, nulls, bools and 2^53+1 all survive; chain still verifies</t>
        </is>
      </c>
      <c r="F18" s="67" t="inlineStr">
        <is>
          <t>verification clean on tricky payload</t>
        </is>
      </c>
      <c r="G18" s="67" t="inlineStr">
        <is>
          <t>test_e01_end_to_end.py</t>
        </is>
      </c>
    </row>
    <row r="19" ht="58" customHeight="1" s="59">
      <c r="A19" s="65" t="inlineStr">
        <is>
          <t>QA-E01-15</t>
        </is>
      </c>
      <c r="B19" s="65" t="inlineStr">
        <is>
          <t>cross</t>
        </is>
      </c>
      <c r="C19" s="65" t="inlineStr">
        <is>
          <t>Fail-closed on every degradation</t>
        </is>
      </c>
      <c r="D19" s="66" t="inlineStr">
        <is>
          <t>PASS</t>
        </is>
      </c>
      <c r="E19" s="67" t="inlineStr">
        <is>
          <t>Missing bars -&gt; empty; corrupt state -&gt; absent; Redis down -&gt; kill switch ENGAGED; audit down -&gt; buffered</t>
        </is>
      </c>
      <c r="F19" s="67" t="inlineStr">
        <is>
          <t>no path fails open</t>
        </is>
      </c>
      <c r="G19" s="67" t="inlineStr">
        <is>
          <t>test_e01_end_to_end.py</t>
        </is>
      </c>
    </row>
    <row r="20" ht="58" customHeight="1" s="59">
      <c r="A20" s="65" t="inlineStr">
        <is>
          <t>QA-E01-16</t>
        </is>
      </c>
      <c r="B20" s="65" t="inlineStr">
        <is>
          <t>E01-S01</t>
        </is>
      </c>
      <c r="C20" s="65" t="inlineStr">
        <is>
          <t>Migration round trip</t>
        </is>
      </c>
      <c r="D20" s="66" t="inlineStr">
        <is>
          <t>PASS</t>
        </is>
      </c>
      <c r="E20" s="67" t="inlineStr">
        <is>
          <t>upgrade head -&gt; downgrade base -&gt; upgrade head clean, across all 3 migrations</t>
        </is>
      </c>
      <c r="F20" s="67" t="inlineStr">
        <is>
          <t>3 migrations reversible</t>
        </is>
      </c>
      <c r="G20" s="67" t="inlineStr">
        <is>
          <t>test_datastore_scaffold.py</t>
        </is>
      </c>
    </row>
    <row r="21">
      <c r="A21" s="65" t="inlineStr">
        <is>
          <t>QA-E01-17</t>
        </is>
      </c>
      <c r="B21" s="65" t="inlineStr">
        <is>
          <t>E03-S02</t>
        </is>
      </c>
      <c r="C21" s="65" t="inlineStr">
        <is>
          <t>Adjusted bars vs the domain model</t>
        </is>
      </c>
      <c r="D21" s="66" t="inlineStr">
        <is>
          <t>FAIL -&gt; FIXED</t>
        </is>
      </c>
      <c r="E21" s="67" t="inlineStr">
        <is>
          <t>Every adjusted bar must be constructible as a Bar. A 1:3 split gives factor 1/3 stored as NUMERIC(18,10); raw * factor is 14 decimal places and Price is Field(decimal_places=4), so the model REJECTED it.</t>
        </is>
      </c>
      <c r="F21" s="67" t="inlineStr">
        <is>
          <t>7 ratios incl. 1:3, 1:6, 2:3, 1:7 now build Bars; warm_up_batch output too</t>
        </is>
      </c>
      <c r="G21" s="67" t="inlineStr">
        <is>
          <t>test_corporate_actions.py</t>
        </is>
      </c>
    </row>
    <row r="22">
      <c r="A22" s="65" t="inlineStr">
        <is>
          <t>QA-E01-18</t>
        </is>
      </c>
      <c r="B22" s="65" t="inlineStr">
        <is>
          <t>E03-S02</t>
        </is>
      </c>
      <c r="C22" s="65" t="inlineStr">
        <is>
          <t>OHLC coherence after rounding</t>
        </is>
      </c>
      <c r="D22" s="66" t="inlineStr">
        <is>
          <t>PASS</t>
        </is>
      </c>
      <c r="E22" s="67" t="inlineStr">
        <is>
          <t>Quantising each field independently cannot invert high/low, because rounding is monotonic. Pinned because the per-field quantisation rests on it.</t>
        </is>
      </c>
      <c r="F22" s="67" t="inlineStr">
        <is>
          <t>high&gt;=low, high&gt;=open/close, low&lt;=open/close across a 1:7 split</t>
        </is>
      </c>
      <c r="G22" s="67" t="inlineStr">
        <is>
          <t>test_corporate_actions.py</t>
        </is>
      </c>
    </row>
    <row r="23">
      <c r="A23" s="65" t="inlineStr">
        <is>
          <t>QA-E01-19</t>
        </is>
      </c>
      <c r="B23" s="65" t="inlineStr">
        <is>
          <t>cross</t>
        </is>
      </c>
      <c r="C23" s="65" t="inlineStr">
        <is>
          <t>Pre-flight gate blocks live mode</t>
        </is>
      </c>
      <c r="D23" s="66" t="inlineStr">
        <is>
          <t>FAIL -&gt; FIXED</t>
        </is>
      </c>
      <c r="E23" s="67" t="inlineStr">
        <is>
          <t>doctor must fail LIVE on the CONFIGURED broker credentials and on an unverified holiday calendar (BR-20). It checked neither.</t>
        </is>
      </c>
      <c r="F23" s="67" t="inlineStr">
        <is>
          <t>LIVE fails on KITE_*; PAPER only warns on the calendar</t>
        </is>
      </c>
      <c r="G23" s="67" t="inlineStr">
        <is>
          <t>test_preflight_gate.py</t>
        </is>
      </c>
    </row>
    <row r="24">
      <c r="A24" s="65" t="inlineStr">
        <is>
          <t>QA-E01-20</t>
        </is>
      </c>
      <c r="B24" s="65" t="inlineStr">
        <is>
          <t>cross</t>
        </is>
      </c>
      <c r="C24" s="65" t="inlineStr">
        <is>
          <t>Read-only adapter cannot trade</t>
        </is>
      </c>
      <c r="D24" s="66" t="inlineStr">
        <is>
          <t>FAIL -&gt; FIXED</t>
        </is>
      </c>
      <c r="E24" s="67" t="inlineStr">
        <is>
          <t>ReadOnlyGuard is the security boundary behind "compromising any other service cannot place an order". broker/adapter.py measured 0% coverage — the boundary had NO test.</t>
        </is>
      </c>
      <c r="F24" s="67" t="inlineStr">
        <is>
          <t>place/modify/cancel all raise; a new mutating verb fails the guard test</t>
        </is>
      </c>
      <c r="G24" s="67" t="inlineStr">
        <is>
          <t>test_safety_invariants.py</t>
        </is>
      </c>
    </row>
    <row r="25">
      <c r="A25" s="65" t="inlineStr">
        <is>
          <t>QA-E01-21</t>
        </is>
      </c>
      <c r="B25" s="65" t="inlineStr">
        <is>
          <t>cross</t>
        </is>
      </c>
      <c r="C25" s="65" t="inlineStr">
        <is>
          <t>Four governing invariants</t>
        </is>
      </c>
      <c r="D25" s="66" t="inlineStr">
        <is>
          <t>PASS</t>
        </is>
      </c>
      <c r="E25" s="67" t="inlineStr">
        <is>
          <t>Probed directly, not via existing tests: Recommendation has no sizing field and forbids injection; config refuses to exceed every hard bound; SecretString survives 9 render paths + pickle + exception; no eval/exec/dynamic import in the strategy path.</t>
        </is>
      </c>
      <c r="F25" s="67" t="inlineStr">
        <is>
          <t>24 direct probes, all pass</t>
        </is>
      </c>
      <c r="G25" s="67" t="inlineStr">
        <is>
          <t>scripts + test_safety_invariants.py</t>
        </is>
      </c>
    </row>
    <row r="26">
      <c r="A26" s="65" t="inlineStr">
        <is>
          <t>QA-E01-22</t>
        </is>
      </c>
      <c r="B26" s="65" t="inlineStr">
        <is>
          <t>cross</t>
        </is>
      </c>
      <c r="C26" s="65" t="inlineStr">
        <is>
          <t>Constraints C2 / C5 / C9</t>
        </is>
      </c>
      <c r="D26" s="66" t="inlineStr">
        <is>
          <t>PASS</t>
        </is>
      </c>
      <c r="E26" s="67" t="inlineStr">
        <is>
          <t>Order rate 3 &lt; hard cap &lt; SEBI 10; CAS square-off strictly earlier than non-CAS; installed SDK exposes market_protection AND algo_id.</t>
        </is>
      </c>
      <c r="F26" s="67" t="inlineStr">
        <is>
          <t>verified against kiteconnect 5.2.1 signature</t>
        </is>
      </c>
      <c r="G26" s="67" t="inlineStr">
        <is>
          <t>test_market_protection.py + probes</t>
        </is>
      </c>
    </row>
    <row r="27">
      <c r="A27" s="65" t="inlineStr">
        <is>
          <t>QA-E01-23</t>
        </is>
      </c>
      <c r="B27" s="65" t="inlineStr">
        <is>
          <t>cross</t>
        </is>
      </c>
      <c r="C27" s="65" t="inlineStr">
        <is>
          <t>Dependency vulnerabilities</t>
        </is>
      </c>
      <c r="D27" s="66" t="inlineStr">
        <is>
          <t>PASS (1 accepted)</t>
        </is>
      </c>
      <c r="E27" s="67" t="inlineStr">
        <is>
          <t>pip-audit across the full dependency tree. Only finding is the known autobahn CVE-2020-35678 pinned by kiteconnect — tracked as B7, On Hold, not fixable locally.</t>
        </is>
      </c>
      <c r="F27" s="67" t="inlineStr">
        <is>
          <t>no NEW vulnerabilities</t>
        </is>
      </c>
      <c r="G27" s="67" t="inlineStr">
        <is>
          <t>make audit</t>
        </is>
      </c>
    </row>
    <row r="28">
      <c r="A28" s="65" t="inlineStr">
        <is>
          <t>QA-E01-24</t>
        </is>
      </c>
      <c r="B28" s="65" t="inlineStr">
        <is>
          <t>cross</t>
        </is>
      </c>
      <c r="C28" s="65" t="inlineStr">
        <is>
          <t>Documentation vs reality</t>
        </is>
      </c>
      <c r="D28" s="66" t="inlineStr">
        <is>
          <t>FAIL -&gt; FIXED</t>
        </is>
      </c>
      <c r="E28" s="67" t="inlineStr">
        <is>
          <t>MASTER_REFERENCE (the stated entry point) claimed 112 tests and "Database: no migrations written", and pointed C2 at the wrong module. README claimed 112 tests.</t>
        </is>
      </c>
      <c r="F28" s="67" t="inlineStr">
        <is>
          <t>counts, status tables and the C2 row corrected</t>
        </is>
      </c>
      <c r="G28" s="67" t="inlineStr">
        <is>
          <t>MASTER_REFERENCE.md, README.md</t>
        </is>
      </c>
    </row>
    <row r="29">
      <c r="A29" s="65" t="inlineStr">
        <is>
          <t>QA-E01-25</t>
        </is>
      </c>
      <c r="B29" s="65" t="inlineStr">
        <is>
          <t>cross</t>
        </is>
      </c>
      <c r="C29" s="65" t="inlineStr">
        <is>
          <t>Trading-day search bounds</t>
        </is>
      </c>
      <c r="D29" s="66" t="inlineStr">
        <is>
          <t>FAIL -&gt; FIXED</t>
        </is>
      </c>
      <c r="E29" s="67" t="inlineStr">
        <is>
          <t>next/previous_trading_day had unbounded while loops. With a malformed holiday list they do not hang - they return a SILENTLY WRONG date. Measured: previous_trading_day(2026-06-15) returned 2025-12-31, walking back 166 days without complaint.</t>
        </is>
      </c>
      <c r="F29" s="67" t="inlineStr">
        <is>
          <t>Now raises HolidayDataError past 10 days and names the file to check; a real 4-day long weekend still resolves</t>
        </is>
      </c>
      <c r="G29" s="67" t="inlineStr">
        <is>
          <t>test_calendar.py</t>
        </is>
      </c>
    </row>
    <row r="30">
      <c r="A30" s="65" t="inlineStr">
        <is>
          <t>QA-E01-26</t>
        </is>
      </c>
      <c r="B30" s="65" t="inlineStr">
        <is>
          <t>cross</t>
        </is>
      </c>
      <c r="C30" s="65" t="inlineStr">
        <is>
          <t>Inverted date range</t>
        </is>
      </c>
      <c r="D30" s="66" t="inlineStr">
        <is>
          <t>FAIL -&gt; FIXED</t>
        </is>
      </c>
      <c r="E30" s="67" t="inlineStr">
        <is>
          <t>trading_days_between(start &gt; end) returned [] silently. A backfill handed reversed dates would report success having fetched nothing, and a market-data gap is permanent.</t>
        </is>
      </c>
      <c r="F30" s="67" t="inlineStr">
        <is>
          <t>Now raises ValueError naming both dates</t>
        </is>
      </c>
      <c r="G30" s="67" t="inlineStr">
        <is>
          <t>test_calendar.py</t>
        </is>
      </c>
    </row>
    <row r="31">
      <c r="A31" s="65" t="inlineStr">
        <is>
          <t>QA-E01-27</t>
        </is>
      </c>
      <c r="B31" s="65" t="inlineStr">
        <is>
          <t>cross</t>
        </is>
      </c>
      <c r="C31" s="65" t="inlineStr">
        <is>
          <t>Position P&amp;L arithmetic</t>
        </is>
      </c>
      <c r="D31" s="66" t="inlineStr">
        <is>
          <t>PASS (was untested)</t>
        </is>
      </c>
      <c r="E31" s="67" t="inlineStr">
        <is>
          <t>unrealized_pnl / r_multiple / initial_risk had NO tests. The short-side sign flip in particular: if wrong, every short reports inverted P&amp;L and the risk engine cuts winners while holding losers. Verified correct, then pinned.</t>
        </is>
      </c>
      <c r="F31" s="67" t="inlineStr">
        <is>
          <t>Long and short are exact mirror images; touching the stop is exactly -1R; Decimal stays exact to the paise</t>
        </is>
      </c>
      <c r="G31" s="67" t="inlineStr">
        <is>
          <t>test_trading_models.py</t>
        </is>
      </c>
    </row>
    <row r="32">
      <c r="A32" s="65" t="inlineStr">
        <is>
          <t>QA-E01-28</t>
        </is>
      </c>
      <c r="B32" s="65" t="inlineStr">
        <is>
          <t>E03-S02</t>
        </is>
      </c>
      <c r="C32" s="65" t="inlineStr">
        <is>
          <t>Untaken corporate action branches</t>
        </is>
      </c>
      <c r="D32" s="66" t="inlineStr">
        <is>
          <t>PASS (was untested)</t>
        </is>
      </c>
      <c r="E32" s="67" t="inlineStr">
        <is>
          <t>Consolidation had never run against the database, only in factor arithmetic. The dividend-adjustment body is dormant behind APPLY_DIVIDEND_ADJUSTMENT=False - flipping that flag would have run code no test had ever executed, on a path that rewrites every historical price.</t>
        </is>
      </c>
      <c r="F32" s="67" t="inlineStr">
        <is>
          <t>5:1 consolidation gives price x5 / volume x0.2; dividend formula verified behind the flag; split+consolidation compose correctly</t>
        </is>
      </c>
      <c r="G32" s="67" t="inlineStr">
        <is>
          <t>test_corporate_actions.py</t>
        </is>
      </c>
    </row>
    <row r="33">
      <c r="A33" s="65" t="inlineStr">
        <is>
          <t>QA-E01-29</t>
        </is>
      </c>
      <c r="B33" s="65" t="inlineStr">
        <is>
          <t>cross</t>
        </is>
      </c>
      <c r="C33" s="65" t="inlineStr">
        <is>
          <t>Model coherence validators</t>
        </is>
      </c>
      <c r="D33" s="66" t="inlineStr">
        <is>
          <t>PASS (was untested)</t>
        </is>
      </c>
      <c r="E33" s="67" t="inlineStr">
        <is>
          <t>RiskDecision coherence (approved needs sizing, rejected needs a reason), OrderRequest limit/trigger requirements, Trigger stop direction, and Order.remaining overfill clamping were all unexercised.</t>
        </is>
      </c>
      <c r="F33" s="67" t="inlineStr">
        <is>
          <t>An approved-without-sizing decision and an overfill returning negative remaining are both now impossible</t>
        </is>
      </c>
      <c r="G33" s="67" t="inlineStr">
        <is>
          <t>test_trading_models.py</t>
        </is>
      </c>
    </row>
    <row r="34">
      <c r="A34" s="65" t="inlineStr">
        <is>
          <t>QA-E01-30</t>
        </is>
      </c>
      <c r="B34" s="65" t="inlineStr">
        <is>
          <t>cross</t>
        </is>
      </c>
      <c r="C34" s="65" t="inlineStr">
        <is>
          <t>Secrets provider layer</t>
        </is>
      </c>
      <c r="D34" s="66" t="inlineStr">
        <is>
          <t>PASS (was untested)</t>
        </is>
      </c>
      <c r="E34" s="67" t="inlineStr">
        <is>
          <t>EnvSecretsProvider, SopsSecretsProvider and build_provider had zero tests - C6 implementation resting on nothing. Key property: a sops decryption failure must not echo stderr, which can contain the offending secret material.</t>
        </is>
      </c>
      <c r="F34" s="67" t="inlineStr">
        <is>
          <t>stderr excluded from the error AND the cause chain cut (from None); sops resolved absolutely with shell=False; unknown provider refused rather than defaulted; vault fails closed</t>
        </is>
      </c>
      <c r="G34" s="67" t="inlineStr">
        <is>
          <t>test_secrets_providers.py</t>
        </is>
      </c>
    </row>
    <row r="35">
      <c r="A35" s="65" t="inlineStr">
        <is>
          <t>QA-E01-31</t>
        </is>
      </c>
      <c r="B35" s="65" t="inlineStr">
        <is>
          <t>cross</t>
        </is>
      </c>
      <c r="C35" s="65" t="inlineStr">
        <is>
          <t>Container and layering audit</t>
        </is>
      </c>
      <c r="D35" s="66" t="inlineStr">
        <is>
          <t>PASS</t>
        </is>
      </c>
      <c r="E35" s="67" t="inlineStr">
        <is>
          <t>Dockerfile multi-stage, non-root uid 1001, --chown on copies, healthcheck. Compose: no-new-privileges, internal network with no egress, localhost-only port bindings. Layering clean - no SQLAlchemy outside the persistence layer, no broker SDK outside broker/.</t>
        </is>
      </c>
      <c r="F35" s="67" t="inlineStr">
        <is>
          <t>git history scanned for secrets: clean. No os.system, shell=True or eval anywhere.</t>
        </is>
      </c>
      <c r="G35" s="67" t="inlineStr">
        <is>
          <t>manual audit + probes</t>
        </is>
      </c>
    </row>
    <row r="36">
      <c r="A36" s="65" t="inlineStr">
        <is>
          <t>QA-E02-01</t>
        </is>
      </c>
      <c r="B36" s="65" t="inlineStr">
        <is>
          <t>E02-S04</t>
        </is>
      </c>
      <c r="C36" s="65" t="inlineStr">
        <is>
          <t>Orderbook vs foreign order types</t>
        </is>
      </c>
      <c r="D36" s="66" t="inlineStr">
        <is>
          <t>FAIL -&gt; FIXED</t>
        </is>
      </c>
      <c r="E36" s="67" t="inlineStr">
        <is>
          <t>fetch_orderbook indexed private mapping dicts directly, so an order type this system does not model raised a bare KeyError - not in the broker taxonomy, so nothing caught it - and killed the WHOLE read. fetch_orderbook is what the 30-second reconciliation loop calls, so ONE iceberg order placed by hand in the Kite app made reconciliation return nothing at all: every other order invisible, including a genuinely unknown position, which is the condition the kill switch exists for. A personal account is also traded by a human, so foreign order types are normal here.</t>
        </is>
      </c>
      <c r="F36" s="67" t="inlineStr">
        <is>
          <t>Safe accessors raise MappingError; fetch_orderbook skips and logs at ERROR; new fetch_raw_orders() returns untouched dicts so reconciliation can still diff on identity, which needs no enum mapping</t>
        </is>
      </c>
      <c r="G36" s="67" t="inlineStr">
        <is>
          <t>test_broker_kite.py</t>
        </is>
      </c>
    </row>
    <row r="37">
      <c r="A37" s="65" t="inlineStr">
        <is>
          <t>QA-E02-02</t>
        </is>
      </c>
      <c r="B37" s="65" t="inlineStr">
        <is>
          <t>E02-S04</t>
        </is>
      </c>
      <c r="C37" s="65" t="inlineStr">
        <is>
          <t>Duplicate tag in the recovery path</t>
        </is>
      </c>
      <c r="D37" s="66" t="inlineStr">
        <is>
          <t>FAIL -&gt; FIXED</t>
        </is>
      </c>
      <c r="E37" s="67" t="inlineStr">
        <is>
          <t>find_by_client_order_id returned the FIRST row carrying our tag. Probed with a stale REJECTED order sitting ahead of the live OPEN one, it returned the rejected one - which after an ambiguous failure reads as "not placed" and invites a second submission on top of a real position.</t>
        </is>
      </c>
      <c r="F37" s="67" t="inlineStr">
        <is>
          <t>Two or more matches now raise DuplicateBrokerOrderError naming both broker order ids. A duplicate is the failure idempotency exists to prevent and must never be resolved by picking one.</t>
        </is>
      </c>
      <c r="G37" s="67" t="inlineStr">
        <is>
          <t>test_broker_kite.py, test_e02_end_to_end.py</t>
        </is>
      </c>
    </row>
    <row r="38">
      <c r="A38" s="65" t="inlineStr">
        <is>
          <t>QA-E02-03</t>
        </is>
      </c>
      <c r="B38" s="65" t="inlineStr">
        <is>
          <t>E02-S05</t>
        </is>
      </c>
      <c r="C38" s="65" t="inlineStr">
        <is>
          <t>Rate limiter wired into the real order path</t>
        </is>
      </c>
      <c r="D38" s="66" t="inlineStr">
        <is>
          <t>PASS</t>
        </is>
      </c>
      <c r="E38" s="67" t="inlineStr">
        <is>
          <t>Not the limiter in isolation - the limiter as place_order actually uses it. 60 concurrent orders capped at burst + rate x elapsed; a refused order verified never to reach the broker; 10 orderbook reads verified not to consume the order budget.</t>
        </is>
      </c>
      <c r="F38" s="67" t="inlineStr">
        <is>
          <t>reads cannot starve an exit order</t>
        </is>
      </c>
      <c r="G38" s="67" t="inlineStr">
        <is>
          <t>test_e02_end_to_end.py</t>
        </is>
      </c>
    </row>
    <row r="39">
      <c r="A39" s="65" t="inlineStr">
        <is>
          <t>QA-E02-04</t>
        </is>
      </c>
      <c r="B39" s="65" t="inlineStr">
        <is>
          <t>E02-S01</t>
        </is>
      </c>
      <c r="C39" s="65" t="inlineStr">
        <is>
          <t>Ambiguous failure -&gt; recovery loop</t>
        </is>
      </c>
      <c r="D39" s="66" t="inlineStr">
        <is>
          <t>PASS</t>
        </is>
      </c>
      <c r="E39" s="67" t="inlineStr">
        <is>
          <t>End to end with a broker that accepts the order and THEN drops the connection. Recovery finds exactly one order by tag; repeated recovery calls place nothing; a genuinely absent order reports absent (which is what authorises a resubmission); a foreign order in the book does not break the lookup.</t>
        </is>
      </c>
      <c r="F39" s="67" t="inlineStr">
        <is>
          <t>exactly one order at the broker after timeout + recovery</t>
        </is>
      </c>
      <c r="G39" s="67" t="inlineStr">
        <is>
          <t>test_e02_end_to_end.py</t>
        </is>
      </c>
    </row>
    <row r="40">
      <c r="A40" s="65" t="inlineStr">
        <is>
          <t>QA-E02-05</t>
        </is>
      </c>
      <c r="B40" s="65" t="inlineStr">
        <is>
          <t>E02-S06</t>
        </is>
      </c>
      <c r="C40" s="65" t="inlineStr">
        <is>
          <t>Instrument sync against the real repository</t>
        </is>
      </c>
      <c r="D40" s="66" t="inlineStr">
        <is>
          <t>PASS</t>
        </is>
      </c>
      <c r="E40" s="67" t="inlineStr">
        <is>
          <t>Dump lands in Postgres and the symbol resolves afterwards; a re-run updates in place rather than duplicating; a non-standard 0.01 tick survives the round trip and a price rounded for it is verified on-grid.</t>
        </is>
      </c>
      <c r="F40" s="67" t="inlineStr">
        <is>
          <t>full path: dump -&gt; stored tick -&gt; side-aware rounding -&gt; valid price</t>
        </is>
      </c>
      <c r="G40" s="67" t="inlineStr">
        <is>
          <t>test_e02_end_to_end.py</t>
        </is>
      </c>
    </row>
    <row r="41">
      <c r="A41" s="65" t="inlineStr">
        <is>
          <t>QA-E02-06</t>
        </is>
      </c>
      <c r="B41" s="65" t="inlineStr">
        <is>
          <t>cross</t>
        </is>
      </c>
      <c r="C41" s="65" t="inlineStr">
        <is>
          <t>Test isolation</t>
        </is>
      </c>
      <c r="D41" s="66" t="inlineStr">
        <is>
          <t>FAIL -&gt; FIXED</t>
        </is>
      </c>
      <c r="E41" s="67" t="inlineStr">
        <is>
          <t>My E2E fixture cleared the instruments table for a clean count. It passed alone and failed in the full suite: other tests hang bars and positions off those rows, so the DELETE hit a foreign key. Wiping a shared table to make an assertion convenient is the wrong trade.</t>
        </is>
      </c>
      <c r="F41" s="67" t="inlineStr">
        <is>
          <t>Tests now use their own E02X symbol prefix and assert only on that, so they hold regardless of suite order</t>
        </is>
      </c>
      <c r="G41" s="67" t="inlineStr">
        <is>
          <t>test_e02_end_to_end.py</t>
        </is>
      </c>
    </row>
    <row r="42">
      <c r="A42" s="65" t="inlineStr">
        <is>
          <t>QA-E02-07</t>
        </is>
      </c>
      <c r="B42" s="65" t="inlineStr">
        <is>
          <t>E02-S06</t>
        </is>
      </c>
      <c r="C42" s="65" t="inlineStr">
        <is>
          <t>ACC: limit price always snapped to tick</t>
        </is>
      </c>
      <c r="D42" s="66" t="inlineStr">
        <is>
          <t>FAIL -&gt; FIXED</t>
        </is>
      </c>
      <c r="E42" s="67" t="inlineStr">
        <is>
          <t>E02-S06's acceptance criterion is that a limit price is ALWAYS snapped to a valid tick before submission. round_to_tick existed, was correct, and was thoroughly unit-tested - and was never called in the order path. _build_params passed request.limit_price straight through.</t>
        </is>
      </c>
      <c r="F42" s="67" t="inlineStr">
        <is>
          <t>A stop derived from ATR is essentially never on a 0.05 grid by accident, so the exchange would have rejected every computed stop. The helper passing its own tests is precisely why this went unnoticed.</t>
        </is>
      </c>
      <c r="G42" s="67" t="inlineStr">
        <is>
          <t>test_broker_hardening.py</t>
        </is>
      </c>
    </row>
    <row r="43">
      <c r="A43" s="65" t="inlineStr">
        <is>
          <t>QA-E02-08</t>
        </is>
      </c>
      <c r="B43" s="65" t="inlineStr">
        <is>
          <t>E02-S01</t>
        </is>
      </c>
      <c r="C43" s="65" t="inlineStr">
        <is>
          <t>ACC: the flow must be completable</t>
        </is>
      </c>
      <c r="D43" s="66" t="inlineStr">
        <is>
          <t>FAIL -&gt; FIXED</t>
        </is>
      </c>
      <c r="E43" s="67" t="inlineStr">
        <is>
          <t>Nothing in the package constructed an authenticated KiteConnect client. Every piece of E02 existed and the flow could not actually be run - a gap no unit test can surface, because each unit passes.</t>
        </is>
      </c>
      <c r="F43" s="67" t="inlineStr">
        <is>
          <t>Added session.py: build_client() and exchange_request_token(), completing the redirect login. The raw token is revealed at exactly two points, both handing it straight to the SDK, and a test asserts the reveal sites stay at three or fewer.</t>
        </is>
      </c>
      <c r="G43" s="67" t="inlineStr">
        <is>
          <t>test_broker_hardening.py</t>
        </is>
      </c>
    </row>
    <row r="44">
      <c r="A44" s="67" t="inlineStr">
        <is>
          <t>QA-E02-09</t>
        </is>
      </c>
      <c r="B44" s="67" t="inlineStr">
        <is>
          <t>E02-S04</t>
        </is>
      </c>
      <c r="C44" s="67" t="inlineStr">
        <is>
          <t>BA: acceptance criteria re-checked against code</t>
        </is>
      </c>
      <c r="D44" s="66" t="inlineStr">
        <is>
          <t>PASS</t>
        </is>
      </c>
      <c r="E44" s="67" t="inlineStr">
        <is>
          <t>Re-read every E02 acceptance criterion against the built code rather than against intent. Verified: no retry loop anywhere in the mutating path; the access token absent from every logged form including exc_info tracebacks; market protection impossible to omit or zero.</t>
        </is>
      </c>
      <c r="F44" s="67" t="inlineStr">
        <is>
          <t>two criteria were NOT met and are logged above as QA-E02-07 and QA-E02-08</t>
        </is>
      </c>
      <c r="G44" s="67" t="inlineStr">
        <is>
          <t>test_broker_security.py</t>
        </is>
      </c>
    </row>
    <row r="45" ht="86" customHeight="1" s="59">
      <c r="A45" s="67" t="inlineStr">
        <is>
          <t>QA-AUD-01</t>
        </is>
      </c>
      <c r="B45" s="67" t="inlineStr">
        <is>
          <t>E05/E06</t>
        </is>
      </c>
      <c r="C45" s="67" t="inlineStr">
        <is>
          <t>Architecture: does anything compose the components?</t>
        </is>
      </c>
      <c r="D45" s="66" t="inlineStr">
        <is>
          <t>FAIL (on plan)</t>
        </is>
      </c>
      <c r="E45" s="67" t="inlineStr">
        <is>
          <t>Measured, not read: six service packages (orchestrator, signals, execution, premarket, api, notifier) are 1 line each - __init__.py only. No module in src/ imports both algotrader.ingest and algotrader.indicators. Zero production callers for set_atr_pct, set_circuit, MultiTimeframeBuilder, CleaningPipeline, QuotePublisher or warm_up_symbols.</t>
        </is>
      </c>
      <c r="F45" s="67" t="inlineStr">
        <is>
          <t>~7,000 lines of tested components with no assembly. Expected at this point - E07 is the orchestrator - but it means no test so far is an end-to-end test of the SYSTEM. Recorded so the gap is explicit rather than assumed.</t>
        </is>
      </c>
      <c r="G45" s="67" t="inlineStr">
        <is>
          <t>grep over src/</t>
        </is>
      </c>
      <c r="H45" s="76" t="n"/>
      <c r="I45" s="76" t="n"/>
      <c r="J45" s="76" t="n"/>
    </row>
    <row r="46" ht="86" customHeight="1" s="59">
      <c r="A46" s="67" t="inlineStr">
        <is>
          <t>QA-AUD-02</t>
        </is>
      </c>
      <c r="B46" s="67" t="inlineStr">
        <is>
          <t>E05/E06</t>
        </is>
      </c>
      <c r="C46" s="67" t="inlineStr">
        <is>
          <t>Architecture: the ingest/indicator dependency cycle</t>
        </is>
      </c>
      <c r="D46" s="66" t="inlineStr">
        <is>
          <t>PASS (documented)</t>
        </is>
      </c>
      <c r="E46" s="67" t="inlineStr">
        <is>
          <t>OutlierFilter needs ATR (E06) &lt;- needs bars (E05) &lt;- needs cleaned ticks &lt;- needs OutlierFilter. Reads as an unbreakable runtime loop.</t>
        </is>
      </c>
      <c r="F46" s="67" t="inlineStr">
        <is>
          <t>It is not a loop: the ATR that matters is the PREVIOUS session's, loaded from ohlcv at warm-up before the feed connects. The hazard is the wiring, not the design - feeding it live bars would widen the threshold in response to the very outliers it rejects, each bad print raising ATR and each raised ATR admitting a worse one. Now stated in CleaningPipeline's docstring where the wiring will be written.</t>
        </is>
      </c>
      <c r="G46" s="67" t="inlineStr">
        <is>
          <t>cleaning.py CleaningPipeline docstring</t>
        </is>
      </c>
      <c r="H46" s="76" t="n"/>
      <c r="I46" s="76" t="n"/>
      <c r="J46" s="76" t="n"/>
    </row>
    <row r="47" ht="86" customHeight="1" s="59">
      <c r="A47" s="67" t="inlineStr">
        <is>
          <t>QA-AUD-03</t>
        </is>
      </c>
      <c r="B47" s="67" t="inlineStr">
        <is>
          <t>E06-S01</t>
        </is>
      </c>
      <c r="C47" s="67" t="inlineStr">
        <is>
          <t>BA: performance criterion measured, not assumed</t>
        </is>
      </c>
      <c r="D47" s="66" t="inlineStr">
        <is>
          <t>PASS</t>
        </is>
      </c>
      <c r="E47" s="67" t="inlineStr">
        <is>
          <t>Budget is 50ms for a full indicator update cycle. Measured 3.9ms for 1200 indicator sets - 12x under budget.</t>
        </is>
      </c>
      <c r="F47" s="67" t="inlineStr">
        <is>
          <t>The criterion was written as a target and had never been measured against real volume.</t>
        </is>
      </c>
      <c r="G47" s="67" t="inlineStr">
        <is>
          <t>audit probe, 1200 sets</t>
        </is>
      </c>
      <c r="H47" s="76" t="n"/>
      <c r="I47" s="76" t="n"/>
      <c r="J47" s="76" t="n"/>
    </row>
    <row r="48" ht="86" customHeight="1" s="59">
      <c r="A48" s="67" t="inlineStr">
        <is>
          <t>QA-AUD-04</t>
        </is>
      </c>
      <c r="B48" s="67" t="inlineStr">
        <is>
          <t>E05-S06</t>
        </is>
      </c>
      <c r="C48" s="67" t="inlineStr">
        <is>
          <t>BA: full-session bar grid verified end to end</t>
        </is>
      </c>
      <c r="D48" s="66" t="inlineStr">
        <is>
          <t>PASS</t>
        </is>
      </c>
      <c r="E48" s="67" t="inlineStr">
        <is>
          <t>A complete 09:15-15:30 session produced 74 five-minute bars with 0 off-grid boundaries.</t>
        </is>
      </c>
      <c r="F48" s="67" t="inlineStr">
        <is>
          <t>Bars align to the session start, not wall-clock hours. An off-by-one here shifts every indicator value for the day.</t>
        </is>
      </c>
      <c r="G48" s="67" t="inlineStr">
        <is>
          <t>audit probe, full session replay</t>
        </is>
      </c>
      <c r="H48" s="76" t="n"/>
      <c r="I48" s="76" t="n"/>
      <c r="J48" s="76" t="n"/>
    </row>
    <row r="49" ht="86" customHeight="1" s="59">
      <c r="A49" s="67" t="inlineStr">
        <is>
          <t>QA-AUD-05</t>
        </is>
      </c>
      <c r="B49" s="67" t="inlineStr">
        <is>
          <t>E06</t>
        </is>
      </c>
      <c r="C49" s="67" t="inlineStr">
        <is>
          <t>BA: acceptance criteria not met</t>
        </is>
      </c>
      <c r="D49" s="66" t="inlineStr">
        <is>
          <t>FAIL</t>
        </is>
      </c>
      <c r="E49" s="67" t="inlineStr">
        <is>
          <t>Two gaps: (1) FeedGap is produced by KiteFeed and IndicatorSet.mark_stale exists, but nothing connects them - a feed gap does not currently mark indicators stale because no component owns both. (2) ADX is named in the story and is not implemented.</t>
        </is>
      </c>
      <c r="F49" s="67" t="inlineStr">
        <is>
          <t>Both are consequences of QA-AUD-01 rather than defects in the built code. (1) closes when the orchestrator lands; (2) is a straightforward addition to the indicator framework.</t>
        </is>
      </c>
      <c r="G49" s="67" t="inlineStr">
        <is>
          <t>acceptance criteria re-read against code</t>
        </is>
      </c>
      <c r="H49" s="76" t="n"/>
      <c r="I49" s="76" t="n"/>
      <c r="J49" s="76" t="n"/>
    </row>
    <row r="50" ht="86" customHeight="1" s="59">
      <c r="A50" s="67" t="inlineStr">
        <is>
          <t>QA-AUD-06</t>
        </is>
      </c>
      <c r="B50" s="67" t="inlineStr">
        <is>
          <t>E05/E06</t>
        </is>
      </c>
      <c r="C50" s="67" t="inlineStr">
        <is>
          <t>Money-path type discipline</t>
        </is>
      </c>
      <c r="D50" s="66" t="inlineStr">
        <is>
          <t>FAIL -&gt; Fixed</t>
        </is>
      </c>
      <c r="E50" s="67" t="inlineStr">
        <is>
          <t>ATR.value returns float 1.4000000000000057 and ATR feeds stop distance, which feeds position size. CLAUDE.md requires Decimal for all money.</t>
        </is>
      </c>
      <c r="F50" s="67" t="inlineStr">
        <is>
          <t>Indicators compute in float deliberately - they are the numerical-library boundary the conventions carve out, and TA-Lib parity is defined in float. So the fix is a NAMED crossing (as_decimal()) rather than scattered Decimal() calls at whichever site needs one. .value stays float for the indicator path.</t>
        </is>
      </c>
      <c r="G50" s="67" t="inlineStr">
        <is>
          <t>test_indicators.py TestTheMoneyBoundaryIsExplicit</t>
        </is>
      </c>
      <c r="H50" s="76" t="n"/>
      <c r="I50" s="76" t="n"/>
      <c r="J50" s="76" t="n"/>
    </row>
    <row r="51" ht="106" customHeight="1" s="59">
      <c r="A51" s="67" t="inlineStr">
        <is>
          <t>QA-STR-01</t>
        </is>
      </c>
      <c r="B51" s="67" t="inlineStr">
        <is>
          <t>E00-S08</t>
        </is>
      </c>
      <c r="C51" s="67" t="inlineStr">
        <is>
          <t>BA: is the story actually delivered?</t>
        </is>
      </c>
      <c r="D51" s="66" t="inlineStr">
        <is>
          <t>FAIL -&gt; Fixed</t>
        </is>
      </c>
      <c r="E51" s="67" t="inlineStr">
        <is>
          <t>E00-S08 'Strategy DSL with vetted primitive registry' is marked Closed. The registry held 27 PrimitiveSpec records - name, category, parameter bounds - and no function behind any of them. compile_strategy's own docstring says 'the runtime evaluator walks the validated tree'; no such evaluator existed.</t>
        </is>
      </c>
      <c r="F51" s="67" t="inlineStr">
        <is>
          <t>A registry of primitives that cannot be computed is not a delivered registry. A strategy would validate, compile, hash, persist, activate - and never fire, with no error raised. Now implemented, with a test asserting declared and implemented are the same set.</t>
        </is>
      </c>
      <c r="G51" s="67" t="inlineStr">
        <is>
          <t>test_strategy_runtime.py TestEveryPrimitiveCanActuallyRun</t>
        </is>
      </c>
      <c r="H51" s="76" t="n"/>
      <c r="I51" s="76" t="n"/>
      <c r="J51" s="76" t="n"/>
    </row>
    <row r="52" ht="106" customHeight="1" s="59">
      <c r="A52" s="67" t="inlineStr">
        <is>
          <t>QA-STR-02</t>
        </is>
      </c>
      <c r="B52" s="67" t="inlineStr">
        <is>
          <t>E00-S08</t>
        </is>
      </c>
      <c r="C52" s="67" t="inlineStr">
        <is>
          <t>BA: Applicability was decorative</t>
        </is>
      </c>
      <c r="D52" s="66" t="inlineStr">
        <is>
          <t>FAIL -&gt; Fixed</t>
        </is>
      </c>
      <c r="E52" s="67" t="inlineStr">
        <is>
          <t>Applicability.regimes and min_price were parsed, validated and folded into the content hash, then consulted by nothing anywhere in src/. A strategy declaring 'TRENDING only, above 100 rupees' had both ignored.</t>
        </is>
      </c>
      <c r="F52" s="67" t="inlineStr">
        <is>
          <t>A trend strategy would fire freely in a rangebound market and on a penny stock. Now enforced in StrategyEvaluator.applies_to, which fire() consults - and an unknown regime does not apply, because the strategy is only validated for the regimes it names.</t>
        </is>
      </c>
      <c r="G52" s="67" t="inlineStr">
        <is>
          <t>test_strategy_runtime.py TestApplicabilityIsEnforcedNotDecorative</t>
        </is>
      </c>
      <c r="H52" s="76" t="n"/>
      <c r="I52" s="76" t="n"/>
      <c r="J52" s="76" t="n"/>
    </row>
    <row r="53" ht="106" customHeight="1" s="59">
      <c r="A53" s="67" t="inlineStr">
        <is>
          <t>QA-STR-03</t>
        </is>
      </c>
      <c r="B53" s="67" t="inlineStr">
        <is>
          <t>E06-S04</t>
        </is>
      </c>
      <c r="C53" s="67" t="inlineStr">
        <is>
          <t>Architect: timeframe_agreement carried no direction</t>
        </is>
      </c>
      <c r="D53" s="66" t="inlineStr">
        <is>
          <t>FAIL -&gt; Fixed</t>
        </is>
      </c>
      <c r="E53" s="67" t="inlineStr">
        <is>
          <t>fire() reported abs(snapshot.trend_agreement()). Measured: on a unanimously bearish tape a LONG trigger reported 3 of 3 timeframes in agreement.</t>
        </is>
      </c>
      <c r="F53" s="67" t="inlineStr">
        <is>
          <t>trend_agreement counts timeframes where fast &gt; slow and the SIGN carries direction; discarding it turns maximum disagreement into maximum confluence. The number reaches Recommendation.timeframe_agreement and the AI confirmation prompt, where it is precisely the wrong thing to say.</t>
        </is>
      </c>
      <c r="G53" s="67" t="inlineStr">
        <is>
          <t>test_strategy_runtime.py TestTimeframeAgreementCarriesDirection</t>
        </is>
      </c>
      <c r="H53" s="76" t="n"/>
      <c r="I53" s="76" t="n"/>
      <c r="J53" s="76" t="n"/>
    </row>
    <row r="54" ht="106" customHeight="1" s="59">
      <c r="A54" s="67" t="inlineStr">
        <is>
          <t>QA-STR-04</t>
        </is>
      </c>
      <c r="B54" s="67" t="inlineStr">
        <is>
          <t>E00-S08</t>
        </is>
      </c>
      <c r="C54" s="67" t="inlineStr">
        <is>
          <t>Architect: randomness in the strategy path</t>
        </is>
      </c>
      <c r="D54" s="66" t="inlineStr">
        <is>
          <t>FAIL -&gt; Fixed</t>
        </is>
      </c>
      <c r="E54" s="67" t="inlineStr">
        <is>
          <t>fire() minted a correlation_id with uuid4() when the caller did not supply one.</t>
        </is>
      </c>
      <c r="F54" s="67" t="inlineStr">
        <is>
          <t>The conventions forbid randomness in the strategy path for a concrete reason: E12-S03's acceptance criterion is that the decision SEQUENCE matches between backtest and live, and two Triggers differing only by a random UUID cannot be compared for equality. correlation_id is now required, so the evaluator is a pure function and the caller owns identity.</t>
        </is>
      </c>
      <c r="G54" s="67" t="inlineStr">
        <is>
          <t>test_strategy_runtime.py test_firing_twice_on_the_same_context_is_identical</t>
        </is>
      </c>
      <c r="H54" s="76" t="n"/>
      <c r="I54" s="76" t="n"/>
      <c r="J54" s="76" t="n"/>
    </row>
    <row r="55" ht="106" customHeight="1" s="59">
      <c r="A55" s="67" t="inlineStr">
        <is>
          <t>QA-STR-05</t>
        </is>
      </c>
      <c r="B55" s="67" t="inlineStr">
        <is>
          <t>E00-S08</t>
        </is>
      </c>
      <c r="C55" s="67" t="inlineStr">
        <is>
          <t>Registry declared timeframes the engine does not compute</t>
        </is>
      </c>
      <c r="D55" s="66" t="inlineStr">
        <is>
          <t>FAIL -&gt; Fixed</t>
        </is>
      </c>
      <c r="E55" s="67" t="inlineStr">
        <is>
          <t>timeframe_agreement_at_least defaulted to of='1h,1d,1w' and higher_tf_trend_is offered 1h/1d/1w as enum choices. IndicatorEngine carries 5m/15m/1h.</t>
        </is>
      </c>
      <c r="F55" s="67" t="inlineStr">
        <is>
          <t>A strategy omitting the 'of' parameter named two timeframes that do not exist, so it could never fire - and would look like a strategy that simply never triggered. Both now declare what the engine actually produces, and StrategyEvaluator.__init__ verifies capability so the failure happens at LOAD rather than at 09:20 from an absence of trades.</t>
        </is>
      </c>
      <c r="G55" s="67" t="inlineStr">
        <is>
          <t>test_strategy_runtime.py TestCapabilityIsVerifiedAtLoadTime</t>
        </is>
      </c>
      <c r="H55" s="76" t="n"/>
      <c r="I55" s="76" t="n"/>
      <c r="J55" s="76" t="n"/>
    </row>
    <row r="56" ht="106" customHeight="1" s="59">
      <c r="A56" s="67" t="inlineStr">
        <is>
          <t>QA-STR-06</t>
        </is>
      </c>
      <c r="B56" s="67" t="inlineStr">
        <is>
          <t>E00-S08</t>
        </is>
      </c>
      <c r="C56" s="67" t="inlineStr">
        <is>
          <t>Stops were not placeable prices</t>
        </is>
      </c>
      <c r="D56" s="66" t="inlineStr">
        <is>
          <t>FAIL -&gt; Fixed</t>
        </is>
      </c>
      <c r="E56" s="67" t="inlineStr">
        <is>
          <t>atr_stop produced 1186.49835 - five decimal places and off the NSE tick grid.</t>
        </is>
      </c>
      <c r="F56" s="67" t="inlineStr">
        <is>
          <t>Not an imprecise stop: NSE rejects an off-tick price, so it is a REJECTED ORDER and therefore a position with no protection at all. Stops now snap to the tick grid away from entry (snapping inward would silently turn a declared 1.5x ATR stop into 1.49x); targets snap toward entry, since a target only pays if it fills. A second bug surfaced in the same fix: the exact-grid early-return path skipped quantisation, so a price already on the grid kept 5 decimal places and would fail Price validation downstream.</t>
        </is>
      </c>
      <c r="G56" s="67" t="inlineStr">
        <is>
          <t>test_strategy_runtime.py TestStopsAreRealPlaceablePrices plus the E2E tick-grid assertion</t>
        </is>
      </c>
      <c r="H56" s="76" t="n"/>
      <c r="I56" s="76" t="n"/>
      <c r="J56" s="76" t="n"/>
    </row>
    <row r="57" ht="106" customHeight="1" s="59">
      <c r="A57" s="67" t="inlineStr">
        <is>
          <t>QA-STR-07</t>
        </is>
      </c>
      <c r="B57" s="67" t="inlineStr">
        <is>
          <t>E06-S06</t>
        </is>
      </c>
      <c r="C57" s="67" t="inlineStr">
        <is>
          <t>Dev: OpeningRange accepted an inverted range</t>
        </is>
      </c>
      <c r="D57" s="66" t="inlineStr">
        <is>
          <t>FAIL -&gt; Fixed</t>
        </is>
      </c>
      <c r="E57" s="67" t="inlineStr">
        <is>
          <t>OpeningRange(high=90, low=110) reported is_usable True, range_pct -20%, and a width of -20.</t>
        </is>
      </c>
      <c r="F57" s="67" t="inlineStr">
        <is>
          <t>update() maintains high &gt;= low by construction so this cannot arise from ticks, but the dataclass is also built directly - from a restored snapshot or from stored bars - and nothing checked. classic_pivots already refused high &lt; low, so the two halves of the module disagreed. A negative width would reach a sizing calculation as a real one.</t>
        </is>
      </c>
      <c r="G57" s="67" t="inlineStr">
        <is>
          <t>test_indicator_levels.py TestAnInvertedOpeningRangeIsRefused</t>
        </is>
      </c>
      <c r="H57" s="76" t="n"/>
      <c r="I57" s="76" t="n"/>
      <c r="J57" s="76" t="n"/>
    </row>
    <row r="58" ht="106" customHeight="1" s="59">
      <c r="A58" s="67" t="inlineStr">
        <is>
          <t>QA-STR-08</t>
        </is>
      </c>
      <c r="B58" s="67" t="inlineStr">
        <is>
          <t>E05+E06+strategy</t>
        </is>
      </c>
      <c r="C58" s="67" t="inlineStr">
        <is>
          <t>QA Lead: first end-to-end run of the whole chain</t>
        </is>
      </c>
      <c r="D58" s="66" t="inlineStr">
        <is>
          <t>PASS</t>
        </is>
      </c>
      <c r="E58" s="67" t="inlineStr">
        <is>
          <t>RawTick -&gt; CleaningPipeline -&gt; MultiTimeframeBuilder -&gt; IndicatorEngine -&gt; MultiTimeframeSnapshot -&gt; EvalContext -&gt; StrategyEvaluator -&gt; Trigger. 2400 ticks, 55 bars, warm-up from 260 prior bars per timeframe, producing a Trigger with a tick-aligned stop 2.54% away.</t>
        </is>
      </c>
      <c r="F58" s="67" t="inlineStr">
        <is>
          <t>The audit's headline finding was that nothing composed ingest with indicators, so every claim was a claim about a part. This is the first test of the SYSTEM. It exercises three components the audit found with zero callers - MultiTimeframeBuilder, CleaningPipeline, warm_up_symbols - and it is where QA-SEC-20 was found. It also confirms E05-S04 one layer up: a 50x poison print moves no indicator value.</t>
        </is>
      </c>
      <c r="G58" s="67" t="inlineStr">
        <is>
          <t>tests/integration/test_tick_to_trigger.py (17 tests)</t>
        </is>
      </c>
      <c r="H58" s="76" t="n"/>
      <c r="I58" s="76" t="n"/>
      <c r="J58" s="76" t="n"/>
    </row>
    <row r="59" ht="116" customHeight="1" s="59">
      <c r="A59" s="67" t="inlineStr">
        <is>
          <t>QA-ENG-01</t>
        </is>
      </c>
      <c r="B59" s="67" t="inlineStr">
        <is>
          <t>E05-S01/S08</t>
        </is>
      </c>
      <c r="C59" s="67" t="inlineStr">
        <is>
          <t>Coverage: two production modules at 0%</t>
        </is>
      </c>
      <c r="D59" s="66" t="inlineStr">
        <is>
          <t>FAIL -&gt; Fixed</t>
        </is>
      </c>
      <c r="E59" s="67" t="inlineStr">
        <is>
          <t>kite_ws.py (144 statements, the LIVE MARKET FEED) and quotes.py (68 statements) had never been executed by any test. Reviewed, shipped, never run.</t>
        </is>
      </c>
      <c r="F59" s="67" t="inlineStr">
        <is>
          <t>This is exactly what CLAUDE.md warns about - two real bugs in this repository shipped past a clean code read. Written 53 tests using a scripted fake socket: reconnection, gap emission, idle-socket detection, heartbeats, protocol errors, backoff reset after a healthy connection, and that the access token in the URL never reaches a log. Coverage 0% -&gt; 98% and 0% -&gt; 100%; project total 86% -&gt; 90%.</t>
        </is>
      </c>
      <c r="G59" s="67" t="inlineStr">
        <is>
          <t>tests/unit/test_ingest_feed.py (29), tests/unit/test_ingest_quotes.py (24)</t>
        </is>
      </c>
      <c r="H59" s="76" t="n"/>
      <c r="I59" s="76" t="n"/>
      <c r="J59" s="76" t="n"/>
    </row>
    <row r="60" ht="116" customHeight="1" s="59">
      <c r="A60" s="67" t="inlineStr">
        <is>
          <t>QA-ENG-02</t>
        </is>
      </c>
      <c r="B60" s="67" t="inlineStr">
        <is>
          <t>Infrastructure</t>
        </is>
      </c>
      <c r="C60" s="67" t="inlineStr">
        <is>
          <t>Alembic silently disabled application logging</t>
        </is>
      </c>
      <c r="D60" s="66" t="inlineStr">
        <is>
          <t>FAIL -&gt; Fixed</t>
        </is>
      </c>
      <c r="E60" s="67" t="inlineStr">
        <is>
          <t>logging.config.fileConfig defaults to disable_existing_loggers=True. Alembic runs in-process here, so a migration switched off every logger that already existed. Surfaced as pytest caplog going empty for every test after a DB test - 4 tests that passed alone and failed in the suite.</t>
        </is>
      </c>
      <c r="F60" s="67" t="inlineStr">
        <is>
          <t>The test symptom is the small version. The real one: a trading system that stops logging without failing. It keeps trading and there is no record of what it did, which for a system handling real money is close to the worst available failure mode.</t>
        </is>
      </c>
      <c r="G60" s="67" t="inlineStr">
        <is>
          <t>tests/unit/test_migration_logging.py - demonstrates the mechanism rather than asserting it from the docs</t>
        </is>
      </c>
      <c r="H60" s="76" t="n"/>
      <c r="I60" s="76" t="n"/>
      <c r="J60" s="76" t="n"/>
    </row>
    <row r="61" ht="116" customHeight="1" s="59">
      <c r="A61" s="67" t="inlineStr">
        <is>
          <t>QA-ENG-03</t>
        </is>
      </c>
      <c r="B61" s="67" t="inlineStr">
        <is>
          <t>Cross-cutting</t>
        </is>
      </c>
      <c r="C61" s="67" t="inlineStr">
        <is>
          <t>Mutation testing on the safety-critical paths</t>
        </is>
      </c>
      <c r="D61" s="66" t="inlineStr">
        <is>
          <t>PASS</t>
        </is>
      </c>
      <c r="E61" s="67" t="inlineStr">
        <is>
          <t>15 plausible bugs injected into real source and the suite run against each: none_of treating UNKNOWN as absent, the all_ready gate removed, stops snapping toward entry, agreement discarding direction, restore() trusting its period, the dedup map unbounded, the feed gap not announced, read_fresh returning stale quotes, and more.</t>
        </is>
      </c>
      <c r="F61" s="67" t="inlineStr">
        <is>
          <t>Coverage says a line ran; it does not say a test would NOTICE if that line were wrong. Two mutations SURVIVED on the first pass - both because the tests exercised a helper directly rather than the path that calls it, so reverting fire() to the buggy behaviour changed nothing any assertion could see. Closed both; all 15 now killed.</t>
        </is>
      </c>
      <c r="G61" s="67" t="inlineStr">
        <is>
          <t>scratchpad/mutate.py, 15/15 killed</t>
        </is>
      </c>
      <c r="H61" s="76" t="n"/>
      <c r="I61" s="76" t="n"/>
      <c r="J61" s="76" t="n"/>
    </row>
    <row r="62" ht="116" customHeight="1" s="59">
      <c r="A62" s="67" t="inlineStr">
        <is>
          <t>QA-ENG-04</t>
        </is>
      </c>
      <c r="B62" s="67" t="inlineStr">
        <is>
          <t>Strategy runtime</t>
        </is>
      </c>
      <c r="C62" s="67" t="inlineStr">
        <is>
          <t>Property-based testing</t>
        </is>
      </c>
      <c r="D62" s="66" t="inlineStr">
        <is>
          <t>PASS</t>
        </is>
      </c>
      <c r="E62" s="67" t="inlineStr">
        <is>
          <t>17 Hypothesis properties over ~5000 generated cases: a snapped stop is always on the tick grid, never moves more than one tick, never moves toward the entry, is idempotent, never goes negative and always fits Price's four decimal places. Plus the full 3^n tri-state truth tables.</t>
        </is>
      </c>
      <c r="F62" s="67" t="inlineStr">
        <is>
          <t>Example tests assert what I thought to check. The tri-state tables have 3^n rows and I would otherwise have tested the handful I imagined - and the property that matters most, that no combination containing an UNKNOWN can ever satisfy none_of, is a statement about the whole space.</t>
        </is>
      </c>
      <c r="G62" s="67" t="inlineStr">
        <is>
          <t>tests/unit/test_strategy_properties.py</t>
        </is>
      </c>
      <c r="H62" s="76" t="n"/>
      <c r="I62" s="76" t="n"/>
      <c r="J62" s="76" t="n"/>
    </row>
    <row r="63" ht="116" customHeight="1" s="59">
      <c r="A63" s="67" t="inlineStr">
        <is>
          <t>QA-ENG-05</t>
        </is>
      </c>
      <c r="B63" s="67" t="inlineStr">
        <is>
          <t>E00-S10</t>
        </is>
      </c>
      <c r="C63" s="67" t="inlineStr">
        <is>
          <t>Preflight tests depended on a defect existing</t>
        </is>
      </c>
      <c r="D63" s="66" t="inlineStr">
        <is>
          <t>FAIL -&gt; Fixed</t>
        </is>
      </c>
      <c r="E63" s="67" t="inlineStr">
        <is>
          <t>Two BR-20 tests asserted that an unverified holiday list blocks live trading, using the SHIPPED file's incompleteness as the fixture. Closing B3 fixed the file and the tests failed.</t>
        </is>
      </c>
      <c r="F63" s="67" t="inlineStr">
        <is>
          <t>They passed for the wrong reason: the gate was being tested with a real defect as its input, so the tests would have gone quiet the moment the defect was fixed - which is exactly what happened. Rewritten to construct the unverified condition deliberately, plus a new test asserting the SHIPPED list now passes the live gate.</t>
        </is>
      </c>
      <c r="G63" s="67" t="inlineStr">
        <is>
          <t>tests/security/test_preflight_gate.py TestHolidayCalendarBlocksLiveTrading</t>
        </is>
      </c>
      <c r="H63" s="76" t="n"/>
      <c r="I63" s="76" t="n"/>
      <c r="J63" s="76" t="n"/>
    </row>
    <row r="64" ht="104" customHeight="1" s="59">
      <c r="A64" s="67" t="inlineStr">
        <is>
          <t>QA-E14-01</t>
        </is>
      </c>
      <c r="B64" s="67" t="inlineStr">
        <is>
          <t>E14-S01</t>
        </is>
      </c>
      <c r="C64" s="67" t="inlineStr">
        <is>
          <t>BA: dependency was mis-stated</t>
        </is>
      </c>
      <c r="D64" s="66" t="inlineStr">
        <is>
          <t>FAIL -&gt; Fixed</t>
        </is>
      </c>
      <c r="E64" s="67" t="inlineStr">
        <is>
          <t>E14-S01 declared a dependency on E13-S04. Traced the chain: E13-S04 -&gt; E13-S03 -&gt; E10-S05 -&gt; E10-S03 -&gt; E10-S01. Taken literally, the deterministic risk engine could not start until the entire AI layer existed.</t>
        </is>
      </c>
      <c r="F64" s="67" t="inlineStr">
        <is>
          <t>That inverts the architecture's own boundary. Recommendation is the AI/deterministic seam precisely so the downstream side does not depend on how the upstream side produced it (constraint C4). What E14-S01 needs is the Recommendation TYPE, from E00-S02 (Closed). Corrected to E00-S02 with the justification recorded on the story; E13-S04 remains a real dependency for runtime WIRING, which is E13-S05/E15.</t>
        </is>
      </c>
      <c r="G64" s="67" t="inlineStr">
        <is>
          <t>Definition of Ready R2, per ENGINEERING_STANDARD 2.1</t>
        </is>
      </c>
      <c r="H64" s="76" t="n"/>
      <c r="I64" s="76" t="n"/>
      <c r="J64" s="76" t="n"/>
    </row>
    <row r="65" ht="104" customHeight="1" s="59">
      <c r="A65" s="67" t="inlineStr">
        <is>
          <t>QA-E14-02</t>
        </is>
      </c>
      <c r="B65" s="67" t="inlineStr">
        <is>
          <t>E14-S01</t>
        </is>
      </c>
      <c r="C65" s="67" t="inlineStr">
        <is>
          <t>Analysis: spec check names overflow the audit column</t>
        </is>
      </c>
      <c r="D65" s="66" t="inlineStr">
        <is>
          <t>FAIL -&gt; Fixed</t>
        </is>
      </c>
      <c r="E65" s="67" t="inlineStr">
        <is>
          <t>decision_log.stage is String(28). Three of the fourteen check names in LOW_LEVEL_ARCHITECTURE 5.7 are longer: check_symbol_not_already_held (29), check_net_directional_exposure (30), check_time_to_squareoff_deadline (32).</t>
        </is>
      </c>
      <c r="F65" s="67" t="inlineStr">
        <is>
          <t>Using the spec's function names as the audit stage would fail the insert at the moment a rejection happens - precisely when the record is wanted. Resolved with short stable check IDs decoupled from function names, and RiskCheck refuses an over-long id at DECLARATION rather than at 09:20 on the first rejection.</t>
        </is>
      </c>
      <c r="G65" s="67" t="inlineStr">
        <is>
          <t>test_risk_framework.py TestCheckRegistrationIsValidated</t>
        </is>
      </c>
      <c r="H65" s="76" t="n"/>
      <c r="I65" s="76" t="n"/>
      <c r="J65" s="76" t="n"/>
    </row>
    <row r="66" ht="104" customHeight="1" s="59">
      <c r="A66" s="67" t="inlineStr">
        <is>
          <t>QA-E14-03</t>
        </is>
      </c>
      <c r="B66" s="67" t="inlineStr">
        <is>
          <t>E14-S01</t>
        </is>
      </c>
      <c r="C66" s="67" t="inlineStr">
        <is>
          <t>Spec called constructors that did not exist</t>
        </is>
      </c>
      <c r="D66" s="66" t="inlineStr">
        <is>
          <t>FAIL -&gt; Fixed</t>
        </is>
      </c>
      <c r="E66" s="67" t="inlineStr">
        <is>
          <t>LOW_LEVEL_ARCHITECTURE 5.7 writes the engine in terms of RiskDecision.approve(...) and .reject(...). Neither existed; the spec's pseudocode was the only place they appeared.</t>
        </is>
      </c>
      <c r="F66" s="67" t="inlineStr">
        <is>
          <t>Added as named constructors, which also makes approval greppable - that is how criterion 1 is checked, by a structural test asserting nothing outside RiskEngine constructs one. reject() requires a detail rather than accepting None, so a check cannot log a rejection nobody can act on.</t>
        </is>
      </c>
      <c r="G66" s="67" t="inlineStr">
        <is>
          <t>test_risk_pipeline_integrity.py TestOnlyTheEngineApproves</t>
        </is>
      </c>
      <c r="H66" s="76" t="n"/>
      <c r="I66" s="76" t="n"/>
      <c r="J66" s="76" t="n"/>
    </row>
    <row r="67" ht="104" customHeight="1" s="59">
      <c r="A67" s="67" t="inlineStr">
        <is>
          <t>QA-E14-04</t>
        </is>
      </c>
      <c r="B67" s="67" t="inlineStr">
        <is>
          <t>E14-S01</t>
        </is>
      </c>
      <c r="C67" s="67" t="inlineStr">
        <is>
          <t>Determinism test rejected my own helper</t>
        </is>
      </c>
      <c r="D67" s="66" t="inlineStr">
        <is>
          <t>FAIL -&gt; Fixed</t>
        </is>
      </c>
      <c r="E67" s="67" t="inlineStr">
        <is>
          <t>Added a utc_now() convenience to framework.py. The structural determinism test flagged it: a clock read anywhere in the module weakens the property the module is supposed to have.</t>
        </is>
      </c>
      <c r="F67" s="67" t="inlineStr">
        <is>
          <t>Deleted rather than exempted. The caller building a RiskContext supplies `now` explicitly, which is what makes an evaluation reproducible from its recorded inputs - the same property whose absence was found in the strategy evaluator (uuid4 in fire()).</t>
        </is>
      </c>
      <c r="G67" s="67" t="inlineStr">
        <is>
          <t>test_risk_pipeline_integrity.py TestTheEngineIsDeterministic</t>
        </is>
      </c>
      <c r="H67" s="76" t="n"/>
      <c r="I67" s="76" t="n"/>
      <c r="J67" s="76" t="n"/>
    </row>
    <row r="68" ht="104" customHeight="1" s="59">
      <c r="A68" s="67" t="inlineStr">
        <is>
          <t>QA-E14-05</t>
        </is>
      </c>
      <c r="B68" s="67" t="inlineStr">
        <is>
          <t>E14-S01</t>
        </is>
      </c>
      <c r="C68" s="67" t="inlineStr">
        <is>
          <t>Mutation testing, 14 injected defects</t>
        </is>
      </c>
      <c r="D68" s="66" t="inlineStr">
        <is>
          <t>PASS (13/14 killed)</t>
        </is>
      </c>
      <c r="E68" s="67" t="inlineStr">
        <is>
          <t>Injected: a raising check skipped instead of rejecting; the pipeline continuing past a refusal; a missing sizer approving; zero quantity approved; over-long and duplicate check ids accepted; approvals no longer audited; an audit failure swallowing the decision; require() defaulting to zero; net exposure ignoring direction. 13 killed.</t>
        </is>
      </c>
      <c r="F68" s="67" t="inlineStr">
        <is>
          <t>One BENIGN survivor: 'checks_passed is aliased not copied'. Verified empirically rather than assumed - Pydantic already builds a new list when validating a list[str] field, so the guarantee is over-determined and the mutation changes no behaviour. The explicit list() call is kept as belt-and-braces and the redundancy is documented at the site.</t>
        </is>
      </c>
      <c r="G68" s="67" t="inlineStr">
        <is>
          <t>scratchpad/mutate_risk.py</t>
        </is>
      </c>
      <c r="H68" s="76" t="n"/>
      <c r="I68" s="76" t="n"/>
      <c r="J68" s="76" t="n"/>
    </row>
    <row r="69">
      <c r="A69" s="76" t="inlineStr">
        <is>
          <t>QA-E14-06</t>
        </is>
      </c>
      <c r="B69" s="76" t="inlineStr">
        <is>
          <t>E14-S02</t>
        </is>
      </c>
      <c r="C69" s="76" t="inlineStr">
        <is>
          <t>The Docker gate skipped the only system test</t>
        </is>
      </c>
      <c r="D69" s="76" t="inlineStr">
        <is>
          <t>FAIL -&gt; Fixed</t>
        </is>
      </c>
      <c r="E69" s="76" t="inlineStr">
        <is>
          <t>QA round 2 asked why tests/integration/ reported 17 skips on a machine with no Docker, when test_tick_to_trigger.py uses no container fixture.</t>
        </is>
      </c>
      <c r="F69" s="76" t="inlineStr">
        <is>
          <t>conftest.py read `if "integration" in item.keywords`. item.keywords also holds every ancestor NODE NAME, so the DIRECTORY tests/integration/ matched. Every test underneath was gated on Docker whether or not it touched a container — including the one system-level test in the repo, which found a HIGH fail-open on its first run. It reported as skipped and the suite reported green. Now get_closest_marker("integration").</t>
        </is>
      </c>
      <c r="G69" s="76" t="inlineStr">
        <is>
          <t>tests/unit/test_suite_integrity.py (10 tests)</t>
        </is>
      </c>
    </row>
    <row r="70">
      <c r="A70" s="76" t="inlineStr">
        <is>
          <t>QA-E14-07</t>
        </is>
      </c>
      <c r="B70" s="76" t="inlineStr">
        <is>
          <t>E14-S02</t>
        </is>
      </c>
      <c r="C70" s="76" t="inlineStr">
        <is>
          <t>AC1-AC7, one test class per criterion</t>
        </is>
      </c>
      <c r="D70" s="76" t="inlineStr">
        <is>
          <t>PASS</t>
        </is>
      </c>
      <c r="E70" s="76" t="inlineStr">
        <is>
          <t>AC1 kill switch rejects and runs FIRST (checks_passed == [] with three gates failing at once). AC2 unhealthy service rejects, detail names it. AC3 outside continuous trading rejects — pre-open, post-close, Sunday, and two real 2026 NSE holidays. AC4 blackout rejects, detail names WHICH window. AC5 the control: an ordinary mid-session moment passes all four. AC6 registration order. AC7 an uncovered holiday year fails CLOSED.</t>
        </is>
      </c>
      <c r="F70" s="76" t="inlineStr">
        <is>
          <t>AC5 is what makes AC1-AC4 mean anything — four checks that rejected everything would satisfy them perfectly. The boundary tests pin the session as half-open: 09:15:00 trades, 15:30:00 does not.</t>
        </is>
      </c>
      <c r="G70" s="76" t="inlineStr">
        <is>
          <t>tests/unit/test_risk_preconditions.py (33 tests)</t>
        </is>
      </c>
    </row>
    <row r="71">
      <c r="A71" s="76" t="inlineStr">
        <is>
          <t>QA-E14-08</t>
        </is>
      </c>
      <c r="B71" s="76" t="inlineStr">
        <is>
          <t>E14-S02</t>
        </is>
      </c>
      <c r="C71" s="76" t="inlineStr">
        <is>
          <t>Integration: the trigger reaches a risk decision</t>
        </is>
      </c>
      <c r="D71" s="76" t="inlineStr">
        <is>
          <t>PASS</t>
        </is>
      </c>
      <c r="E71" s="76" t="inlineStr">
        <is>
          <t>Ticks -&gt; cleaning -&gt; bars -&gt; indicators -&gt; strategy -&gt; Trigger -&gt; Recommendation -&gt; RiskEngine, with the REAL neighbours rather than fixtures, through the four pre-condition checks.</t>
        </is>
      </c>
      <c r="F71" s="76" t="inlineStr">
        <is>
          <t>The seam this exercises is the one component tests cannot see: what the strategy runtime produces is what the risk engine consumes. Includes the degraded case — a feed gap must not produce a decision at all.</t>
        </is>
      </c>
      <c r="G71" s="76" t="inlineStr">
        <is>
          <t>tests/integration/test_tick_to_trigger.py TestTheTriggerReachesARiskDecision (8 tests)</t>
        </is>
      </c>
    </row>
    <row r="72">
      <c r="A72" s="76" t="inlineStr">
        <is>
          <t>QA-E14-09</t>
        </is>
      </c>
      <c r="B72" s="76" t="inlineStr">
        <is>
          <t>E14-S02</t>
        </is>
      </c>
      <c r="C72" s="76" t="inlineStr">
        <is>
          <t>Mutation testing, 13 injected defects</t>
        </is>
      </c>
      <c r="D72" s="76" t="inlineStr">
        <is>
          <t>PASS (13/13 killed)</t>
        </is>
      </c>
      <c r="E72" s="76" t="inlineStr">
        <is>
          <t>Injected: kill switch inverted; kill switch never fires; health gate never fires; the service count falsified; the P7 truncation disabled; the cap raised past being a cap; the window half-open at the wrong end; closed at both ends; a wrap-around matching everything; an inverted window accepted at wiring time; the symbol class widened to '.'; fullmatch downgraded to match; the validator dropped from Trigger.</t>
        </is>
      </c>
      <c r="F72" s="76" t="inlineStr">
        <is>
          <t>No survivors. The two P7 fixes were mutated deliberately (M05, M06, M11-M13) because a fix with no test that would notice its removal is not a fix. Coverage on preconditions.py is 100%.</t>
        </is>
      </c>
      <c r="G72" s="76" t="inlineStr">
        <is>
          <t>scratchpad/mutate_e14s02.py</t>
        </is>
      </c>
    </row>
    <row r="73">
      <c r="A73" s="76" t="inlineStr">
        <is>
          <t>QA-E14-10</t>
        </is>
      </c>
      <c r="B73" s="76" t="inlineStr">
        <is>
          <t>E14-S02</t>
        </is>
      </c>
      <c r="C73" s="76" t="inlineStr">
        <is>
          <t>Full gate and coverage no-regress</t>
        </is>
      </c>
      <c r="D73" s="76" t="inlineStr">
        <is>
          <t>PASS</t>
        </is>
      </c>
      <c r="E73" s="76" t="inlineStr">
        <is>
          <t>ruff check + format, mypy (72 files), bandit exit 0, pip-audit clean, 303 security tests, 965 passed / 247 skipped.</t>
        </is>
      </c>
      <c r="F73" s="76" t="inlineStr">
        <is>
          <t>Baseline measured, not assumed: the suite was re-run in a detached worktree at f8c7812 under identical conditions. 81% -&gt; 82%; missed statements 868 -&gt; 866 despite +56 new statements; skips 264 -&gt; 247 (the Docker-gate fix). doctor's one failure is the local missing DB password, unchanged.</t>
        </is>
      </c>
      <c r="G73" s="76" t="inlineStr">
        <is>
          <t>full suite</t>
        </is>
      </c>
    </row>
    <row r="74">
      <c r="A74" s="76" t="inlineStr">
        <is>
          <t>QA-E14-11</t>
        </is>
      </c>
      <c r="B74" s="76" t="inlineStr">
        <is>
          <t>E14-S02</t>
        </is>
      </c>
      <c r="C74" s="76" t="inlineStr">
        <is>
          <t>SIT: a full session walked minute by minute</t>
        </is>
      </c>
      <c r="D74" s="76" t="inlineStr">
        <is>
          <t>PASS (1 defect found and fixed)</t>
        </is>
      </c>
      <c r="E74" s="76" t="inlineStr">
        <is>
          <t>31 SIT scenarios in five groups: session replay (every minute 08:00-16:00 against the expected tradable window), degraded dependencies (a transient outage, the kill switch, a raising check, a calendar that cannot answer), non-ordinary days (Sunday and two real 2026 closures), cross-cutting invariants over the whole run (audit completeness, no null timestamps, stage width vs String(28), no credential in a session's worth of log, no forged log line), and replay/restart determinism.</t>
        </is>
      </c>
      <c r="F74" s="76" t="inlineStr">
        <is>
          <t>The scenario that earned its keep: asserting the tradable window is CONTIGUOUS. A piecewise test says '09:17 is blocked' and '10:00 passes'; it never says the gates compose into one window with no hole. That walk found SIT-001. Nothing was ever approved across 480 minutes, which is correct — ten checks are unwritten and there is no sizer.</t>
        </is>
      </c>
      <c r="G74" s="76" t="inlineStr">
        <is>
          <t>tests/sit/test_e14_trading_session.py (31 tests)</t>
        </is>
      </c>
    </row>
    <row r="75">
      <c r="A75" s="76" t="inlineStr">
        <is>
          <t>QA-E14-12</t>
        </is>
      </c>
      <c r="B75" s="76" t="inlineStr">
        <is>
          <t>E14-S02</t>
        </is>
      </c>
      <c r="C75" s="76" t="inlineStr">
        <is>
          <t>Mutation re-run after the SIT fix</t>
        </is>
      </c>
      <c r="D75" s="76" t="inlineStr">
        <is>
          <t>PASS (16/16 killed)</t>
        </is>
      </c>
      <c r="E75" s="76" t="inlineStr">
        <is>
          <t>Three new mutations flip each RISK_ENGINE_FAULT site back to HEALTH_GATE_FAILED, so the SIT-001 fix cannot silently regress.</t>
        </is>
      </c>
      <c r="F75" s="76" t="inlineStr">
        <is>
          <t>M16 SURVIVED the first run. Verified before fixing: the raising-sizer path WAS tested, but the test asserted the refusal and the detail string and not the label — so flipping the reason changed nothing any assertion could see. Same shape as the two E14-S01 survivors. Fixed by asserting the reason, not by deleting the mutation.</t>
        </is>
      </c>
      <c r="G75" s="76" t="inlineStr">
        <is>
          <t>scratchpad/mutate_e14s02.py</t>
        </is>
      </c>
    </row>
    <row r="76">
      <c r="A76" s="76" t="inlineStr">
        <is>
          <t>QA-E14-13</t>
        </is>
      </c>
      <c r="B76" s="76" t="inlineStr">
        <is>
          <t>E14-S03</t>
        </is>
      </c>
      <c r="C76" s="76" t="inlineStr">
        <is>
          <t>AC1-AC7, one test class per criterion</t>
        </is>
      </c>
      <c r="D76" s="76" t="inlineStr">
        <is>
          <t>PASS</t>
        </is>
      </c>
      <c r="E76" s="76" t="inlineStr">
        <is>
          <t>AC1 a blocking restriction rejects with SYMBOL_NOT_TRADABLE, detail names them. AC2 eligibility never established REJECTS. AC3 checked-and-clean passes. AC4 no free slot rejects, detail gives used/total. AC5 already held rejects in all four direction combinations. AC6 the control. AC7 order, and the set runs after the four pre-conditions.</t>
        </is>
      </c>
      <c r="F76" s="76" t="inlineStr">
        <is>
          <t>AC2 is the story. `None` (never looked) and `()` (checked, clean) must not collapse — a truthiness test on the field would treat them identically and pass every other test here. Asserted explicitly, and mutation M02 confirms the tests would notice.</t>
        </is>
      </c>
      <c r="G76" s="76" t="inlineStr">
        <is>
          <t>tests/unit/test_risk_eligibility.py (38 tests)</t>
        </is>
      </c>
    </row>
    <row r="77">
      <c r="A77" s="76" t="inlineStr">
        <is>
          <t>QA-E14-14</t>
        </is>
      </c>
      <c r="B77" s="76" t="inlineStr">
        <is>
          <t>E14-S03</t>
        </is>
      </c>
      <c r="C77" s="76" t="inlineStr">
        <is>
          <t>Integration: eligibility against a real pipeline trigger</t>
        </is>
      </c>
      <c r="D77" s="76" t="inlineStr">
        <is>
          <t>PASS</t>
        </is>
      </c>
      <c r="E77" s="76" t="inlineStr">
        <is>
          <t>The seven built checks against the Trigger the actual pipeline produced — cleaned ticks, real bars, warmed indicators, compiled strategy — including a restricted symbol, unverified eligibility, a full book, and the already-held match.</t>
        </is>
      </c>
      <c r="F77" s="76" t="inlineStr">
        <is>
          <t>The seam worth testing here: the held position is built from `rec.symbol`, whatever the pipeline emitted, not from the SYMBOL constant. If the two ever diverge, ctx.holds() quietly answers False forever and the gate stops being a gate while every unit test passes.</t>
        </is>
      </c>
      <c r="G77" s="76" t="inlineStr">
        <is>
          <t>tests/integration/test_tick_to_trigger.py TestTheTriggerMeetsSymbolEligibility (8 tests)</t>
        </is>
      </c>
    </row>
    <row r="78">
      <c r="A78" s="76" t="inlineStr">
        <is>
          <t>QA-E14-15</t>
        </is>
      </c>
      <c r="B78" s="76" t="inlineStr">
        <is>
          <t>E14-S03</t>
        </is>
      </c>
      <c r="C78" s="76" t="inlineStr">
        <is>
          <t>Mutation testing, 16 injected defects</t>
        </is>
      </c>
      <c r="D78" s="76" t="inlineStr">
        <is>
          <t>PASS (16/16 killed)</t>
        </is>
      </c>
      <c r="E78" s="76" t="inlineStr">
        <is>
          <t>Injected across all three checks, the context hardening and the detail containment: a restricted symbol waved through; UNKNOWN silently becoming clean; the restriction list unbounded; the slot off-by-one; the held gate disabled; any-&gt;all in ctx.holds; order changed; the list aliased again; a bare string split into characters; None coerced to (); control characters surviving; the detail unbounded.</t>
        </is>
      </c>
      <c r="F78" s="76" t="inlineStr">
        <is>
          <t>No survivors. eligibility.py was already at 100% COVERAGE before this ran, which is exactly why the run was worth doing — coverage said every line executed, and these 16 asked whether anything would notice if a line were wrong.</t>
        </is>
      </c>
      <c r="G78" s="76" t="inlineStr">
        <is>
          <t>scratchpad/mutate_e14s03.py</t>
        </is>
      </c>
    </row>
    <row r="79">
      <c r="A79" s="76" t="inlineStr">
        <is>
          <t>QA-E14-16</t>
        </is>
      </c>
      <c r="B79" s="76" t="inlineStr">
        <is>
          <t>E14-S03</t>
        </is>
      </c>
      <c r="C79" s="76" t="inlineStr">
        <is>
          <t>Full gate and coverage no-regress</t>
        </is>
      </c>
      <c r="D79" s="76" t="inlineStr">
        <is>
          <t>PASS</t>
        </is>
      </c>
      <c r="E79" s="76" t="inlineStr">
        <is>
          <t>ruff check + format, mypy (73 files), bandit 0 issues, pip-audit clean, 328 security tests, 1069 passed / 247 skipped.</t>
        </is>
      </c>
      <c r="F79" s="76" t="inlineStr">
        <is>
          <t>Coverage 82%, and missed statements are UNCHANGED at 866 despite +54 new source statements — the new code is fully covered rather than diluting the ratio. eligibility.py, preconditions.py and context.py all at 100%. doctor's one failure is the local missing DB password, unchanged.</t>
        </is>
      </c>
      <c r="G79" s="76" t="inlineStr">
        <is>
          <t>full suite</t>
        </is>
      </c>
    </row>
    <row r="80">
      <c r="A80" s="76" t="inlineStr">
        <is>
          <t>QA-E14-17</t>
        </is>
      </c>
      <c r="B80" s="76" t="inlineStr">
        <is>
          <t>E14-S03</t>
        </is>
      </c>
      <c r="C80" s="76" t="inlineStr">
        <is>
          <t>SIT: eligibility walked across a session</t>
        </is>
      </c>
      <c r="D80" s="76" t="inlineStr">
        <is>
          <t>PASS (no product defect)</t>
        </is>
      </c>
      <c r="E80" s="76" t="inlineStr">
        <is>
          <t>12 scenarios: the composition property (all seven clear on exactly the minutes four did -- 340 either way), a symbol banned at noon, an eligibility fetcher dropping out for 30 minutes and returning, the book filling and freeing, a position opened mid-session that correctly never releases, ordering across both check groups at every minute, audit completeness with seven registered, QA-SEC-30 at session scale, and replay determinism. SIT total 31 -&gt; 43.</t>
        </is>
      </c>
      <c r="F80" s="76" t="inlineStr">
        <is>
          <t>One test failed on the first run and it was the TEST, not the product: it filtered the session on `reason is RISK_ENGINE_FAULT` and swept up every clean minute, because with no sizer configured a fully-cleared candidate is refused BY THE SIZER carrying that same reason. Added Session.stopped_by(), which reads the audit `stage` -- the field that actually answers 'which check refused'. Recorded because filtering a session by reason code is a natural thing to write and quietly wrong once more than one condition maps to a reason. No SIT defect logged.</t>
        </is>
      </c>
      <c r="G80" s="76" t="inlineStr">
        <is>
          <t>tests/sit/test_e14_trading_session.py TestSit6 (12 tests)</t>
        </is>
      </c>
    </row>
    <row r="81">
      <c r="A81" s="76" t="inlineStr">
        <is>
          <t>QA-E14-18</t>
        </is>
      </c>
      <c r="B81" s="76" t="inlineStr">
        <is>
          <t>E14-S04</t>
        </is>
      </c>
      <c r="C81" s="76" t="inlineStr">
        <is>
          <t>AC1-AC10, one test class per criterion</t>
        </is>
      </c>
      <c r="D81" s="76" t="inlineStr">
        <is>
          <t>PASS</t>
        </is>
      </c>
      <c r="E81" s="76" t="inlineStr">
        <is>
          <t>AC1 correlation limit, detail names the symbols. AC2 a held position with no correlation entry REJECTS. AC3 empty book vacuous. AC4 sector cap with current-vs-cap detail. AC5 unknown sector rejects, on the candidate AND on any held position. AC6 net directional cap. AC7 longs and shorts net off. AC8 the control. AC9 order. AC10 four PSU banks cannot occupy four slots.</t>
        </is>
      </c>
      <c r="F81" s="76" t="inlineStr">
        <is>
          <t>AC10 has three tests, not one. The third is the build concern made concrete: four PSU banks correlating only MODERATELY still pass the correlation guard and are caught by the SECTOR cap — which is why the story says sector is primary and correlation secondary. A fourth test checks four UNRELATED names are still allowed, so the guard is not just capping the book at three.</t>
        </is>
      </c>
      <c r="G81" s="76" t="inlineStr">
        <is>
          <t>tests/unit/test_risk_exposure.py (46 tests)</t>
        </is>
      </c>
    </row>
    <row r="82">
      <c r="A82" s="76" t="inlineStr">
        <is>
          <t>QA-E14-19</t>
        </is>
      </c>
      <c r="B82" s="76" t="inlineStr">
        <is>
          <t>E14-S04</t>
        </is>
      </c>
      <c r="C82" s="76" t="inlineStr">
        <is>
          <t>The correlation computation itself</t>
        </is>
      </c>
      <c r="D82" s="76" t="inlineStr">
        <is>
          <t>PASS</t>
        </is>
      </c>
      <c r="E82" s="76" t="inlineStr">
        <is>
          <t>Log returns (additivity, a rise and matching fall cancelling, non-positive closes refused), Pearson against statistics.correlation as an INDEPENDENT implementation, the 30-session floor, zero-variance refusal, and two Hypothesis properties: the result always lies in [-1, 1], and it is invariant to positive scaling and shift.</t>
        </is>
      </c>
      <c r="F82" s="76" t="inlineStr">
        <is>
          <t>A statistical routine is the easiest place in this system to return a plausible number that is wrong, because nothing downstream can tell. Checking against the standard library rather than against the same arithmetic is what makes it a verification. The scale-invariance property matters concretely: without it the guard would read expensive names as more correlated than cheap ones.</t>
        </is>
      </c>
      <c r="G82" s="76" t="inlineStr">
        <is>
          <t>tests/unit/test_correlation.py (25 tests)</t>
        </is>
      </c>
    </row>
    <row r="83">
      <c r="A83" s="76" t="inlineStr">
        <is>
          <t>QA-E14-20</t>
        </is>
      </c>
      <c r="B83" s="76" t="inlineStr">
        <is>
          <t>E14-S04</t>
        </is>
      </c>
      <c r="C83" s="76" t="inlineStr">
        <is>
          <t>Integration: exposure against a real pipeline trigger</t>
        </is>
      </c>
      <c r="D83" s="76" t="inlineStr">
        <is>
          <t>PASS</t>
        </is>
      </c>
      <c r="E83" s="76" t="inlineStr">
        <is>
          <t>All TEN built checks against the Trigger the pipeline produced. Correlated book, missing correlation, saturated sector, unclassified held position, one-sided book, and a hedged book of the same gross size that must NOT be refused.</t>
        </is>
      </c>
      <c r="F83" s="76" t="inlineStr">
        <is>
          <t>The closing test builds the matrix from the pipeline's own warm-up bars and feeds it to the guard, so the correlation module's OUTPUT is the guard's INPUT — the two halves meet the way they will in production rather than through hand-written numbers.</t>
        </is>
      </c>
      <c r="G83" s="76" t="inlineStr">
        <is>
          <t>tests/integration/test_tick_to_trigger.py TestTheTriggerMeetsPortfolioExposure (11 tests)</t>
        </is>
      </c>
    </row>
    <row r="84">
      <c r="A84" s="76" t="inlineStr">
        <is>
          <t>QA-E14-21</t>
        </is>
      </c>
      <c r="B84" s="76" t="inlineStr">
        <is>
          <t>E14-S04</t>
        </is>
      </c>
      <c r="C84" s="76" t="inlineStr">
        <is>
          <t>Mutation testing, 20 injected defects</t>
        </is>
      </c>
      <c r="D84" s="76" t="inlineStr">
        <is>
          <t>PASS (19/20, 1 verified benign)</t>
        </is>
      </c>
      <c r="E84" s="76" t="inlineStr">
        <is>
          <t>Injected across all three checks, the correlation computation and the context hardening: the guard off-by-one, abs() dropped on correlation and on net exposure, unknown becoming uncorrelated, NaN no longer caught, the sector cap disabled, unclassified positions escaping, gross substituted for net, the session floor removed, a zero close admitted, and both aliasing fixes reverted.</t>
        </is>
      </c>
      <c r="F84" s="76" t="inlineStr">
        <is>
          <t>M16 SURVIVED and was verified benign before anything was changed: removing the window slice from the CANDIDATE series changes nothing, because `paired = min(len(candidate), len(other))` and `other` is always windowed, so the candidate is re-truncated to the same tail. Confirmed empirically — identical rho to ten decimal places. The slice is kept anyway: removing it would make correctness depend on the counterparty always being windowed, which is a subtler invariant than a redundant slice.</t>
        </is>
      </c>
      <c r="G84" s="76" t="inlineStr">
        <is>
          <t>scratchpad/mutate_e14s04.py</t>
        </is>
      </c>
    </row>
    <row r="85">
      <c r="A85" s="76" t="inlineStr">
        <is>
          <t>QA-E14-22</t>
        </is>
      </c>
      <c r="B85" s="76" t="inlineStr">
        <is>
          <t>E14-S04</t>
        </is>
      </c>
      <c r="C85" s="76" t="inlineStr">
        <is>
          <t>Full gate and coverage no-regress</t>
        </is>
      </c>
      <c r="D85" s="76" t="inlineStr">
        <is>
          <t>PASS</t>
        </is>
      </c>
      <c r="E85" s="76" t="inlineStr">
        <is>
          <t>ruff check + format, mypy (75 files), bandit 0 issues, pip-audit clean, 382 security+SIT tests, 1,174 passed / 247 skipped.</t>
        </is>
      </c>
      <c r="F85" s="76" t="inlineStr">
        <is>
          <t>Coverage 82% and missed statements UNCHANGED at 866 despite +132 new source statements. exposure.py, correlation.py, eligibility.py, preconditions.py and context.py are all at 100%. doctor's one failure is the local missing DB password, unchanged.</t>
        </is>
      </c>
      <c r="G85" s="76" t="inlineStr">
        <is>
          <t>full suite</t>
        </is>
      </c>
    </row>
    <row r="86">
      <c r="A86" s="76" t="inlineStr">
        <is>
          <t>QA-E14-23</t>
        </is>
      </c>
      <c r="B86" s="76" t="inlineStr">
        <is>
          <t>E14-S04</t>
        </is>
      </c>
      <c r="C86" s="76" t="inlineStr">
        <is>
          <t>SIT: exposure walked across a session</t>
        </is>
      </c>
      <c r="D86" s="76" t="inlineStr">
        <is>
          <t>PASS (no product defect)</t>
        </is>
      </c>
      <c r="E86" s="76" t="inlineStr">
        <is>
          <t>12 scenarios at TEN registered checks: the composition property (all ten clear on exactly the 340 minutes four did), a sector filling up at noon, a position closing and the gate REOPENING, the correlation matrix vanishing for 30 minutes and returning, a position losing its sector classification mid-session, four PSU banks accumulating one at a time across the morning, a hedged book trading all day, audit completeness, replay determinism, and that nothing is approved across 480 minutes. SIT total 43 -&gt; 55.</t>
        </is>
      </c>
      <c r="F86" s="76" t="inlineStr">
        <is>
          <t>The accumulation scenario is the one worth having: AC10 as a SESSION rather than a single evaluation. The names arrive one at a time across the morning, which is how it would actually happen, and is the shape in which a per-evaluation guard could still let a book drift. Also confirmed QA-SEC-30's containment at a FOURTH source — sector names reach the detail too, and because the fix lives in CheckOutcome it never had to be found the hard way there.</t>
        </is>
      </c>
      <c r="G86" s="76" t="inlineStr">
        <is>
          <t>tests/sit/test_e14_trading_session.py TestSit7 (12 tests)</t>
        </is>
      </c>
    </row>
    <row r="87">
      <c r="A87" s="76" t="inlineStr">
        <is>
          <t>QA-E14-24</t>
        </is>
      </c>
      <c r="B87" s="76" t="inlineStr">
        <is>
          <t>E14-S05</t>
        </is>
      </c>
      <c r="C87" s="76" t="inlineStr">
        <is>
          <t>AC1-AC9, one test class per criterion</t>
        </is>
      </c>
      <c r="D87" s="76" t="inlineStr">
        <is>
          <t>PASS</t>
        </is>
      </c>
      <c r="E87" s="76" t="inlineStr">
        <is>
          <t>AC1 the daily limit fires at and beyond the threshold, and one rupee short still trades. AC2 the SIGN, in both directions. AC3 the latch holds through a recovery. AC4 the streak limit. AC5 the streak latch holds after the counter resets. AC6 the control. AC7 the threshold is a percentage of configured capital. AC8 order. AC9 details carry the figures.</t>
        </is>
      </c>
      <c r="F87" s="76" t="inlineStr">
        <is>
          <t>AC2 has its own class because a sign inversion here is the worst possible shape of bug — it would halt the system on its best days and trade freely on its worst — and it is invisible to any test that only ever feeds it losses. One assertion states the asymmetry directly, so a check that ignored the field entirely could not satisfy it.</t>
        </is>
      </c>
      <c r="G87" s="76" t="inlineStr">
        <is>
          <t>tests/unit/test_risk_loss.py (38 tests)</t>
        </is>
      </c>
    </row>
    <row r="88">
      <c r="A88" s="76" t="inlineStr">
        <is>
          <t>QA-E14-25</t>
        </is>
      </c>
      <c r="B88" s="76" t="inlineStr">
        <is>
          <t>E14-S05</t>
        </is>
      </c>
      <c r="C88" s="76" t="inlineStr">
        <is>
          <t>Integration: loss limits against a real trigger</t>
        </is>
      </c>
      <c r="D88" s="76" t="inlineStr">
        <is>
          <t>PASS</t>
        </is>
      </c>
      <c r="E88" s="76" t="inlineStr">
        <is>
          <t>All TWELVE built checks against the Trigger the pipeline produced: a breached daily loss, a profitable day of the same magnitude, a latched halt on a candidate that is otherwise perfect, a consecutive streak, ordering, and the audit stage.</t>
        </is>
      </c>
      <c r="F88" s="76" t="inlineStr">
        <is>
          <t>These are the first checks whose answer depends on what the system already did today rather than on the market or the book, so the seam is different in kind. One test asserts the rejection does NOT name the candidate — a session-wide halt that blamed a symbol would send an operator to investigate the wrong thing.</t>
        </is>
      </c>
      <c r="G88" s="76" t="inlineStr">
        <is>
          <t>tests/integration/test_tick_to_trigger.py TestTheTriggerMeetsTheLossLimits (8 tests)</t>
        </is>
      </c>
    </row>
    <row r="89">
      <c r="A89" s="76" t="inlineStr">
        <is>
          <t>QA-E14-26</t>
        </is>
      </c>
      <c r="B89" s="76" t="inlineStr">
        <is>
          <t>E14-S05</t>
        </is>
      </c>
      <c r="C89" s="76" t="inlineStr">
        <is>
          <t>Mutation testing, 14 injected defects</t>
        </is>
      </c>
      <c r="D89" s="76" t="inlineStr">
        <is>
          <t>PASS (14/14 killed)</t>
        </is>
      </c>
      <c r="E89" s="76" t="inlineStr">
        <is>
          <t>Injected: the sign inverted; the limit off-by-one; each check disabled; the percentage undivided (a 100x limit); BOTH LATCHES IGNORED; the order swapped; both construction guards removed; and the two new context guards reverted.</t>
        </is>
      </c>
      <c r="F89" s="76" t="inlineStr">
        <is>
          <t>M04 and M08 are the ones that matter — each reverts the story's central finding, that a pure predicate un-halts itself. Both killed, so the latch cannot be quietly removed later.</t>
        </is>
      </c>
      <c r="G89" s="76" t="inlineStr">
        <is>
          <t>scratchpad/mutate_e14s05.py</t>
        </is>
      </c>
    </row>
    <row r="90">
      <c r="A90" s="76" t="inlineStr">
        <is>
          <t>QA-E14-27</t>
        </is>
      </c>
      <c r="B90" s="76" t="inlineStr">
        <is>
          <t>E14-S05</t>
        </is>
      </c>
      <c r="C90" s="76" t="inlineStr">
        <is>
          <t>Full gate and coverage</t>
        </is>
      </c>
      <c r="D90" s="76" t="inlineStr">
        <is>
          <t>PASS</t>
        </is>
      </c>
      <c r="E90" s="76" t="inlineStr">
        <is>
          <t>ruff check + format, mypy (76 files), bandit 0 issues, pip-audit clean, 368 security tests, 1,261 passed / 247 skipped.</t>
        </is>
      </c>
      <c r="F90" s="76" t="inlineStr">
        <is>
          <t>Coverage 82% -&gt; 83%, missed statements unchanged at 866. Every module under execution/risk is at 100% except framework.py at 99% (one unreachable branch exit). doctor's one failure is the local missing DB password, unchanged.</t>
        </is>
      </c>
      <c r="G90" s="76" t="inlineStr">
        <is>
          <t>full suite</t>
        </is>
      </c>
    </row>
    <row r="91">
      <c r="A91" s="76" t="inlineStr">
        <is>
          <t>QA-E14-28</t>
        </is>
      </c>
      <c r="B91" s="76" t="inlineStr">
        <is>
          <t>E14-S05</t>
        </is>
      </c>
      <c r="C91" s="76" t="inlineStr">
        <is>
          <t>SIT: loss limits walked across a session</t>
        </is>
      </c>
      <c r="D91" s="76" t="inlineStr">
        <is>
          <t>PASS (no product defect)</t>
        </is>
      </c>
      <c r="E91" s="76" t="inlineStr">
        <is>
          <t>12 scenarios at TWELVE registered checks: the composition property (340 minutes either way), the day stopping when the limit is reached, a RECOVERY after the latch is set, a streak halt surviving a winning exit, a profitable session trading all day, a losing-but-within-limit session trading all day, ordering across all four groups, audit completeness, replay determinism, and nothing approved. SIT total 55 -&gt; 67.</t>
        </is>
      </c>
      <c r="F91" s="76" t="inlineStr">
        <is>
          <t>One scenario is a deliberate COUNTERFACTUAL: the same breach-then-recover session with the latch never set, asserting the afternoon DOES trade again. It demonstrates what the latch prevents rather than asserting it, and it fails loudly if the live figure ever starts behaving as a latch on its own -- at which point the test above it would have stopped proving anything.</t>
        </is>
      </c>
      <c r="G91" s="76" t="inlineStr">
        <is>
          <t>tests/sit/test_e14_trading_session.py TestSit8 (12 tests)</t>
        </is>
      </c>
    </row>
    <row r="92">
      <c r="A92" s="76" t="inlineStr">
        <is>
          <t>QA-E14-29</t>
        </is>
      </c>
      <c r="B92" s="76" t="inlineStr">
        <is>
          <t>E14-S06</t>
        </is>
      </c>
      <c r="C92" s="76" t="inlineStr">
        <is>
          <t>AC1-AC10, one test class per criterion</t>
        </is>
      </c>
      <c r="D92" s="76" t="inlineStr">
        <is>
          <t>PASS</t>
        </is>
      </c>
      <c r="E92" s="76" t="inlineStr">
        <is>
          <t>AC1 unknown margin rejects as a FAULT. AC2 below one share rejects. AC3 ample passes. AC4 an unknown per-share margin rejects. AC5 a non-positive one is refused at construction. AC6 too little runway rejects. AC7 a PASSED deadline rejects. AC8 ample runway passes. AC9 the control. AC10 order, plus the shape of the completed fourteen.</t>
        </is>
      </c>
      <c r="F92" s="76" t="inlineStr">
        <is>
          <t>Two tests earn their place beyond the criteria. `Decimal(0)` margin is FALSY, so a truthiness test on the field would report an empty account as a fault instead of INSUFFICIENT_MARGIN — asserted explicitly. And AC7's detail must not render negative time: '-25 minutes remain' is a sentence an operator has to decode, so it reads 'passed 25 minutes ago'.</t>
        </is>
      </c>
      <c r="G92" s="76" t="inlineStr">
        <is>
          <t>tests/unit/test_risk_margin_timing.py (40 tests)</t>
        </is>
      </c>
    </row>
    <row r="93">
      <c r="A93" s="76" t="inlineStr">
        <is>
          <t>QA-E14-30</t>
        </is>
      </c>
      <c r="B93" s="76" t="inlineStr">
        <is>
          <t>E14-S06</t>
        </is>
      </c>
      <c r="C93" s="76" t="inlineStr">
        <is>
          <t>Integration: all FOURTEEN checks against a real trigger</t>
        </is>
      </c>
      <c r="D93" s="76" t="inlineStr">
        <is>
          <t>PASS</t>
        </is>
      </c>
      <c r="E93" s="76" t="inlineStr">
        <is>
          <t>The first time the whole risk pipeline has existed. A Trigger the pipeline produced from real ticks clears all fourteen gates in §5.7's order; unknown margin, an unaffordable share, and too little runway each stop it; an earlier group still wins over the last two.</t>
        </is>
      </c>
      <c r="F93" s="76" t="inlineStr">
        <is>
          <t>One test asserts the honest negative: clearing fourteen checks is NOT an approval. There is no sizer, so the engine refuses with RISK_ENGINE_FAULT rather than defaulting a quantity — and that is asserted rather than left implied. Another pins the case that justifies check 14 alongside check 4: at 14:59 the blackout has not started (so no_trade_window PASSES, asserted) and a CAS name has six minutes left.</t>
        </is>
      </c>
      <c r="G93" s="76" t="inlineStr">
        <is>
          <t>tests/integration/test_tick_to_trigger.py TestTheTriggerMeetsAllFourteenChecks (9 tests)</t>
        </is>
      </c>
    </row>
    <row r="94">
      <c r="A94" s="76" t="inlineStr">
        <is>
          <t>QA-E14-31</t>
        </is>
      </c>
      <c r="B94" s="76" t="inlineStr">
        <is>
          <t>E14-S06</t>
        </is>
      </c>
      <c r="C94" s="76" t="inlineStr">
        <is>
          <t>Mutation testing, 15 injected defects</t>
        </is>
      </c>
      <c r="D94" s="76" t="inlineStr">
        <is>
          <t>PASS (15/15 killed)</t>
        </is>
      </c>
      <c r="E94" s="76" t="inlineStr">
        <is>
          <t>Injected: the margin comparison inverted; each gate disabled; unknown margin becoming zero; an invented per-share margin; the runway minimum reduced to 'only a passed deadline'; the boundary off-by-one; the passed-deadline wording removed; the order swapped in both the factory and the declared constant; and all three context guards reverted.</t>
        </is>
      </c>
      <c r="F94" s="76" t="inlineStr">
        <is>
          <t>M15 is the one worth noting: it moves the same-day comparison from IST to UTC, which still refuses a 2030 deadline but starts refusing a legitimate evening context (19:00 UTC on the 24th is 00:30 IST on the 25th). Killed by the test written for exactly that, so the fix cannot be 'simplified' into a subtler bug.</t>
        </is>
      </c>
      <c r="G94" s="76" t="inlineStr">
        <is>
          <t>scratchpad/mutate_e14s06.py</t>
        </is>
      </c>
    </row>
    <row r="95">
      <c r="A95" s="76" t="inlineStr">
        <is>
          <t>QA-E14-32</t>
        </is>
      </c>
      <c r="B95" s="76" t="inlineStr">
        <is>
          <t>E14-S06</t>
        </is>
      </c>
      <c r="C95" s="76" t="inlineStr">
        <is>
          <t>Full gate and coverage</t>
        </is>
      </c>
      <c r="D95" s="76" t="inlineStr">
        <is>
          <t>PASS</t>
        </is>
      </c>
      <c r="E95" s="76" t="inlineStr">
        <is>
          <t>ruff check + format, mypy (77 files), bandit 0 issues, pip-audit clean, 379 security tests, 1,333 passed / 247 skipped.</t>
        </is>
      </c>
      <c r="F95" s="76" t="inlineStr">
        <is>
          <t>Coverage 83%, missed statements unchanged at 866. Every module under execution/risk is at 100% except framework.py at 99%. THREE EXISTING TESTS FAILED on the new deadline guard and were the tests' fault: they built a January `now` against an August deadline, a state the real system cannot produce. The helper now derives a same-day deadline, which makes every context in that file internally consistent.</t>
        </is>
      </c>
      <c r="G95" s="76" t="inlineStr">
        <is>
          <t>full suite</t>
        </is>
      </c>
    </row>
    <row r="96">
      <c r="A96" s="76" t="inlineStr">
        <is>
          <t>QA-E14-33</t>
        </is>
      </c>
      <c r="B96" s="76" t="inlineStr">
        <is>
          <t>E14-S06</t>
        </is>
      </c>
      <c r="C96" s="76" t="inlineStr">
        <is>
          <t>SIT: the complete fourteen-check pipeline across a session</t>
        </is>
      </c>
      <c r="D96" s="76" t="inlineStr">
        <is>
          <t>PASS (no product defect)</t>
        </is>
      </c>
      <c r="E96" s="76" t="inlineStr">
        <is>
          <t>12 scenarios at FOURTEEN registered checks: the day's shape, the narrowing attributed to its cause, contiguity, margin running out at noon, the broker going dark and recovering, an empty account as a business rejection, a non-CAS name trading ten minutes longer than a CAS one, nothing approved on any minute, spec order on a cleared minute, audit completeness, replay determinism, and no credential in a full day's log. SIT total 67 -&gt; 79.</t>
        </is>
      </c>
      <c r="F96" s="76" t="inlineStr">
        <is>
          <t>This is the first group where adding checks legitimately NARROWS the trading day — 340 minutes to 316 — because check 14 is the first gate with an opinion about the clock. Every earlier group asserted the window was UNCHANGED, so that assertion had to be replaced rather than reused, and a second test NAMES the runway check as the cause rather than inferring it: if a different gate ever starts closing the afternoon, it fails instead of quietly agreeing. The per-stock deadline is also walked as two sessions — a non-CAS name keeps trading ten minutes longer, which a global deadline would have made identical.</t>
        </is>
      </c>
      <c r="G96" s="76" t="inlineStr">
        <is>
          <t>tests/sit/test_e14_trading_session.py TestSit9 (12 tests)</t>
        </is>
      </c>
    </row>
    <row r="97">
      <c r="A97" s="76" t="inlineStr">
        <is>
          <t>QA-E14-34</t>
        </is>
      </c>
      <c r="B97" s="76" t="inlineStr">
        <is>
          <t>E14-S07</t>
        </is>
      </c>
      <c r="C97" s="76" t="inlineStr">
        <is>
          <t>AC1-AC10, one test class per criterion</t>
        </is>
      </c>
      <c r="D97" s="76" t="inlineStr">
        <is>
          <t>PASS</t>
        </is>
      </c>
      <c r="E97" s="76" t="inlineStr">
        <is>
          <t>AC1 the risk property over 400 generated inputs. AC2 the binding constraint, including a zero. AC3 flooring, as two properties. AC4 a zero rejects. AC5 the stop is ATR-derived and suggested_stop is ignored. AC6 unknown/non-positive ATR. AC7 each clamp names itself. AC8 stop and target sides. AC9 the control. AC10 purity.</t>
        </is>
      </c>
      <c r="F97" s="76" t="inlineStr">
        <is>
          <t>AC1 is the story: capital_at_risk &lt;= capital x risk_pct / 100 across generated capital, risk percentage, volatility, price and lot size. AC3 is the same fact seen from the other side — flooring is WHY the bound holds, and M01 (round-to-nearest, the Build Concerns warning verbatim) is killed by it. AC9 matters because a sizer that always returned 0 would satisfy AC1 and AC3 perfectly.</t>
        </is>
      </c>
      <c r="G97" s="76" t="inlineStr">
        <is>
          <t>tests/unit/test_sizer.py (47 tests, 5 properties)</t>
        </is>
      </c>
    </row>
    <row r="98">
      <c r="A98" s="76" t="inlineStr">
        <is>
          <t>QA-E14-35</t>
        </is>
      </c>
      <c r="B98" s="76" t="inlineStr">
        <is>
          <t>E14-S07</t>
        </is>
      </c>
      <c r="C98" s="76" t="inlineStr">
        <is>
          <t>TWO BUGS OF MINE, both caught by the tests</t>
        </is>
      </c>
      <c r="D98" s="76" t="inlineStr">
        <is>
          <t>FAIL -&gt; Fixed</t>
        </is>
      </c>
      <c r="E98" s="76" t="inlineStr">
        <is>
          <t>1. stop_price could carry 5 decimal places (1200.00 - 0.0501x1.5 = 1199.92485) and Price is decimal_places=4, so SizingResult refused to build. 2. LOT_ROUNDING was reported whenever a zero followed any positive clamp, so 0.5 shares allowed by the MARGIN cap was blamed on the lot size.</t>
        </is>
      </c>
      <c r="F98" s="76" t="inlineStr">
        <is>
          <t>Neither was visible in review. The first is fixed by quantising the stop distance ONCE and using that one value for the divisor, the stop and the risk figure alike — quantising afterwards would leave the recorded risk describing a stop that is not the one being placed. The second needed the line between the two cases stated: `smallest &gt;= 1` means the clamps allowed at least one share and the LOT is what took it to nothing. Mutation M12 pins it.</t>
        </is>
      </c>
      <c r="G98" s="76" t="inlineStr">
        <is>
          <t>tests/unit/test_sizer.py</t>
        </is>
      </c>
    </row>
    <row r="99">
      <c r="A99" s="76" t="inlineStr">
        <is>
          <t>QA-E14-36</t>
        </is>
      </c>
      <c r="B99" s="76" t="inlineStr">
        <is>
          <t>E14-S07</t>
        </is>
      </c>
      <c r="C99" s="76" t="inlineStr">
        <is>
          <t>MY WORKED EXAMPLE WAS WRONG</t>
        </is>
      </c>
      <c r="D99" s="76" t="inlineStr">
        <is>
          <t>FAIL -&gt; Fixed</t>
        </is>
      </c>
      <c r="E99" s="76" t="inlineStr">
        <is>
          <t>The hand-computed example expected 246 shares bound by the risk budget. The real answer at a 1,200-rupee entry is 83 shares bound by the POSITION CAP: 20% of 500,000 is 100,000, which buys 83 shares, while the risk budget would have allowed 246.</t>
        </is>
      </c>
      <c r="F99" s="76" t="inlineStr">
        <is>
          <t>Worth recording rather than quietly correcting, because it is a property of the configured defaults that an operator will meet: a high-priced name risks LESS than the configured 1%, and the only thing that explains why is binding_constraint. It is now its own test with that reasoning attached, and the default fixture uses a price where the risk budget genuinely binds.</t>
        </is>
      </c>
      <c r="G99" s="76" t="inlineStr">
        <is>
          <t>tests/unit/test_sizer.py test_an_expensive_stock_is_bound_by_the_position_cap_instead</t>
        </is>
      </c>
    </row>
    <row r="100">
      <c r="A100" s="76" t="inlineStr">
        <is>
          <t>QA-E14-37</t>
        </is>
      </c>
      <c r="B100" s="76" t="inlineStr">
        <is>
          <t>E14-S07</t>
        </is>
      </c>
      <c r="C100" s="76" t="inlineStr">
        <is>
          <t>Integration: the chain closes</t>
        </is>
      </c>
      <c r="D100" s="76" t="inlineStr">
        <is>
          <t>PASS</t>
        </is>
      </c>
      <c r="E100" s="76" t="inlineStr">
        <is>
          <t>A Trigger from real ticks clears all fourteen checks and becomes an APPROVED decision with a quantity, an executable stop and a target. Plus: the risk bound on the indicator engine's own ATR, a rejected candidate carrying NO sizing, an account that affords exactly one share, a lot too large to fill, and the audit row carrying the quantity.</t>
        </is>
      </c>
      <c r="F100" s="76" t="inlineStr">
        <is>
          <t>The seam that only exists here is the ATR one: the sizer divides the budget by a number the INDICATOR ENGINE produced through ATR.as_decimal(), not by a Decimal a test author chose. A units error at that boundary — percent instead of rupees — would blow the risk bound here and nowhere else.</t>
        </is>
      </c>
      <c r="G100" s="76" t="inlineStr">
        <is>
          <t>tests/integration/test_tick_to_trigger.py TestTheTriggerBecomesAnApprovedOrder (11 tests)</t>
        </is>
      </c>
    </row>
    <row r="101">
      <c r="A101" s="76" t="inlineStr">
        <is>
          <t>QA-E14-38</t>
        </is>
      </c>
      <c r="B101" s="76" t="inlineStr">
        <is>
          <t>E14-S07</t>
        </is>
      </c>
      <c r="C101" s="76" t="inlineStr">
        <is>
          <t>Mutation testing, 19 injected defects</t>
        </is>
      </c>
      <c r="D101" s="76" t="inlineStr">
        <is>
          <t>PASS (18/19, 1 verified benign)</t>
        </is>
      </c>
      <c r="E101" s="76" t="inlineStr">
        <is>
          <t>Injected: round-to-nearest; the budget doubled; the percentage undivided; MAX instead of MIN over the clamps; capital_at_risk forced to zero; the stop multiplier dropped; a LONG's stop placed above entry; banker's rounding on the distance; every guard removed; the tie-break reversed; both halves of the reason split; the shared sanitiser; and both context guards.</t>
        </is>
      </c>
      <c r="F101" s="76" t="inlineStr">
        <is>
          <t>M11 SURVIVED and was verified benign before anything changed: `if quantity &lt;= 0` vs `&lt; 0` in the lot floor differ only at exactly zero, where int(0/lot)*lot is already 0 — and negatives are still caught by `&lt; 0`, so the mutation does not reopen the negative-quantity hole the guard exists for. Compared across the domain, no input distinguishes them. The guard is KEPT: `&lt;= 0` states the intent rather than relying on truncation to agree.</t>
        </is>
      </c>
      <c r="G101" s="76" t="inlineStr">
        <is>
          <t>scratchpad/mutate_e14s07.py</t>
        </is>
      </c>
    </row>
    <row r="102">
      <c r="A102" s="76" t="inlineStr">
        <is>
          <t>QA-E14-39</t>
        </is>
      </c>
      <c r="B102" s="76" t="inlineStr">
        <is>
          <t>E14-S07</t>
        </is>
      </c>
      <c r="C102" s="76" t="inlineStr">
        <is>
          <t>Full gate and coverage</t>
        </is>
      </c>
      <c r="D102" s="76" t="inlineStr">
        <is>
          <t>PASS</t>
        </is>
      </c>
      <c r="E102" s="76" t="inlineStr">
        <is>
          <t>ruff check + format, mypy (79 files), bandit 0 issues, pip-audit clean, 388 security tests, 1,415 passed / 247 skipped.</t>
        </is>
      </c>
      <c r="F102" s="76" t="inlineStr">
        <is>
          <t>Coverage 83%, missed statements unchanged at 866. sizer.py, text.py, context.py and every checks module at 100%; framework.py 99%. One existing framework test failed on the reason split and was stale — it asserted INSUFFICIENT_MARGIN using a binding-constraint name ('broker_margin') that no longer exists anywhere. It now pins BOTH branches. doctor's one failure is the local missing DB password.</t>
        </is>
      </c>
      <c r="G102" s="76" t="inlineStr">
        <is>
          <t>full suite</t>
        </is>
      </c>
    </row>
    <row r="103">
      <c r="A103" s="76" t="inlineStr">
        <is>
          <t>QA-E14-40</t>
        </is>
      </c>
      <c r="B103" s="76" t="inlineStr">
        <is>
          <t>E14-S07</t>
        </is>
      </c>
      <c r="C103" s="76" t="inlineStr">
        <is>
          <t>SIT: a session that can APPROVE</t>
        </is>
      </c>
      <c r="D103" s="76" t="inlineStr">
        <is>
          <t>PASS (no product defect)</t>
        </is>
      </c>
      <c r="E103" s="76" t="inlineStr">
        <is>
          <t>12 scenarios: 316 approvals on a normal day, on exactly the minutes that previously merely CLEARED; every approval inside the 1% budget; every one carrying a quantity, a stop below entry and a binding constraint; a halted day approving nothing; the loss limit stopping approvals at noon; a volatile session sizing smaller all day; the audit carrying 316 quantities; replay determinism; a constant quantity across the day; a missing ATR approving nothing. SIT total 79 -&gt; 91.</t>
        </is>
      </c>
      <c r="F103" s="76" t="inlineStr">
        <is>
          <t>Six SIT groups had asserted that NOTHING was ever approved. That assertion was true because the engine had no sizer, and it is now false by design — so it is REPLACED here rather than reused, by the harder question: on a day the system can trade, does it stay inside its risk budget on every one of 316 minutes? The earlier groups' assertions still pass, because they build engines without a sizer; the claim was always about the engine's configuration rather than a wish.</t>
        </is>
      </c>
      <c r="G103" s="76" t="inlineStr">
        <is>
          <t>tests/sit/test_e14_trading_session.py TestSit10 (12 tests)</t>
        </is>
      </c>
    </row>
    <row r="104">
      <c r="A104" s="76" t="inlineStr">
        <is>
          <t>QA-E14-41</t>
        </is>
      </c>
      <c r="B104" s="76" t="inlineStr">
        <is>
          <t>E14-S07</t>
        </is>
      </c>
      <c r="C104" s="76" t="inlineStr">
        <is>
          <t>A property test that passed alone and failed in the suite</t>
        </is>
      </c>
      <c r="D104" s="76" t="inlineStr">
        <is>
          <t>FAIL -&gt; Fixed</t>
        </is>
      </c>
      <c r="E104" s="76" t="inlineStr">
        <is>
          <t>test_it_never_rounds_up asserted quantity &lt;= risk_amount / (atr x multiplier). Hypothesis found atr=4.4623: 6.69345 quantises DOWN to 6.6934, and the smaller divisor allows 747 shares rather than 746.99.</t>
        </is>
      </c>
      <c r="F104" s="76" t="inlineStr">
        <is>
          <t>The regression rule says a test that passes alone and fails in the suite is a finding — here the finding was in the TEST. It compared against the unquantised distance; the effective one is the quantised value, which is the stop that will actually be placed. The code is right: capital_at_risk uses the SAME quantised distance, so 747 x 6.6934 is still inside the budget and AC1 never failed. The property now reads the effective distance back from the result and additionally asserts capital_at_risk equals quantity x that distance — the invariant that makes the first assertion meaningful rather than circular. Had the code quantised the stop PRICE while keeping the raw distance for the risk figure, the recorded risk would have described a stop that was not the one being placed.</t>
        </is>
      </c>
      <c r="G104" s="76" t="inlineStr">
        <is>
          <t>tests/unit/test_sizer.py test_it_never_rounds_up</t>
        </is>
      </c>
    </row>
    <row r="105" ht="120" customHeight="1" s="59">
      <c r="A105" s="76" t="inlineStr">
        <is>
          <t>QA-AUDIT-01</t>
        </is>
      </c>
      <c r="B105" s="76" t="inlineStr">
        <is>
          <t>AUDIT</t>
        </is>
      </c>
      <c r="C105" s="76" t="inlineStr">
        <is>
          <t>Whole-system audit: every boundary where an external number enters</t>
        </is>
      </c>
      <c r="D105" s="76" t="inlineStr">
        <is>
          <t>FAIL -&gt; Fixed</t>
        </is>
      </c>
      <c r="E105" s="76" t="inlineStr">
        <is>
          <t>Four findings, all the same defect class the project has now hit at twelve sites: an unknown value silently becoming a fine one. Three at the broker boundary (AUDIT-001/002), one in the calendar (AUDIT-003), one latent in the import graph (AUDIT-004).</t>
        </is>
      </c>
      <c r="F105" s="76" t="inlineStr">
        <is>
          <t>The audit deliberately looked where the tests could not: the SEAM between an external payload and a validated model. Every risk-engine module is at 100% coverage and mutation-tested, and none of that reaches one layer upstream where `or 0` turns a changed API into a business condition.</t>
        </is>
      </c>
      <c r="G105" s="76" t="inlineStr">
        <is>
          <t>tests/unit/test_broker_kite.py, tests/unit/test_calendar.py, tests/security/test_dependency_hygiene.py - 16 new tests. 10/10 mutations killed.</t>
        </is>
      </c>
    </row>
    <row r="106" ht="120" customHeight="1" s="59">
      <c r="A106" s="76" t="inlineStr">
        <is>
          <t>QA-AUDIT-02</t>
        </is>
      </c>
      <c r="B106" s="76" t="inlineStr">
        <is>
          <t>AUDIT</t>
        </is>
      </c>
      <c r="C106" s="76" t="inlineStr">
        <is>
          <t>Verified sound - no finding raised</t>
        </is>
      </c>
      <c r="D106" s="76" t="inlineStr">
        <is>
          <t>PASS</t>
        </is>
      </c>
      <c r="E106" s="76" t="inlineStr">
        <is>
          <t>Audit hash chain (length-prefixed framing defeats concatenation ambiguity; real prev_hash chaining; naive timestamps refused; timezone-invariant). SecretString across 12 rendering paths - str, repr, f-string, format, %s, json, pickle, deepcopy, __dict__, exception, __reduce__, traceback - zero leaks. Repo hygiene: no secret ever committed, .env.example empty, data/ ignored. SEBI 5 OPS cap: config can lower but cannot raise. market_protection=0 refused. No naive datetimes, no bare excepts. Audit-write failure buffers to disk and logs loudly rather than dropping the record.</t>
        </is>
      </c>
      <c r="F106" s="76" t="inlineStr">
        <is>
          <t>Recorded so the negative results are visible. An audit that lists only what it broke reads as if nothing else was examined.</t>
        </is>
      </c>
      <c r="G106" s="76" t="inlineStr">
        <is>
          <t>tests/security/ (unchanged, all passing)</t>
        </is>
      </c>
    </row>
    <row r="107" ht="150" customHeight="1" s="59">
      <c r="A107" s="76" t="inlineStr">
        <is>
          <t>QA-E14-42</t>
        </is>
      </c>
      <c r="B107" s="76" t="inlineStr">
        <is>
          <t>E14-S10</t>
        </is>
      </c>
      <c r="C107" s="76" t="inlineStr">
        <is>
          <t>The four acceptance criteria, plus the signed-exposure case they do not name</t>
        </is>
      </c>
      <c r="D107" s="76" t="inlineStr">
        <is>
          <t>PASS</t>
        </is>
      </c>
      <c r="E107" s="76" t="inlineStr">
        <is>
          <t>AC1 asserted twice: once verbatim at the AC's own 35% sector (where the risk budget still binds and the property holds anyway), and once at 36% where the headroom is genuinely the smallest constraint and the new code does the work. Stating only the first would have passed without the story being built.</t>
        </is>
      </c>
      <c r="F107" s="76" t="inlineStr">
        <is>
          <t>AC2's real content is the SIGN. A short into a 2,90,000 net-long book has 5,90,000 of room, not 10,000 - it moves the book toward flat. Mutation M2 (sign inverted) and M3 (abs() applied) both killed by that case alone.</t>
        </is>
      </c>
      <c r="G107" s="76" t="inlineStr">
        <is>
          <t>tests/unit/test_sizer.py - TestS10Ac1..Ac4, 24 tests. Mutations M1-M12.</t>
        </is>
      </c>
    </row>
    <row r="108" ht="150" customHeight="1" s="59">
      <c r="A108" s="76" t="inlineStr">
        <is>
          <t>QA-E14-43</t>
        </is>
      </c>
      <c r="B108" s="76" t="inlineStr">
        <is>
          <t>E14-S10</t>
        </is>
      </c>
      <c r="C108" s="76" t="inlineStr">
        <is>
          <t>CORR-001: pearson could raise ZeroDivisionError despite its zero-variance guard</t>
        </is>
      </c>
      <c r="D108" s="76" t="inlineStr">
        <is>
          <t>FAIL -&gt; Fixed</t>
        </is>
      </c>
      <c r="E108" s="76" t="inlineStr">
        <is>
          <t>The guard rejects a variance of zero, and the division then used sqrt(var_l * var_r). The PRODUCT of two strictly positive variances can underflow to 0.0: var_l 9.667e-293 and var_r 3.611e-34 are both comfortably positive and their product is not representable. Guarding the operands does not guard the expression.</t>
        </is>
      </c>
      <c r="F108" s="76" t="inlineStr">
        <is>
          <t>Found by this file's own property test during E14-S10, not by the story. It mattered because correlations_against catches CorrelationError and ONLY that, deliberately - an uncomputable pair is absent and read as unknown. A ZeroDivisionError is not a CorrelationError, so it escaped the loop and turned 'one pair could not be computed' into 'the whole row failed', reported as RISK_ENGINE_FAULT. Not reachable from real prices: a log return of 1e-146 cannot arise from Decimal closes at four decimal places. Fixed because the function's contract is to return a value in [-1, 1] or raise CorrelationError, and it did neither.</t>
        </is>
      </c>
      <c r="G108" s="76" t="inlineStr">
        <is>
          <t>tests/unit/test_correlation.py TestTheDenominatorCannotUnderflowToZero - 10 tests including a meta-assertion that the chosen inputs really do get PAST the zero-variance guard, and a case whose true correlation is exactly 1.0 that the old spelling would have refused. Mutations M13, M14 (M14 verified benign).</t>
        </is>
      </c>
    </row>
    <row r="109" ht="150" customHeight="1" s="59">
      <c r="A109" s="76" t="inlineStr">
        <is>
          <t>QA-E14-44</t>
        </is>
      </c>
      <c r="B109" s="76" t="inlineStr">
        <is>
          <t>E14-S10</t>
        </is>
      </c>
      <c r="C109" s="76" t="inlineStr">
        <is>
          <t>CORR-002: a property test asserting a property outside the domain where it holds</t>
        </is>
      </c>
      <c r="D109" s="76" t="inlineStr">
        <is>
          <t>FAIL -&gt; Fixed</t>
        </is>
      </c>
      <c r="E109" s="76" t="inlineStr">
        <is>
          <t>test_it_is_invariant_to_positive_scaling_and_shift drew returns from st.floats(-0.2, 0.2), which also admits values like 1e-160. A series of those has a variance so small that rho is computed from pure rounding noise, and a sweep of that band finds the invariance error reaching 1.0 - rho flipping between 0 and +/-1 on a rescale.</t>
        </is>
      </c>
      <c r="F109" s="76" t="inlineStr">
        <is>
          <t>The honest attribution matters: the test had been falsifiable since it was written, and a 20,000-case sweep shows 4,335 violations under the OLD denominator too. CORR-001's fix made three times as many of those inputs computable rather than refused, which raised the chance of drawing one - it increased exposure to the weakness rather than introducing it. Verified by running both spellings over the same band rather than assuming.</t>
        </is>
      </c>
      <c r="G109" s="76" t="inlineStr">
        <is>
          <t>The STRATEGY was bounded to magnitudes a real daily log return takes, keeping exact 0.0 for a genuinely flat day. Not the tolerance: a 0.02% move is a real market day and 1e-160 is not any market day, and a tolerance wide enough for noise would stop catching the catastrophic-cancellation bug the test exists for. Stable across five consecutive runs.</t>
        </is>
      </c>
    </row>
    <row r="110" ht="150" customHeight="1" s="59">
      <c r="A110" s="76" t="inlineStr">
        <is>
          <t>QA-E14-45</t>
        </is>
      </c>
      <c r="B110" s="76" t="inlineStr">
        <is>
          <t>E14-S10</t>
        </is>
      </c>
      <c r="C110" s="76" t="inlineStr">
        <is>
          <t>Phase 7 on the story's own diff: a fifth log-forgery site</t>
        </is>
      </c>
      <c r="D110" s="76" t="inlineStr">
        <is>
          <t>FAIL -&gt; Fixed</t>
        </is>
      </c>
      <c r="E110" s="76" t="inlineStr">
        <is>
          <t>The story adds a path that interpolates OpenPosition.symbol into an exception message. That field carries NO validator - unlike Trigger, Recommendation and OrderRequest, each of which gained _validate_symbol only after forgery was found on it. It arrives from the position store, which is fed by the broker.</t>
        </is>
      </c>
      <c r="F110" s="76" t="inlineStr">
        <is>
          <t>RiskDecision.detail escapes it downstream (QA-SEC-38), and that is not enough: the same exception reaches log.exception's traceback, which the model validator never sees. Escaping at the point of interpolation is the rung above relying on a downstream consumer. one_safe_line also bounds the LENGTH, which taking the first eight symbols does not - eight unbounded symbols is exactly how QA-SEC-29 produced an 80,054-character detail from a line that looked capped.</t>
        </is>
      </c>
      <c r="G110" s="76" t="inlineStr">
        <is>
          <t>tests/unit/test_sizer.py TestS10AnUntrustedSymbolCannotForgeALogLine - 4 tests, with assertions built from chr() so no quoting between the editor and the file can turn a real newline into its escape. Mutation M15 killed.</t>
        </is>
      </c>
    </row>
    <row r="111" ht="150" customHeight="1" s="59">
      <c r="A111" s="76" t="inlineStr">
        <is>
          <t>QA-E14-46</t>
        </is>
      </c>
      <c r="B111" s="76" t="inlineStr">
        <is>
          <t>E14-S08</t>
        </is>
      </c>
      <c r="C111" s="76" t="inlineStr">
        <is>
          <t>The acceptance criterion, and where it can honestly be proved</t>
        </is>
      </c>
      <c r="D111" s="76" t="inlineStr">
        <is>
          <t>PASS (CI)</t>
        </is>
      </c>
      <c r="E111" s="76" t="inlineStr">
        <is>
          <t>'Concurrent signals cannot over-allocate slots' is a race between a Redis SET NX PX, a partial unique index, and reconciliation between them. It cannot be proved with doubles, so it is proved in tests/integration/test_slot_allocation.py against a real Redis and a real Postgres: 12 concurrent claimers against 5 slots, every allocation distinct, the surplus refused.</t>
        </is>
      </c>
      <c r="F111" s="76" t="inlineStr">
        <is>
          <t>Docker is unavailable locally, so these 13 tests skip here and run in CI, which pre-pulls both images and runs the full suite. Verified from the workflow itself rather than assumed - the story would not have been startable had CI not run them, since its only AC needs both containers.</t>
        </is>
      </c>
      <c r="G111" s="76" t="inlineStr">
        <is>
          <t>tests/integration/test_slot_allocation.py (13) + tests/unit/test_slots.py (40). Mutation testing on the unit tier.</t>
        </is>
      </c>
    </row>
    <row r="112" ht="150" customHeight="1" s="59">
      <c r="A112" s="76" t="inlineStr">
        <is>
          <t>QA-E14-47</t>
        </is>
      </c>
      <c r="B112" s="76" t="inlineStr">
        <is>
          <t>E14-S08</t>
        </is>
      </c>
      <c r="C112" s="76" t="inlineStr">
        <is>
          <t>Each concurrent claimer needs its own session</t>
        </is>
      </c>
      <c r="D112" s="76" t="inlineStr">
        <is>
          <t>FAIL -&gt; Fixed</t>
        </is>
      </c>
      <c r="E112" s="76" t="inlineStr">
        <is>
          <t>The first draft of the concurrency tests shared one AsyncSession across 12 coroutines. An AsyncSession wraps one connection and is not safe to use from two coroutines at once, so the test would have failed on SQLAlchemy's own concurrency guard rather than on the slot race - a red test proving nothing about slots.</t>
        </is>
      </c>
      <c r="F112" s="76" t="inlineStr">
        <is>
          <t>Caught by review before pushing, not by a run: the tests are Docker-gated and skip locally, so the loop that would normally catch this was not available. Worth recording as the cost of a tier that cannot run on the development machine.</t>
        </is>
      </c>
      <c r="G112" s="76" t="inlineStr">
        <is>
          <t>Each claimer now opens its own session from the engine, which is also what the real system does - two signals are two units of work.</t>
        </is>
      </c>
    </row>
    <row r="113" ht="150" customHeight="1" s="59">
      <c r="A113" s="76" t="inlineStr">
        <is>
          <t>QA-E14-48</t>
        </is>
      </c>
      <c r="B113" s="76" t="inlineStr">
        <is>
          <t>E14-S08</t>
        </is>
      </c>
      <c r="C113" s="76" t="inlineStr">
        <is>
          <t>Two tests that could not fail, on the exact behaviour this story depends on</t>
        </is>
      </c>
      <c r="D113" s="76" t="inlineStr">
        <is>
          <t>FAIL -&gt; Fixed</t>
        </is>
      </c>
      <c r="E113" s="76" t="inlineStr">
        <is>
          <t>test_repositories.py::test_slot_collision_raises_and_is_catchable and test_e01_end_to_end.py both asserted pytest.raises((psycopg.errors.UniqueViolation, Exception)). Exception in a pytest.raises tuple matches ANYTHING - a typo, a connection failure, an AttributeError - so neither test could fail, while both read as though they pinned the exception type down.</t>
        </is>
      </c>
      <c r="F113" s="76" t="inlineStr">
        <is>
          <t>It mattered here specifically. EPIC01 8.4 instructs callers to catch the unique violation and treat it as 'slot taken', and that instruction is only followable if the exception is identifiable. SQLAlchemy wraps every DBAPI error, so the psycopg type the spec names arrives as sqlalchemy.exc.IntegrityError with the original on .orig - catching the psycopg type alone would miss every real occurrence and turn the expected outcome into an unhandled crash during position opening.</t>
        </is>
      </c>
      <c r="G113" s="76" t="inlineStr">
        <is>
          <t>Both now assert through is_slot_taken(), which walks the .orig and __cause__ chain and can narrow to a named constraint. The integration tier pins the real shape.</t>
        </is>
      </c>
    </row>
    <row r="114" ht="150" customHeight="1" s="59">
      <c r="A114" s="76" t="inlineStr">
        <is>
          <t>QA-E14-49</t>
        </is>
      </c>
      <c r="B114" s="76" t="inlineStr">
        <is>
          <t>E14-S08</t>
        </is>
      </c>
      <c r="C114" s="76" t="inlineStr">
        <is>
          <t>The acceptance-criterion test was wrong, and CI found it</t>
        </is>
      </c>
      <c r="D114" s="76" t="inlineStr">
        <is>
          <t>FAIL -&gt; Fixed</t>
        </is>
      </c>
      <c r="E114" s="76" t="inlineStr">
        <is>
          <t>The first version of the concurrency test held the lock across a sleep and never inserted anything. Against real containers it produced [0, 1, 2, 0, 3, 0, 2, 3, 1, 4, None, None] - slot 0 handed out three times - and the test read that as over-allocation.</t>
        </is>
      </c>
      <c r="F114" s="76" t="inlineStr">
        <is>
          <t>It was the TEST that was wrong, not the allocator. `claiming` releases the lock on block exit by design; in real use the block performs the INSERT, and it is the committed row that holds the slot afterwards. A test that never inserts is therefore testing nothing about over-allocation - each slot was correctly freed and re-offered. The AC means 'twelve signals, five slots, at most five POSITIONS', which requires opening them. Found only when CI ran the Docker-gated tier, because Docker was not running locally. Docker Desktop was then started and the tier reproduced in seconds - the whole suite has since run with 0 skipped for the first time this session.</t>
        </is>
      </c>
      <c r="G114" s="76" t="inlineStr">
        <is>
          <t>Rewritten so each claimer opens a real position on its own session and commits, catching the unique violation as EPIC01 8.4 requires. Verified to have teeth: removing the Redis lock fails it, and removing the database consultation fails four of its tests. Notably removing the lock alone breaks only ONE test, because uq_open_slot still refuses the duplicate - which is the three-layer design demonstrating itself.</t>
        </is>
      </c>
    </row>
    <row r="115" ht="150" customHeight="1" s="59">
      <c r="A115" s="76" t="inlineStr">
        <is>
          <t>QA-E14-50</t>
        </is>
      </c>
      <c r="B115" s="76" t="inlineStr">
        <is>
          <t>E14-S09</t>
        </is>
      </c>
      <c r="C115" s="76" t="inlineStr">
        <is>
          <t>The halt controller, and the half of the story that could be built</t>
        </is>
      </c>
      <c r="D115" s="76" t="inlineStr">
        <is>
          <t>PASS</t>
        </is>
      </c>
      <c r="E115" s="76" t="inlineStr">
        <is>
          <t>Tasks 2, 3a and 5 delivered. Three persisted latches with a record of why, when and by whom; idempotent arming where the FIRST reason wins; reads that fail closed on every error path including an unparseable record.</t>
        </is>
      </c>
      <c r="F115" s="76" t="inlineStr">
        <is>
          <t>The acceptance criteria split with the tasks. AC1 ('from a phone in under 10 seconds') needs the transport and moved to E14-S12. AC2 ('open positions are not blindly market-closed') is satisfied here and asserted structurally rather than behaviourally - the controller cannot close anything, so the property holds by construction.</t>
        </is>
      </c>
      <c r="G115" s="76" t="inlineStr">
        <is>
          <t>tests/unit/test_halt.py (42) + tests/integration/test_halt_persistence.py (15). Mutation: 16 injected, 16 killed.</t>
        </is>
      </c>
    </row>
    <row r="116" ht="150" customHeight="1" s="59">
      <c r="A116" s="76" t="inlineStr">
        <is>
          <t>QA-E14-51</t>
        </is>
      </c>
      <c r="B116" s="76" t="inlineStr">
        <is>
          <t>E14-S09</t>
        </is>
      </c>
      <c r="C116" s="76" t="inlineStr">
        <is>
          <t>A dataclass field masquerading as a constant</t>
        </is>
      </c>
      <c r="D116" s="76" t="inlineStr">
        <is>
          <t>FAIL -&gt; Fixed</t>
        </is>
      </c>
      <c r="E116" s="76" t="inlineStr">
        <is>
          <t>OperatorAction.FORBIDDEN - the list of names that are not people - was annotated `Final` inside a frozen dataclass. An annotated assignment without ClassVar declares a FIELD with a default, so FORBIDDEN would have become a third constructor parameter.</t>
        </is>
      </c>
      <c r="F116" s="76" t="inlineStr">
        <is>
          <t>A caller could then have passed their own empty allow-list and cleared a halt as 'system' - defeating the exact bypass the type exists to prevent, through the type's own constructor. Caught by mypy ('Need type argument for Final[...] with non-literal default in dataclass'), which is a typing message for what is really a safety defect.</t>
        </is>
      </c>
      <c r="G116" s="76" t="inlineStr">
        <is>
          <t>ClassVar[frozenset[str]]. A test now asserts dataclasses.fields() returns exactly ['operator', 'acknowledged'], and mutation M9 restores the Final form and is killed.</t>
        </is>
      </c>
    </row>
    <row r="117" ht="150" customHeight="1" s="59">
      <c r="A117" s="76" t="inlineStr">
        <is>
          <t>QA-E14-52</t>
        </is>
      </c>
      <c r="B117" s="76" t="inlineStr">
        <is>
          <t>E14-S09</t>
        </is>
      </c>
      <c r="C117" s="76" t="inlineStr">
        <is>
          <t>A size bound whose test did not exercise it</t>
        </is>
      </c>
      <c r="D117" s="76" t="inlineStr">
        <is>
          <t>FAIL -&gt; Fixed</t>
        </is>
      </c>
      <c r="E117" s="76" t="inlineStr">
        <is>
          <t>test_an_oversized_record_is_treated_as_unreadable padded with 'x', which is not valid JSON - so the parse failure rejected the record and the size bound was never reached. A mutation removing the bound survived.</t>
        </is>
      </c>
      <c r="F117" s="76" t="inlineStr">
        <is>
          <t>Same shape as E14-S08's describe() hole: the test asserted the OUTCOME the bound produces without isolating the bound as its cause. Any of several guards could have produced it.</t>
        </is>
      </c>
      <c r="G117" s="76" t="inlineStr">
        <is>
          <t>The probe is now oversized but valid JSON, with an assertion that it parses - so the only thing that can reject it is the bound. Plus a control just under the limit, because a bound that rejects everything would make every halt unreadable and lose the reason on every restart.</t>
        </is>
      </c>
    </row>
    <row r="118" ht="150" customHeight="1" s="59">
      <c r="A118" s="76" t="inlineStr">
        <is>
          <t>QA-E15-01</t>
        </is>
      </c>
      <c r="B118" s="76" t="inlineStr">
        <is>
          <t>E15-S01</t>
        </is>
      </c>
      <c r="C118" s="76" t="inlineStr">
        <is>
          <t>The story had no acceptance criteria</t>
        </is>
      </c>
      <c r="D118" s="76" t="inlineStr">
        <is>
          <t>FAIL -&gt; Fixed</t>
        </is>
      </c>
      <c r="E118" s="76" t="inlineStr">
        <is>
          <t>E15-S01 listed five tasks and zero acceptance criteria. 'Build OrderRequest from RiskDecision' describes an activity, not an outcome that can be false.</t>
        </is>
      </c>
      <c r="F118" s="76" t="inlineStr">
        <is>
          <t>Phase 1's exit gate requires falsifiable criteria, so four were written and recorded on the story before any code. Two are RED (safety-critical): the approved-to-order mapping, and the 8.2 idempotency key. Writing them first is what surfaced that a REJECTED decision must produce NO order - the single most important behaviour here, and one no task mentioned.</t>
        </is>
      </c>
      <c r="G118" s="76" t="inlineStr">
        <is>
          <t>tests/unit/test_gateway.py, organised by AC.</t>
        </is>
      </c>
    </row>
    <row r="119" ht="150" customHeight="1" s="59">
      <c r="A119" s="76" t="inlineStr">
        <is>
          <t>QA-E15-02</t>
        </is>
      </c>
      <c r="B119" s="76" t="inlineStr">
        <is>
          <t>E15-S01</t>
        </is>
      </c>
      <c r="C119" s="76" t="inlineStr">
        <is>
          <t>The build concern was right about the loose end and wrong about the fix</t>
        </is>
      </c>
      <c r="D119" s="76" t="inlineStr">
        <is>
          <t>FAIL -&gt; Fixed</t>
        </is>
      </c>
      <c r="E119" s="76" t="inlineStr">
        <is>
          <t>The concern said to connect the adapter's tick resolver to the instrument repository, 'which already holds the per-instrument tick size from E02-S06's sync'. The TABLE holds it. The REPOSITORY did not expose it - refresh_cache selected only id and tradingsymbol, and there was no tick_size accessor at all.</t>
        </is>
      </c>
      <c r="F119" s="76" t="inlineStr">
        <is>
          <t>A capability check caught it before any design was built on the assumption: does the thing being consumed actually produce what is planned to be read? Reading the repository rather than trusting the note is what turned a one-line wiring job into the accessor it actually needed.</t>
        </is>
      </c>
      <c r="G119" s="76" t="inlineStr">
        <is>
          <t>InstrumentRepository.tick_size, synchronous and raising on a cache miss. tests/integration/test_gateway_wiring.py proves it end to end with two different tick sizes; mutations M15 (default 0.05 instead of raising) and M16 (stop loading them) both killed.</t>
        </is>
      </c>
    </row>
    <row r="120" ht="150" customHeight="1" s="59">
      <c r="A120" s="76" t="inlineStr">
        <is>
          <t>QA-E15-03</t>
        </is>
      </c>
      <c r="B120" s="76" t="inlineStr">
        <is>
          <t>E15-S01</t>
        </is>
      </c>
      <c r="C120" s="76" t="inlineStr">
        <is>
          <t>A guard that was already unrepresentable one rung higher</t>
        </is>
      </c>
      <c r="D120" s="76" t="inlineStr">
        <is>
          <t>PASS (noted)</t>
        </is>
      </c>
      <c r="E120" s="76" t="inlineStr">
        <is>
          <t>A test was written expecting the gateway to refuse an approved decision carrying no sizing. RiskDecision refused first - the model validates that an approved decision must carry sizing.</t>
        </is>
      </c>
      <c r="F120" s="76" t="inlineStr">
        <is>
          <t>Worth recording rather than deleting: the gateway's own check can never fire against a valid RiskDecision, so it is defence in depth against a future model change rather than a live control. The test now asserts the rung that actually holds, which is the stronger claim.</t>
        </is>
      </c>
      <c r="G120" s="76" t="inlineStr">
        <is>
          <t>tests/unit/test_gateway.py::test_an_approval_with_no_sizing_cannot_even_be_constructed</t>
        </is>
      </c>
    </row>
    <row r="121" ht="150" customHeight="1" s="59">
      <c r="A121" s="76" t="inlineStr">
        <is>
          <t>QA-B1-01</t>
        </is>
      </c>
      <c r="B121" s="76" t="inlineStr">
        <is>
          <t>E15-S01 / B1</t>
        </is>
      </c>
      <c r="C121" s="76" t="inlineStr">
        <is>
          <t>A fail-closed gate on a requirement that does not exist</t>
        </is>
      </c>
      <c r="D121" s="76" t="inlineStr">
        <is>
          <t>FAIL -&gt; Fixed</t>
        </is>
      </c>
      <c r="E121" s="76" t="inlineStr">
        <is>
          <t>common/config.py refused to load in LIVE mode unless broker.algo_id was set, citing 'every algorithmic order must carry an exchange-assigned Algo-ID (SEBI, since 1 Apr 2026)'. Below SEBI's 10 orders/sec threshold no Algo-ID is ever issued, so the condition was unsatisfiable: the system would have refused to enter LIVE mode permanently, waiting on paperwork that does not exist. Every SIT run and every test passed throughout, because nothing had reason to construct a LIVE config.</t>
        </is>
      </c>
      <c r="F121" s="76" t="inlineStr">
        <is>
          <t>THE DEFECT CLASS IS THE INTERESTING PART: this is not 'unknown became fine' - it is the opposite, a check that failed closed and was therefore invisible to every safety test in the suite. Fail-closed hid it. A gate whose condition can never be met is indistinguishable from a correct gate until the day you need to pass it, and that day is go-live. WHAT FOUND IT: reading the primary source rather than the note that summarised it. The Zerodha broker profile already carried the correct reading as a 'working assumption'; config.py carried the opposite as a hard rule; nothing compared them. THE LESSON RECORDED: a fail-closed check still needs a test that PASSES it, or its satisfiability is never exercised.</t>
        </is>
      </c>
      <c r="G121" s="76" t="inlineStr">
        <is>
          <t>tests/security/test_safety_invariants.py::TestLiveModeRequiresCompliance - now asserts a LIVE config loads with an empty algo_id, that it is refused at or above the threshold, and that MAX_ORDERS_PER_SECOND stays below it. tests/unit/test_gateway.py and SIT-14's test_the_real_configuration_sends_no_algo_id_and_that_is_correct.</t>
        </is>
      </c>
    </row>
    <row r="122" ht="150" customHeight="1" s="59">
      <c r="A122" s="76" t="inlineStr">
        <is>
          <t>QA-B1-02</t>
        </is>
      </c>
      <c r="B122" s="76" t="inlineStr">
        <is>
          <t>E15-S01 / B1</t>
        </is>
      </c>
      <c r="C122" s="76" t="inlineStr">
        <is>
          <t>Six documents asserted a requirement that does not apply</t>
        </is>
      </c>
      <c r="D122" s="76" t="inlineStr">
        <is>
          <t>FAIL -&gt; Fixed</t>
        </is>
      </c>
      <c r="E122" s="76" t="inlineStr">
        <is>
          <t>ARCHITECTURE_RESEARCH listed 'an exchange-assigned Algo-ID on every order' as one of four architectural constraints; INDIA_FEATURES said the order-placement module must attach one; MVP_UI_AND_LEGAL made it legal requirement L-1; MASTER_REFERENCE, PRE_LIVE_CHECKLIST and BACKLOG all carried B1 as an open question to email Zerodha about. LOW_LEVEL_ARCHITECTURE 5.7 assigned the gateway the job of 'attaching the SEBI algo_id' unconditionally.</t>
        </is>
      </c>
      <c r="F122" s="76" t="inlineStr">
        <is>
          <t>Documents agreeing with each other is not corroboration when they share an ancestor - all six trace to one early reading of the SEBI framework, and the error propagated by citation rather than by re-derivation. The correction was applied to every one of them IN THE SAME COMMIT as the code, per the sign-off rule, and each correction states what it previously said so a reader who remembers the old claim can see it was retired deliberately rather than quietly dropped.</t>
        </is>
      </c>
      <c r="G122" s="76" t="inlineStr">
        <is>
          <t>No test - documentation. Verified by grep sweep for algo_id / Algo-ID across Documents/ and Code/*.md; every remaining occurrence now states the rate-conditional rule.</t>
        </is>
      </c>
    </row>
    <row r="123" ht="150" customHeight="1" s="59">
      <c r="A123" s="76" t="inlineStr">
        <is>
          <t>QA-B1-03</t>
        </is>
      </c>
      <c r="B123" s="76" t="inlineStr">
        <is>
          <t>E15-S01 / B1</t>
        </is>
      </c>
      <c r="C123" s="76" t="inlineStr">
        <is>
          <t>The order-rate cap was documented as throttling, not as regime selection</t>
        </is>
      </c>
      <c r="D123" s="76" t="inlineStr">
        <is>
          <t>PASS (strengthened)</t>
        </is>
      </c>
      <c r="E123" s="76" t="inlineStr">
        <is>
          <t>MAX_ORDERS_PER_SECOND = 5 was described as a SEBI-safe margin and a broker throttling concern. It is doing more than that: it is the single control that keeps this system out of the algo-registration regime entirely. Nothing recorded that raising it would change the regulatory obligations, not just the throughput.</t>
        </is>
      </c>
      <c r="F123" s="76" t="inlineStr">
        <is>
          <t>Moved one rung up the structure-over-discipline ladder. A comment saying 'stay under 10' became an import-time guard: common/config.py raises RuntimeError if MAX_ORDERS_PER_SECOND &gt;= SEBI_ALGO_REGISTRATION_OPS, so a future edit that crosses the threshold fails at import rather than at 09:15 with an unregistered algo placing orders. The constant is now named after what it is rather than appearing as a bare 10 in three error messages.</t>
        </is>
      </c>
      <c r="G123" s="76" t="inlineStr">
        <is>
          <t>tests/security/test_safety_invariants.py::test_the_hard_cap_keeps_this_system_out_of_the_registration_regime and ::test_the_import_guard_refuses_a_cap_at_or_above_the_threshold.
MUTATION: 10 injected, 9 killed. The first run scored 7/8 with the guard-deletion mutation SURVIVING - with the cap at 5 the guard never executes, so its condition and message were entirely unverified and a swapped operator would have been found on the one day it mattered. Fixed by extracting the guard into _assert_below_registration_threshold(cap, threshold), which is reachable by a test; deleting its body and flipping its &gt;= to &gt; are now both killed.
ONE SURVIVOR REMAINS AND IS VERIFIED BENIGN: removing the CALL at import time. With the cap at 5 the call is a no-op, and the state it guards against is already caught in CI by the invariant test above - confirmed by M6, which raises the cap and dies on that test alone. Killing it would require asserting on module text rather than behaviour. Recorded, not chased - same shape as QA-E15-03.</t>
        </is>
      </c>
    </row>
    <row r="124" ht="150" customHeight="1" s="59">
      <c r="A124" s="76" t="inlineStr">
        <is>
          <t>QA-E15-04</t>
        </is>
      </c>
      <c r="B124" s="76" t="inlineStr">
        <is>
          <t>E15-S02</t>
        </is>
      </c>
      <c r="C124" s="76" t="inlineStr">
        <is>
          <t>A test asserted the duplicate this story exists to prevent</t>
        </is>
      </c>
      <c r="D124" s="76" t="inlineStr">
        <is>
          <t>FAIL -&gt; Fixed</t>
        </is>
      </c>
      <c r="E124" s="76" t="inlineStr">
        <is>
          <t>tests/unit/test_gateway.py::test_the_limiter_is_consulted_once_per_submission submitted the SAME decision three times - one correlation_id, therefore one client_order_id - and asserted that THREE orders reached the broker. It passed, because before E15-S02 the gateway had no idempotency at all.</t>
        </is>
      </c>
      <c r="F124" s="76" t="inlineStr">
        <is>
          <t>This is the SDLC regression rule 'no test may depend on a defect existing', caught the only way it can be: the defect was fixed and the test went red. Worth recording because the test was not wrong about its INTENT - three submissions should consult the limiter three times - it was wrong that three submissions of ONE decision are three orders. Corrected to three distinct signals, each with its own correlation_id, and a second test added for the other half: a suppressed duplicate must NOT spend a rate-limiter token, because tokens are the scarce resource protecting a regulatory threshold.</t>
        </is>
      </c>
      <c r="G124" s="76" t="inlineStr">
        <is>
          <t>tests/unit/test_gateway.py::TestAc3TheRateLimiter - test_the_limiter_is_consulted_once_per_submission (corrected) and test_a_suppressed_duplicate_does_not_spend_a_token (new).</t>
        </is>
      </c>
    </row>
    <row r="125" ht="150" customHeight="1" s="59">
      <c r="A125" s="76" t="inlineStr">
        <is>
          <t>QA-E15-05</t>
        </is>
      </c>
      <c r="B125" s="76" t="inlineStr">
        <is>
          <t>E15-S02</t>
        </is>
      </c>
      <c r="C125" s="76" t="inlineStr">
        <is>
          <t>The story shipped with one acceptance criterion for two tasks</t>
        </is>
      </c>
      <c r="D125" s="76" t="inlineStr">
        <is>
          <t>FAIL -&gt; Fixed</t>
        </is>
      </c>
      <c r="E125" s="76" t="inlineStr">
        <is>
          <t>E15-S02 carried a single criterion: 'chaos test: timeout + reconnect produces exactly one order'. That is falsifiable, but it is an OUTCOME of the whole design rather than a description of it - it cannot be satisfied incrementally, so it cannot guide a build or localise a failure.</t>
        </is>
      </c>
      <c r="F125" s="76" t="inlineStr">
        <is>
          <t>Five criteria were written and recorded on the story BEFORE any code, per Phase 1's exit gate and the precedent set by QA-E15-01. Writing them first is what surfaced AC1's second half - that an order which is never sent must leave NO row. That behaviour appears in no task and in no design document, and without it a rate-limiter refusal would leave a SUBMITTING row that reconciliation would hunt every 30 seconds for the rest of the day.</t>
        </is>
      </c>
      <c r="G125" s="76" t="inlineStr">
        <is>
          <t>tests/unit/test_gateway.py, organised one class per AC; test_a_rate_limited_order_records_nothing is the one the criteria surfaced.</t>
        </is>
      </c>
    </row>
    <row r="126" ht="150" customHeight="1" s="59">
      <c r="A126" s="76" t="inlineStr">
        <is>
          <t>QA-E15-06</t>
        </is>
      </c>
      <c r="B126" s="76" t="inlineStr">
        <is>
          <t>E15-S02</t>
        </is>
      </c>
      <c r="C126" s="76" t="inlineStr">
        <is>
          <t>A test double could not express the state it was probing</t>
        </is>
      </c>
      <c r="D126" s="76" t="inlineStr">
        <is>
          <t>PASS (noted)</t>
        </is>
      </c>
      <c r="E126" s="76" t="inlineStr">
        <is>
          <t>The AC3 probe for a broker record carrying no order id called landed(request, None). The double treated None as 'use the default id', so the probe silently exercised the happy path and reported DID NOT RAISE.</t>
        </is>
      </c>
      <c r="F126" s="76" t="inlineStr">
        <is>
          <t>Recorded rather than quietly fixed, because the failure mode generalises: a double whose default and whose meaningful value are the same sentinel makes a state INEXPRESSIBLE, and a probe that cannot express its state passes for the wrong reason. Here the test failed loudly, which is the lucky case. The fix is a distinct sentinel object, documented at the double so the next person adding a case does not reintroduce it.</t>
        </is>
      </c>
      <c r="G126" s="76" t="inlineStr">
        <is>
          <t>tests/unit/test_gateway.py::RecordingPlacer._DEFAULT_ID, and test_a_half_answer_is_not_treated_as_either_answer which now genuinely fails when the guard is removed (mutation M7, killed).</t>
        </is>
      </c>
    </row>
    <row r="127" ht="150" customHeight="1" s="59">
      <c r="A127" s="76" t="inlineStr">
        <is>
          <t>QA-E15-07</t>
        </is>
      </c>
      <c r="B127" s="76" t="inlineStr">
        <is>
          <t>E15-S03</t>
        </is>
      </c>
      <c r="C127" s="76" t="inlineStr">
        <is>
          <t>The unit suite agreed with the table; the broker did not</t>
        </is>
      </c>
      <c r="D127" s="76" t="inlineStr">
        <is>
          <t>FAIL -&gt; Fixed</t>
        </is>
      </c>
      <c r="E127" s="76" t="inlineStr">
        <is>
          <t>The transition table passed 91 unit tests - exhaustive over the enum, agreeing with 8.2's diagram, terminal states terminal - and still refused four transitions the broker can actually produce: SUBMITTING -&gt; OPEN, FILLED, CANCELLED and REJECTED.</t>
        </is>
      </c>
      <c r="F127" s="76" t="inlineStr">
        <is>
          <t>THE SEAM IS WHAT FOUND IT, and nothing in the unit suite could have. Those tests know what the diagram says; they do not know what Kite is capable of saying. The four are E15-S02's recovery path: an ambiguous submission is queried, the broker reports the order it already holds - possibly already COMPLETE - while our row still says SUBMITTING because the outcome was never recorded. Without them the result of a recovered timeout could not be written down at all, which is the exact case that story exists to handle. The test enumerates the full cross-product of (our live states) x (statuses status_in can produce) and requires every refused pair to carry a written reason, so a future gap cannot be added silently.</t>
        </is>
      </c>
      <c r="G127" s="76" t="inlineStr">
        <is>
          <t>tests/integration/test_order_state_seam.py - test_every_broker_report_is_legal_or_documented, and test_the_recovery_path_of_e15_s02_can_be_recorded. Mutation M12 (remove SUBMITTING -&gt; FILLED) killed.</t>
        </is>
      </c>
    </row>
    <row r="128" ht="150" customHeight="1" s="59">
      <c r="A128" s="76" t="inlineStr">
        <is>
          <t>QA-E15-08</t>
        </is>
      </c>
      <c r="B128" s="76" t="inlineStr">
        <is>
          <t>E15-S03</t>
        </is>
      </c>
      <c r="C128" s="76" t="inlineStr">
        <is>
          <t>The entire safety property could be switched off with one assignment</t>
        </is>
      </c>
      <c r="D128" s="76" t="inlineStr">
        <is>
          <t>FAIL -&gt; Fixed</t>
        </is>
      </c>
      <c r="E128" s="76" t="inlineStr">
        <is>
          <t>ALLOWED_TRANSITIONS was annotated Final[Mapping[...]] and was a plain dict at runtime. Executing ALLOWED_TRANSITIONS[OrderStatus.FILLED] = frozenset({OrderStatus.OPEN}) made a filled order movable again - no exception, no log line, and every one of the 91 tests still green.</t>
        </is>
      </c>
      <c r="F128" s="76" t="inlineStr">
        <is>
          <t>Found by asking the STRIDE tampering question against the diff rather than by reading the file, which is the point of Phase 7. Final is enforced by mypy and by nothing at runtime, and Mapping is a structural type, not a guarantee - together they read as immutability while providing none. Fixed with MappingProxyType, which raises on assignment; the values were already frozenset, so the structure is now immutable rather than merely annotated as such. This is the structure-over-discipline ladder: 'a type annotation says so' moved up to 'the assignment fails'.</t>
        </is>
      </c>
      <c r="G128" s="76" t="inlineStr">
        <is>
          <t>tests/unit/test_order_state.py::TestTheTableCannotBeSwitchedOffAtRuntime - four tests covering replace, delete, in-place extend of a target set, and a control that ordinary reads still work. Mutation M13 killed.</t>
        </is>
      </c>
    </row>
    <row r="129" ht="150" customHeight="1" s="59">
      <c r="A129" s="76" t="inlineStr">
        <is>
          <t>QA-E15-09</t>
        </is>
      </c>
      <c r="B129" s="76" t="inlineStr">
        <is>
          <t>E15-S03</t>
        </is>
      </c>
      <c r="C129" s="76" t="inlineStr">
        <is>
          <t>An existing guard caught a new test gating itself on Docker</t>
        </is>
      </c>
      <c r="D129" s="76" t="inlineStr">
        <is>
          <t>PASS (noted)</t>
        </is>
      </c>
      <c r="E129" s="76" t="inlineStr">
        <is>
          <t>tests/integration/test_order_state_seam.py declared the container marker while using no container fixture. test_suite_integrity.py failed the full run.</t>
        </is>
      </c>
      <c r="F129" s="76" t="inlineStr">
        <is>
          <t>The guard was right and the author was wrong: the marker means 'needs a container', not 'is an integration test'. Marking a pure-computation module would have gated it on whether Docker happened to be running - which is precisely how the only system-level test in this repository once spent a period silently skipped while the suite reported green. Recorded because it is the first time a guard added after that incident has caught a NEW instance of it, which is the evidence that the guard was worth writing. Its one weakness: it matches file TEXT, so it also fires on prose naming the marker - the docstring is phrased around the literal. Cheap to live with; noted so the next person does not think they are going mad.</t>
        </is>
      </c>
      <c r="G129" s="76" t="inlineStr">
        <is>
          <t>tests/unit/test_suite_integrity.py::test_a_module_that_needs_no_container_does_not_declare_the_marker (existing).</t>
        </is>
      </c>
    </row>
    <row r="130" ht="150" customHeight="1" s="59">
      <c r="A130" s="76" t="inlineStr">
        <is>
          <t>QA-E15-10</t>
        </is>
      </c>
      <c r="B130" s="76" t="inlineStr">
        <is>
          <t>E15 (process)</t>
        </is>
      </c>
      <c r="C130" s="76" t="inlineStr">
        <is>
          <t>Three consecutive stories arrived with no acceptance criteria</t>
        </is>
      </c>
      <c r="D130" s="76" t="inlineStr">
        <is>
          <t>FAIL -&gt; Process finding</t>
        </is>
      </c>
      <c r="E130" s="76" t="inlineStr">
        <is>
          <t>E15-S01 shipped with none (QA-E15-01). E15-S02 had one criterion for two tasks (QA-E15-05). E15-S03 had no tasks and no criteria at all - its entire specification was 'full lifecycle per LOW_LEVEL_ARCHITECTURE 8.2 with illegal transitions rejected'.</t>
        </is>
      </c>
      <c r="F130" s="76" t="inlineStr">
        <is>
          <t>Recorded as a CLASS rather than a third instance, per the rule this repository already learned about log forgery: when a defect recurs a third time, fix the class. In all three cases writing the criteria first is what surfaced the behaviour no task mentioned - for S02 it was 'an order that is never sent must leave NO row'; for S03 it was that re-observing an unchanged state must not raise, without which reconciliation would alarm every 30 seconds. Neither appears in any design document. THE PATTERN: E15's stories were written as component names with a pointer to the architecture, which is enough to build from and not enough to know when you are done. Remaining E15 stories should have criteria written at the START of their session, before any code, and the /sdlc Phase 1 gate already requires exactly that.</t>
        </is>
      </c>
      <c r="G130" s="76" t="inlineStr">
        <is>
          <t>No test - process. Criteria for E15-S03 were written to the tracker before the first line of order_state.py.</t>
        </is>
      </c>
    </row>
    <row r="131" ht="150" customHeight="1" s="59">
      <c r="A131" s="76" t="inlineStr">
        <is>
          <t>QA-E15-11</t>
        </is>
      </c>
      <c r="B131" s="76" t="inlineStr">
        <is>
          <t>E15-S04</t>
        </is>
      </c>
      <c r="C131" s="76" t="inlineStr">
        <is>
          <t>The module trusted the emergency exit on acceptance - its own defect, one step along</t>
        </is>
      </c>
      <c r="D131" s="76" t="inlineStr">
        <is>
          <t>FAIL -&gt; Fixed</t>
        </is>
      </c>
      <c r="E131" s="76" t="inlineStr">
        <is>
          <t>protective_stop.py verifies that the STOP is live at the broker before calling a position protected, on the explicit principle that acceptance is not liveness. The emergency exit in the same file was then trusted on acceptance alone: submit_exit returning was treated as the position being closed, and the CRITICAL log line said 'closed at market' having verified nothing.</t>
        </is>
      </c>
      <c r="F131" s="76" t="inlineStr">
        <is>
          <t>Found by running the STRIDE pass against this story's own diff rather than against the code it touched - Phase 7 asked 'can a value change between write and read', and the answer pointed at the exit. WHY IT MATTERS MORE THAN THE STOP: the exit is the only thing standing between a naked position and the square-off deadline; a stop that fails has the exit behind it, and an exit that fails has nothing. THE LESSON, which is the fourth variation of it in this codebase: applying a rule to the case you were thinking about does not apply it to the case one step further along. The exit is now verified through the same is_live() the stop uses, and a non-live exit halts.</t>
        </is>
      </c>
      <c r="G131" s="76" t="inlineStr">
        <is>
          <t>tests/unit/test_protective_stop.py::test_an_exit_the_broker_will_not_list_also_halts and ::test_a_rejected_exit_halts. Mutation M7 (trust the exit on acceptance) killed.</t>
        </is>
      </c>
    </row>
    <row r="132" ht="150" customHeight="1" s="59">
      <c r="A132" s="76" t="inlineStr">
        <is>
          <t>QA-E15-12</t>
        </is>
      </c>
      <c r="B132" s="76" t="inlineStr">
        <is>
          <t>E15-S04</t>
        </is>
      </c>
      <c r="C132" s="76" t="inlineStr">
        <is>
          <t>A test double that computed its answer with the function under test</t>
        </is>
      </c>
      <c r="D132" s="76" t="inlineStr">
        <is>
          <t>FAIL -&gt; Fixed</t>
        </is>
      </c>
      <c r="E132" s="76" t="inlineStr">
        <is>
          <t>Two mutations survived the first run. M12 flipped the side inside stop_client_order_id - which would place the stop on the SAME side as the position, doubling it instead of protecting it - and every unit test passed. M16 halved the exit quantity and every unit test passed.</t>
        </is>
      </c>
      <c r="F132" s="76" t="inlineStr">
        <is>
          <t>ONE ROOT CAUSE FOR BOTH: the double answered using the code under test. FakeGateway listed the stop in its orderbook under stop_client_order_id(...), the same helper the attacher then looked it up with, so an error in it cancelled out perfectly. And the double recorded the POSITION handed to submit_exit rather than the ORDER built from it, so the builder was never observed at all. The integration tests did catch M12, because there the key is built by the real gateway and looked up through the real adapter - which is precisely the difference between the two tiers. FIXED at the double: it now derives both the key and the exit order through the real gateway builders, so production code is on the answering side. THE GENERAL FORM, and it is a new one for this repository's catalogue: a double that shares an implementation with the system under test is not an oracle - it agrees by construction, exactly like a component tested against its own fixtures.</t>
        </is>
      </c>
      <c r="G132" s="76" t="inlineStr">
        <is>
          <t>tests/unit/test_protective_stop.py::FakeGateway (now uses _real_gateway().build_stop / build_exit) plus ::test_the_exit_closes_the_whole_position and ::test_the_exit_is_a_market_order_on_the_opposite_side. M12 and M16 both killed on re-run; final score 17/17.</t>
        </is>
      </c>
    </row>
    <row r="133" ht="150" customHeight="1" s="59">
      <c r="A133" s="76" t="inlineStr">
        <is>
          <t>QA-E15-13</t>
        </is>
      </c>
      <c r="B133" s="76" t="inlineStr">
        <is>
          <t>E15-S04</t>
        </is>
      </c>
      <c r="C133" s="76" t="inlineStr">
        <is>
          <t>Two counters were read by name and existed nowhere</t>
        </is>
      </c>
      <c r="D133" s="76" t="inlineStr">
        <is>
          <t>FAIL -&gt; Fixed</t>
        </is>
      </c>
      <c r="E133" s="76" t="inlineStr">
        <is>
          <t>ProtectiveStop._count reads its counter with getattr and returns quietly when it is absent - deliberate, so a metrics outage cannot worsen a naked-position failure. Against the REAL Metrics class both stop_attach_failures_total and naked_positions_total were absent, so AC5's 'visible without querying a database' was satisfied by a double and by nothing else.</t>
        </is>
      </c>
      <c r="F133" s="76" t="inlineStr">
        <is>
          <t>The same shape as the two exposure caps that sat in system.yaml binding on nothing, and as the special-sessions flag nothing read: the tolerant lookup that makes the code robust is the same lookup that makes the gap invisible. Caught by asking what the getattr would find in production, not by a failing test - there was no failing test to have. Both counters are now registered, with separate names on purpose: a contained stop failure is a bad trade, a naked position is an incident, and one counter would let the second hide in the first's noise.</t>
        </is>
      </c>
      <c r="G133" s="76" t="inlineStr">
        <is>
          <t>tests/unit/test_protective_stop.py::TestTheCountersExistOnTheRealMetrics - asserts against the real registry's collected samples rather than a double.</t>
        </is>
      </c>
    </row>
    <row r="134" ht="150" customHeight="1" s="59">
      <c r="A134" s="76" t="inlineStr">
        <is>
          <t>QA-E15-14</t>
        </is>
      </c>
      <c r="B134" s="76" t="inlineStr">
        <is>
          <t>E15-S04</t>
        </is>
      </c>
      <c r="C134" s="76" t="inlineStr">
        <is>
          <t>The order state machine modelled two states nothing could ever write</t>
        </is>
      </c>
      <c r="D134" s="76" t="inlineStr">
        <is>
          <t>FAIL -&gt; Fixed</t>
        </is>
      </c>
      <c r="E134" s="76" t="inlineStr">
        <is>
          <t>OrderStatus has REJECTED and SUBMIT_FAILED; order_state.py gives both legal incoming edges and E15-S03's _resume docstring reasons explicitly about 'a row recorded REJECTED or CANCELLED'. A grep of src/ for writes of either found none: the only mentions were the enum definition and the transition table.</t>
        </is>
      </c>
      <c r="F134" s="76" t="inlineStr">
        <is>
          <t>Found while tracing SIT-003 rather than by a failing test - there was none to have. The state machine was verified for internal consistency (E15-S03's _verify_table checks exhaustiveness, self-edges and terminal states) and that verification cannot see whether any state is REACHABLE, because reachability is a property of the callers, not the table. THE GENERAL FORM, and it is the third variation in this repository: a structure can be complete and correct and still describe something the system never does. REJECTED is now written by the gateway; SUBMIT_FAILED remains unwritten and that is recorded on E15-S09, which owns the reconciliation path that would produce it.</t>
        </is>
      </c>
      <c r="G134" s="76" t="inlineStr">
        <is>
          <t>tests/unit/test_gateway.py::TestARefusedOrderIsRecordedAsRefused::test_a_refused_order_is_terminal_and_is_never_resubmitted</t>
        </is>
      </c>
    </row>
    <row r="135" ht="150" customHeight="1" s="59">
      <c r="A135" s="76" t="inlineStr">
        <is>
          <t>QA-E15-15</t>
        </is>
      </c>
      <c r="B135" s="76" t="inlineStr">
        <is>
          <t>E15-S05</t>
        </is>
      </c>
      <c r="C135" s="76" t="inlineStr">
        <is>
          <t>A safety guarantee that was only a type annotation</t>
        </is>
      </c>
      <c r="D135" s="76" t="inlineStr">
        <is>
          <t>FAIL -&gt; Fixed</t>
        </is>
      </c>
      <c r="E135" s="76" t="inlineStr">
        <is>
          <t>ProtectedPosition is the type that proves a position is protected: it holds an EstablishedPosition, which only ProtectiveStop.attach can produce. As a plain frozen dataclass it accepted anything. ProtectedPosition(a_position_row) constructed happily and produced exactly the object the class exists to make impossible.</t>
        </is>
      </c>
      <c r="F135" s="76" t="inlineStr">
        <is>
          <t>Found by writing the test that asserts the guarantee rather than assuming the annotation was one - the test failed with DID NOT RAISE. Dataclasses do not check types at runtime, so the only enforcement was mypy, which sees src/ and nothing else: any dynamic or test-side construction was unguarded. On the verification ladder this was 'a type checker complains', one rung below 'the dangerous state cannot be represented'. A __post_init__ now refuses, with the message explaining that a position is protected because the broker confirmed a live stop, never because a field said so.</t>
        </is>
      </c>
      <c r="G135" s="76" t="inlineStr">
        <is>
          <t>tests/unit/test_positions.py::test_the_protected_type_cannot_be_built_from_a_position. Mutation M8 (remove the guard) killed.</t>
        </is>
      </c>
    </row>
    <row r="136" ht="150" customHeight="1" s="59">
      <c r="A136" s="76" t="inlineStr">
        <is>
          <t>QA-E15-16</t>
        </is>
      </c>
      <c r="B136" s="76" t="inlineStr">
        <is>
          <t>E15-S05</t>
        </is>
      </c>
      <c r="C136" s="76" t="inlineStr">
        <is>
          <t>MFE/MAE: columns since the first migration, written by nothing, read by nothing</t>
        </is>
      </c>
      <c r="D136" s="76" t="inlineStr">
        <is>
          <t>FAIL -&gt; Fixed</t>
        </is>
      </c>
      <c r="E136" s="76" t="inlineStr">
        <is>
          <t>positions.max_favourable_excursion and max_adverse_excursion have existed since the first migration. PositionRepository.close_position did not write them and _position_to_dict did not return them - and open_positions() is how the book is rebuilt after a restart, so a restart silently reset every position's excursions to zero while the columns held the real values.</t>
        </is>
      </c>
      <c r="F136" s="76" t="inlineStr">
        <is>
          <t>The same shape as the two exposure caps that sat in system.yaml binding on nothing, and as SUBMIT_FAILED being modelled and unreachable: the artefact exists, looks complete, and is connected at neither end. Found in Phase 1 by reading the repository before designing against it, which is also what made the story's task 4 real work rather than a field assignment - a version that computed the excursions in memory would have looked finished and persisted nothing. Both directions are now wired and proved against real Postgres rather than a double that echoes back whatever it was handed.</t>
        </is>
      </c>
      <c r="G136" s="76" t="inlineStr">
        <is>
          <t>tests/integration/test_position_manager_wiring.py::test_the_excursions_survive_the_database and ::test_restored_positions_carry_their_excursions. Mutations M15, M22, M23, M24 killed.</t>
        </is>
      </c>
    </row>
    <row r="137" ht="150" customHeight="1" s="59">
      <c r="A137" s="76" t="inlineStr">
        <is>
          <t>QA-E15-17</t>
        </is>
      </c>
      <c r="B137" s="76" t="inlineStr">
        <is>
          <t>E15-S05</t>
        </is>
      </c>
      <c r="C137" s="76" t="inlineStr">
        <is>
          <t>Three Redis keys documented as HASH that are JSON strings</t>
        </is>
      </c>
      <c r="D137" s="76" t="inlineStr">
        <is>
          <t>FAIL -&gt; Fixed</t>
        </is>
      </c>
      <c r="E137" s="76" t="inlineStr">
        <is>
          <t>keys.py described state:quote, state:bar:current and state:position as HASH, matching LOW_LEVEL_ARCHITECTURE 4.3. ingest/quotes.py writes the quote key with state.set_state, which does client.set of model_dump_json - a string. HGETALL against it raises WRONGTYPE.</t>
        </is>
      </c>
      <c r="F137" s="76" t="inlineStr">
        <is>
          <t>Caught while deciding how to store the position mirror: the docstring said HASH and the only implemented example said otherwise. The code is right and the docs were corrected, because JSON round-trips Decimal exactly and a hash of stringified decimals would re-introduce parsing at every read - and money is never a float here. state:bar:current was left describing the SPEC's intent and explicitly marked unverified, because nothing writes it yet and claiming a storage type for an unimplemented key would have been the same mistake in the other direction.</t>
        </is>
      </c>
      <c r="G137" s="76" t="inlineStr">
        <is>
          <t>tests/integration/test_position_manager_wiring.py::test_the_snapshot_round_trips_with_exact_decimals - reads the key back through state.get_state against real Redis.</t>
        </is>
      </c>
    </row>
    <row r="138" ht="150" customHeight="1" s="59">
      <c r="A138" s="76" t="inlineStr">
        <is>
          <t>QA-E15-18</t>
        </is>
      </c>
      <c r="B138" s="76" t="inlineStr">
        <is>
          <t>E15-S05</t>
        </is>
      </c>
      <c r="C138" s="76" t="inlineStr">
        <is>
          <t>A source edit silently moved a decorator off the class it belonged to</t>
        </is>
      </c>
      <c r="D138" s="76" t="inlineStr">
        <is>
          <t>FAIL -&gt; Fixed</t>
        </is>
      </c>
      <c r="E138" s="76" t="inlineStr">
        <is>
          <t>Inserting the new Closable protocol anchored on the text 'class GatewayPolicy:' placed it between @dataclass(frozen=True) and GatewayPolicy. Closable became a frozen dataclass and GatewayPolicy silently lost its decorator - meaning no generated __init__, and __post_init__ (which refuses market_protection of 0) never called.</t>
        </is>
      </c>
      <c r="F138" s="76" t="inlineStr">
        <is>
          <t>Caught by mypy before a single test ran, via a __match_args__ conflict that made no sense until the file was read. Worth recording because the failure mode is general and invisible: anchoring an edit on a 'class X:' line attaches the new text to whatever decorator sits above it, and the result is syntactically valid. Every gate would eventually have caught this one because GatewayPolicy is constructed everywhere - but a decorator on a rarely constructed class would have survived to production. The lesson is to anchor on the decorator when one is present, not on the class line.</t>
        </is>
      </c>
      <c r="G138" s="76" t="inlineStr">
        <is>
          <t>Not a test - mypy src/ is the gate that caught it, and the full suite (2,223) confirms GatewayPolicy still validates market_protection.</t>
        </is>
      </c>
    </row>
    <row r="139" ht="150" customHeight="1" s="59">
      <c r="A139" s="76" t="inlineStr">
        <is>
          <t>QA-E15-19</t>
        </is>
      </c>
      <c r="B139" s="76" t="inlineStr">
        <is>
          <t>E15-S09</t>
        </is>
      </c>
      <c r="C139" s="76" t="inlineStr">
        <is>
          <t>An adapter and its protocol disagreed on two methods, and nothing checked</t>
        </is>
      </c>
      <c r="D139" s="76" t="inlineStr">
        <is>
          <t>FAIL -&gt; Fixed</t>
        </is>
      </c>
      <c r="E139" s="76" t="inlineStr">
        <is>
          <t>TradingAdapter.fetch_positions was declared -&gt; list[Position]; the Kite adapter returned list[dict]; LOW_LEVEL_ARCHITECTURE 5.1 said list[BrokerPosition]. MarketDataAdapter.subscribe was declared async def (a coroutine) while every implementation returns an async iterator, which cannot be awaited.</t>
        </is>
      </c>
      <c r="F139" s="76" t="inlineStr">
        <is>
          <t>Found by the capability check before designing: the reconciler would have been the first consumer of fetch_positions, typed against a stop price, correlation id and slot the broker never supplies. Confirmed by a mypy probe assigning the Kite adapter to the protocol, which reported BOTH drifts. @runtime_checkable checks that attribute names exist, never signatures, so the protocol could say anything. The spec was right; the protocol drifted from it; the implementation drifted from both. BrokerPosition now exists and mypy enforces conformance.</t>
        </is>
      </c>
      <c r="G139" s="76" t="inlineStr">
        <is>
          <t>src/algotrader/broker/kite/trading.py::_conforms (type-checked, never called); tests/integration/test_reconciliation_wiring.py exercises the real mapping.</t>
        </is>
      </c>
    </row>
    <row r="140" ht="150" customHeight="1" s="59">
      <c r="A140" s="76" t="inlineStr">
        <is>
          <t>QA-E15-20</t>
        </is>
      </c>
      <c r="B140" s="76" t="inlineStr">
        <is>
          <t>E15-S09</t>
        </is>
      </c>
      <c r="C140" s="76" t="inlineStr">
        <is>
          <t>A net-quantity unknown-position check halts the day on its own exits</t>
        </is>
      </c>
      <c r="D140" s="76" t="inlineStr">
        <is>
          <t>Design finding -&gt; designed out</t>
        </is>
      </c>
      <c r="E140" s="76" t="inlineStr">
        <is>
          <t>The obvious check - broker net quantity equals what our orders net to - is not race-free across two separate broker reads. An exit fill landing between them shows in the orderbook but not yet in positions, so the broker appears to hold 40 shares nobody ordered.</t>
        </is>
      </c>
      <c r="F140" s="76" t="inlineStr">
        <is>
          <t>Found while designing, before code, by walking the race in both directions: reading positions first protects against entry fills and INVERTS for exits. Net quantity is not monotone; cumulative bought and sold each are. The check compares each side separately against an orderbook read AFTER positions. Mutation M2 substitutes the net rule and the exit-race test fails.</t>
        </is>
      </c>
      <c r="G140" s="76" t="inlineStr">
        <is>
          <t>tests/unit/test_reconciliation.py::TestAc2NoFalseHaltFromARace::test_an_exit_fill_between_the_reads_is_not_unknown</t>
        </is>
      </c>
    </row>
    <row r="141" ht="150" customHeight="1" s="59">
      <c r="A141" s="76" t="inlineStr">
        <is>
          <t>QA-E15-21</t>
        </is>
      </c>
      <c r="B141" s="76" t="inlineStr">
        <is>
          <t>E15-S09</t>
        </is>
      </c>
      <c r="C141" s="76" t="inlineStr">
        <is>
          <t>A closed position and a product this system never trades would each have halted</t>
        </is>
      </c>
      <c r="D141" s="76" t="inlineStr">
        <is>
          <t>Design finding -&gt; designed out</t>
        </is>
      </c>
      <c r="E141" s="76" t="inlineStr">
        <is>
          <t>Kite's positions list keeps rows for positions closed during the day at quantity 0, and includes products this system never trades. Mapping product through the closed Product enum would make one MTF holding - a real Zerodha product - fail every read, which is a halt after three cycles.</t>
        </is>
      </c>
      <c r="F141" s="76" t="inlineStr">
        <is>
          <t>Found by reading Kite's own portfolio documentation rather than recalling the shape: the example payload shows a closed row at 0 and a signed -3 short. BrokerPosition keeps product and exchange as strings; the reconciler scopes to MIS on NSE and judges activity, not row presence.</t>
        </is>
      </c>
      <c r="G141" s="76" t="inlineStr">
        <is>
          <t>tests/integration/test_reconciliation_wiring.py::TestAnUnknownPositionHaltsForReal (CNC/NRML/MTF parametrised; closed row).</t>
        </is>
      </c>
    </row>
    <row r="142" ht="150" customHeight="1" s="59">
      <c r="A142" s="76" t="inlineStr">
        <is>
          <t>QA-E15-22</t>
        </is>
      </c>
      <c r="B142" s="76" t="inlineStr">
        <is>
          <t>E15-S09</t>
        </is>
      </c>
      <c r="C142" s="76" t="inlineStr">
        <is>
          <t>The decorator mistake QA-E15-18 recorded, repeated two days later</t>
        </is>
      </c>
      <c r="D142" s="76" t="inlineStr">
        <is>
          <t>FAIL -&gt; Fixed</t>
        </is>
      </c>
      <c r="E142" s="76" t="inlineStr">
        <is>
          <t>Inserting BrokerPosition above class MarketDataAdapter moved its @runtime_checkable decorator onto the new dataclass, and left the protocol without it.</t>
        </is>
      </c>
      <c r="F142" s="76" t="inlineStr">
        <is>
          <t>Caught by mypy before any test ran, exactly as QA-E15-18 was. Recorded because the lesson had been written down - in CLAUDE.md, under things that turned out false - and did not prevent the repeat. The type checker prevented both. The useful conclusion is about where the defence lives, not about remembering harder.</t>
        </is>
      </c>
      <c r="G142" s="76" t="inlineStr">
        <is>
          <t>mypy src/ (the gate that caught it); git diff confirms both @runtime_checkable decorators are where they were.</t>
        </is>
      </c>
    </row>
    <row r="143" ht="150" customHeight="1" s="59">
      <c r="A143" s="76" t="inlineStr">
        <is>
          <t>QA-E15-23</t>
        </is>
      </c>
      <c r="B143" s="76" t="inlineStr">
        <is>
          <t>E15-S09</t>
        </is>
      </c>
      <c r="C143" s="76" t="inlineStr">
        <is>
          <t>A working partial entry that kept filling left shares naked, silently, forever</t>
        </is>
      </c>
      <c r="D143" s="76" t="inlineStr">
        <is>
          <t>FAIL -&gt; Fixed in E15-S12</t>
        </is>
      </c>
      <c r="E143" s="76" t="inlineStr">
        <is>
          <t>Found during E15-S12's research, in code already on QA. Entry for 100 fills 40 and stays working; the loop exits the 40 as unbooked (correct); 30 more fill. Every later cycle: open quantity 30, exit_is_live(holding) -&gt; the SQUAREOFF key's order is FILLED, which is_live counts as live -&gt; skip. Result: net 30 long, no stop, no exit, no halt, no alert, for the rest of the day.</t>
        </is>
      </c>
      <c r="F143" s="76" t="inlineStr">
        <is>
          <t>CRITICAL by the bug bar - a fail-open unprotected position. Two defects compound: the day's exit key can be used once, and 'is an exit live' was answering 'did an exit ever exist'. A FILLED exit covers the shares it sold, not shares bought after it. Probed with the real gateway, ProtectiveStop and Reconciler before any fix was written; the component tests could not see it because no double ever let an entry keep filling after it had been acted on.</t>
        </is>
      </c>
      <c r="G143" s="76" t="inlineStr">
        <is>
          <t>tests/unit/test_reconciliation.py (E15-S12 additions) and SIT-20; see E15-S12.</t>
        </is>
      </c>
    </row>
    <row r="144" ht="150" customHeight="1" s="59">
      <c r="A144" s="76" t="inlineStr">
        <is>
          <t>QA-E15-24</t>
        </is>
      </c>
      <c r="B144" s="76" t="inlineStr">
        <is>
          <t>E15-S09</t>
        </is>
      </c>
      <c r="C144" s="76" t="inlineStr">
        <is>
          <t>Two tests asserted what a fake allowed and the real system forbids</t>
        </is>
      </c>
      <c r="D144" s="76" t="inlineStr">
        <is>
          <t>FAIL -&gt; Fixed</t>
        </is>
      </c>
      <c r="E144" s="76" t="inlineStr">
        <is>
          <t>test_a_holding_whose_exit_is_already_working_is_not_exited_again modelled 'an exit is working' by telling the fake protector exit_is_live=True. test_only_the_open_remainder_is_exited asserted an exit for the 25 left after a cancelled partial exit.</t>
        </is>
      </c>
      <c r="F144" s="76" t="inlineStr">
        <is>
          <t>The second asserted a capability the system does not have: the day's SQUAREOFF key was spent, so the real gateway would have resumed the cancelled exit rather than place a new one, and ended in a halt. It passed only because the fake exit_now accepted any call. A double more capable than the real thing proves things that are not true - QA-E15-12's family, from the other side. Rewritten to assert what reality allows (a halt, EXIT_SPENT) and to model a working exit as a real order in the snapshot.</t>
        </is>
      </c>
      <c r="G144" s="76" t="inlineStr">
        <is>
          <t>tests/unit/test_reconciliation.py::TestAc7UnbookedHoldings</t>
        </is>
      </c>
    </row>
    <row r="145" ht="150" customHeight="1" s="59">
      <c r="A145" s="76" t="inlineStr">
        <is>
          <t>QA-E15-25</t>
        </is>
      </c>
      <c r="B145" s="76" t="inlineStr">
        <is>
          <t>E15-S12</t>
        </is>
      </c>
      <c r="C145" s="76" t="inlineStr">
        <is>
          <t>A position manager with no calendar constructed fine and failed at its first booking</t>
        </is>
      </c>
      <c r="D145" s="76" t="inlineStr">
        <is>
          <t>FAIL -&gt; Fixed</t>
        </is>
      </c>
      <c r="E145" s="76" t="inlineStr">
        <is>
          <t>PositionManager took calendar: Any and used it only inside open_from_fill. Built with None, it failed at the first booking - inside a reconciliation cycle, as an error the cycle recorded and moved past.</t>
        </is>
      </c>
      <c r="F145" s="76" t="inlineStr">
        <is>
          <t>Found by the integration tests, whose wiring had passed None since E15-S09 when nothing booked. Mis-wired in production, every fill would quietly have become an exit. Now refused at construction - the same rule the manager's store follows: an absent capability must not read as a satisfied one.</t>
        </is>
      </c>
      <c r="G145" s="76" t="inlineStr">
        <is>
          <t>tests/unit/test_positions.py::TestTheCalendarIsRequiredUpFront. Mutation M20.</t>
        </is>
      </c>
    </row>
    <row r="146" ht="150" customHeight="1" s="59">
      <c r="A146" s="76" t="inlineStr">
        <is>
          <t>QA-E15-26</t>
        </is>
      </c>
      <c r="B146" s="76" t="inlineStr">
        <is>
          <t>E15-S09</t>
        </is>
      </c>
      <c r="C146" s="76" t="inlineStr">
        <is>
          <t>An integration helper committed its session and leaked rows into later files</t>
        </is>
      </c>
      <c r="D146" s="76" t="inlineStr">
        <is>
          <t>FAIL -&gt; Fixed</t>
        </is>
      </c>
      <c r="E146" s="76" t="inlineStr">
        <is>
          <t>_drift_rows called session.commit() to see the audit writer's rows. That persisted the test's orders and positions past its rollback. test_position_manager_wiring's exactly-one-row assertions then failed - but only when the reconciliation file ran first.</t>
        </is>
      </c>
      <c r="F146" s="76" t="inlineStr">
        <is>
          <t>The commit was never needed: under READ COMMITTED a new statement already sees rows another session committed. Order-dependent failures are findings, not flakes; this one was invisible in the suite's normal alphabetical order.</t>
        </is>
      </c>
      <c r="G146" s="76" t="inlineStr">
        <is>
          <t>Both files, run in the adverse order: 33 passed.</t>
        </is>
      </c>
    </row>
    <row r="147" ht="150" customHeight="1" s="59">
      <c r="A147" s="76" t="inlineStr">
        <is>
          <t>QA-E15-27</t>
        </is>
      </c>
      <c r="B147" s="76" t="inlineStr">
        <is>
          <t>E15-S12</t>
        </is>
      </c>
      <c r="C147" s="76" t="inlineStr">
        <is>
          <t>A test written to kill a mutation survivor passed for the wrong reason</t>
        </is>
      </c>
      <c r="D147" s="76" t="inlineStr">
        <is>
          <t>FAIL -&gt; Fixed</t>
        </is>
      </c>
      <c r="E147" s="76" t="inlineStr">
        <is>
          <t>The direct test for mutation M15 (booking a doubted correlation) passed with the mutation applied. Its broker fill had no average price, so confirm_fill refused it as contradictory and booking failed on THAT, whatever the doubted check did.</t>
        </is>
      </c>
      <c r="F147" s="76" t="inlineStr">
        <is>
          <t>Found only because the survivor was re-run after the test was added, rather than the test being trusted. Each of these tests now asserts the cycle recorded no errors, and the booking test has a control that books.</t>
        </is>
      </c>
      <c r="G147" s="76" t="inlineStr">
        <is>
          <t>tests/unit/test_reconciliation.py::TestS12TheSecondLayersHoldOnTheirOwn. M4 and M15 killed on re-run.</t>
        </is>
      </c>
    </row>
    <row r="148" ht="150" customHeight="1" s="59">
      <c r="A148" s="76" t="inlineStr">
        <is>
          <t>QA-E15-28</t>
        </is>
      </c>
      <c r="B148" s="76" t="inlineStr">
        <is>
          <t>E15-S09</t>
        </is>
      </c>
      <c r="C148" s="76" t="inlineStr">
        <is>
          <t>The reconciliation integration file left audit rows for whichever file ran next</t>
        </is>
      </c>
      <c r="D148" s="76" t="inlineStr">
        <is>
          <t>FAIL -&gt; Fixed</t>
        </is>
      </c>
      <c r="E148" s="76" t="inlineStr">
        <is>
          <t>The full gate failed test_repositories::test_max_seq_starts_at_zero - an empty chain expected, 4 rows found. The reconciliation wiring tests write through the real AuditWriter, which commits in its own session; their fixture cleared decision_log at the START of each test but not the end.</t>
        </is>
      </c>
      <c r="F148" s="76" t="inlineStr">
        <is>
          <t>The leak existed since E15-S09 and was masked by test order: the file's last test then wrote nothing. E15-S12's booking tests, now last, write BOOKED and CLOSED rows. Second order-dependent leak from the same file in one story (QA-E15-26 was the first) - a fixture that shares a table must leave it as it found it, at both ends. Found by the full gate, not by running the new tests.</t>
        </is>
      </c>
      <c r="G148" s="76" t="inlineStr">
        <is>
          <t>The three files in suite order: 77 passed; full gate re-run.</t>
        </is>
      </c>
    </row>
    <row r="149">
      <c r="A149" s="76" t="inlineStr">
        <is>
          <t>QA-VER-01</t>
        </is>
      </c>
      <c r="B149" s="76" t="inlineStr">
        <is>
          <t>Whole system</t>
        </is>
      </c>
      <c r="C149" s="76" t="inlineStr">
        <is>
          <t>Verification of everything built, 27 Oct 2026: every built package read for edge cases and security, probes for each suspicion, fixes with tests.</t>
        </is>
      </c>
      <c r="D149" s="76" t="inlineStr">
        <is>
          <t>FAIL -&gt; Fixed</t>
        </is>
      </c>
      <c r="E149" s="76" t="inlineStr">
        <is>
          <t>16 findings in built code (AUDIT-006..021: 1 CRITICAL latent, 6 HIGH, 4 MEDIUM, 5 LOW), 4 dependency findings (DEP-004..007), 1 SIT harness defect (SIT-008). See Security Findings / SIT Defects for each.</t>
        </is>
      </c>
      <c r="F149" s="76" t="inlineStr">
        <is>
          <t>Recurring shapes, each now covered structurally: a denylist where an allowlist was needed (is_live); a declaration enforced by nothing (strategy constraints, three indexes); 'unknown' reading as a safe value (slots, entries_today); a filter whose baseline could lock (outlier); a credential in a plain str (KiteFeed); two objects passed separately with nothing tying them (decision/recommendation).</t>
        </is>
      </c>
      <c r="G149" s="76" t="inlineStr">
        <is>
          <t>Full gate: 2,427 -&gt; 2,581 passed, 0 skipped, coverage 93% (flat); ruff, format, mypy, bandit clean; pip-audit clean with 6 assessed ignores. Mutation testing on the fixes: 33/33 mutations killed (32/33 first run; M32 survivor verified benign - anchors refused first - and closed with an alias-only test). DEV CI on 0418b2d then failed (lint scope, two advisories published that morning) - fixed and recorded as AUDIT-022, DEP-008, DEP-009. PROMOTED AND RUN ON THE QA TREE, 27 Oct 2026: QA 6c04290 (DEV 6913103), CI green on DEV and QA. The whole suite run from a worktree of the QA branch (algotrader confirmed loaded from that tree): 2,581 passed, 0 failed - 2,567 in the first run plus 14 caplog tests that errored only because the run disabled pytest's logging plugin, re-run on the same tree with it enabled. 181 SIT scenarios among them. Documents/, scripts/tracker, .claude absent from QA.</t>
        </is>
      </c>
    </row>
    <row r="150">
      <c r="A150" s="76" t="inlineStr">
        <is>
          <t>QA-VER-02</t>
        </is>
      </c>
      <c r="B150" s="76" t="inlineStr">
        <is>
          <t>Process</t>
        </is>
      </c>
      <c r="C150" s="76" t="inlineStr">
        <is>
          <t>Accuracy review of the /sdlc skill against the repository, CI and the tracker, 28 Oct 2026.</t>
        </is>
      </c>
      <c r="D150" s="76" t="inlineStr">
        <is>
          <t>FAIL -&gt; Fixed</t>
        </is>
      </c>
      <c r="E150" s="76" t="inlineStr">
        <is>
          <t>Every command, path and claim in .claude/skills/sdlc/SKILL.md checked against the repo. Inaccurate and corrected: (1) Rule 1 cited a PROD gate the promotion tool never runs (AUDIT-023); (2) `make audit`/`make test-safety`/`make doctor` - make is not installed on the development machine; direct commands given; (3) R2 'dependencies are Closed' - only E00/E01 are Closed and every E14/E15 story rightly started on QA-Success dependencies; R2 now QA-Success-or-Closed, with a status lifecycle table the skill never had; (4) promote.py strips Documents, scripts/tracker AND .claude, not Documents only; (5) the commit template hard-coded 'Claude Opus 5'; (6) the doctor gate exits 1 on any dev machine (no deployment secrets) so 'every gate green' could never pass - the expected vs blocking sections are now stated; (7) Phase 0's 'unpromoted work' query lists docs-only commits forever; the promote.py dry run is now the check; (8) the tracker artifact URL belongs to an earlier account and has been unreachable since 15 Oct 2026 - the refusal procedure is now written instead of a dead end; (9) 'tested in test_safety_invariants.py' - invariants 3 and 5 are tested in its neighbours. Missing and added: Docker and '0 skipped' as part of green (15 Oct: 332 skipped looked green), the constrained install, CI's exact lint scope, re-running the audit before push, reproducing CI-only failures in python:3.11-slim-bookworm (job logs need admin), the SIT worktree procedure, the caplog/-p no:logging pitfall, mutation-harness rules (byte-exact restore, nothing else running, wrong-reason survivors), the CI-only jobs (image build, gitleaks).</t>
        </is>
      </c>
      <c r="F150" s="76" t="inlineStr">
        <is>
          <t>The verified parts: the String(28) example (exactly three check names exceed it), the E14-S01 dependency correction and the NSE holiday triangulation are as stated in the tracker and config; every referenced file exists; the SIT scenario list matches tests/sit. ENGINEERING_STANDARD.md had the same stale R2, audit command and make-based gate - corrected in step, since the skill defers to it on process.</t>
        </is>
      </c>
      <c r="G150" s="76" t="inlineStr">
        <is>
          <t>Each corrected command was executed as written on 28 Oct 2026: the derived pip-audit line (7 ignored, 0 found), the SIT worktree procedure (181 passed on QA 6c04290, algotrader loaded from the worktree), promote.py refusing DEV-&gt;PROD, QA-&gt;PROD and DEV-&gt;main and passing the CI check on DEV's head, doctor (Configuration, Broker SDK, Market calendar, Strategies OK; Datastores FAIL as stated).</t>
        </is>
      </c>
    </row>
  </sheetData>
  <autoFilter ref="A4:G20"/>
  <mergeCells count="2">
    <mergeCell ref="A2:G2"/>
    <mergeCell ref="A1:G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K80"/>
  <sheetViews>
    <sheetView workbookViewId="0">
      <pane ySplit="4" topLeftCell="A5" activePane="bottomLeft" state="frozen"/>
      <selection pane="bottomLeft" activeCell="A1" sqref="A1"/>
    </sheetView>
  </sheetViews>
  <sheetFormatPr baseColWidth="8" defaultRowHeight="15"/>
  <cols>
    <col width="11" customWidth="1" style="59" min="1" max="1"/>
    <col width="10" customWidth="1" style="59" min="2" max="2"/>
    <col width="16" customWidth="1" style="59" min="3" max="3"/>
    <col width="9" customWidth="1" style="59" min="4" max="4"/>
    <col width="58" customWidth="1" style="59" min="5" max="5"/>
    <col width="52" customWidth="1" style="59" min="6" max="6"/>
    <col width="52" customWidth="1" style="59" min="7" max="7"/>
    <col width="34" customWidth="1" style="59" min="8" max="8"/>
    <col width="14" customWidth="1" style="59" min="10" max="10"/>
    <col width="10" customWidth="1" style="59" min="11" max="11"/>
  </cols>
  <sheetData>
    <row r="1" ht="24" customHeight="1" s="59">
      <c r="A1" s="61" t="inlineStr">
        <is>
          <t>SECURITY FINDINGS — E01 PENETRATION TEST</t>
        </is>
      </c>
    </row>
    <row r="2" ht="30" customHeight="1" s="59">
      <c r="A2" s="62" t="inlineStr">
        <is>
          <t>Findings from attacking the code rather than reviewing it. Threat model: broker instrument data is untrusted external input; news and AI output reach audit payloads; an attacker WITH database access is IN SCOPE for the audit chain — that is why it is hash-chained, not merely append-only. Every finding has a regression test that fails if it is reintroduced.</t>
        </is>
      </c>
    </row>
    <row r="3"/>
    <row r="4">
      <c r="A4" s="63" t="inlineStr">
        <is>
          <t>ID</t>
        </is>
      </c>
      <c r="B4" s="63" t="inlineStr">
        <is>
          <t>Severity</t>
        </is>
      </c>
      <c r="C4" s="63" t="inlineStr">
        <is>
          <t>Component</t>
        </is>
      </c>
      <c r="D4" s="63" t="inlineStr">
        <is>
          <t>Status</t>
        </is>
      </c>
      <c r="E4" s="63" t="inlineStr">
        <is>
          <t>Vulnerability</t>
        </is>
      </c>
      <c r="F4" s="63" t="inlineStr">
        <is>
          <t>Impact</t>
        </is>
      </c>
      <c r="G4" s="63" t="inlineStr">
        <is>
          <t>Fix</t>
        </is>
      </c>
      <c r="H4" s="63" t="inlineStr">
        <is>
          <t>Regression test</t>
        </is>
      </c>
      <c r="J4" s="64" t="inlineStr">
        <is>
          <t>Severity</t>
        </is>
      </c>
      <c r="K4" s="64" t="inlineStr">
        <is>
          <t>Count</t>
        </is>
      </c>
    </row>
    <row r="5" ht="58" customHeight="1" s="59">
      <c r="A5" s="65" t="inlineStr">
        <is>
          <t>QA-SEC-01</t>
        </is>
      </c>
      <c r="B5" s="68" t="inlineStr">
        <is>
          <t>HIGH</t>
        </is>
      </c>
      <c r="C5" s="65" t="inlineStr">
        <is>
          <t>Audit chain</t>
        </is>
      </c>
      <c r="D5" s="66" t="inlineStr">
        <is>
          <t>Fixed</t>
        </is>
      </c>
      <c r="E5" s="67" t="inlineStr">
        <is>
          <t>Hash collision via delimiter ambiguity. Material was '|'.join(fields) with the delimiter unescaped, so a field containing '|' shifted the boundary: stage='SIGNAL'/outcome='ALLOW|X' and stage='SIGNAL|ALLOW'/outcome='X' produced an IDENTICAL digest.</t>
        </is>
      </c>
      <c r="F5" s="67" t="inlineStr">
        <is>
          <t>Defeats tamper-evidence entirely — a record could be substituted for another without breaking the chain. Same class as CVE-2012-2459 (Merkle ambiguity).</t>
        </is>
      </c>
      <c r="G5" s="67" t="inlineStr">
        <is>
          <t>Length-prefix every field (len:value), making the encoding injective, plus an 'AUDITv2' domain-separation tag. Standard remedy for concatenation ambiguity.</t>
        </is>
      </c>
      <c r="H5" s="67" t="inlineStr">
        <is>
          <t>5 parametrised collision probes + determinism control</t>
        </is>
      </c>
      <c r="J5" t="inlineStr">
        <is>
          <t>HIGH</t>
        </is>
      </c>
      <c r="K5" t="n">
        <v>6</v>
      </c>
    </row>
    <row r="6" ht="58" customHeight="1" s="59">
      <c r="A6" s="65" t="inlineStr">
        <is>
          <t>QA-SEC-05</t>
        </is>
      </c>
      <c r="B6" s="68" t="inlineStr">
        <is>
          <t>HIGH</t>
        </is>
      </c>
      <c r="C6" s="65" t="inlineStr">
        <is>
          <t>Audit writer</t>
        </is>
      </c>
      <c r="D6" s="66" t="inlineStr">
        <is>
          <t>Fixed</t>
        </is>
      </c>
      <c r="E6" s="67" t="inlineStr">
        <is>
          <t>decision_log.symbol_id foreign key blocked the audit writer. PostgreSQL takes a shared lock on the referenced row to validate the FK, so an audit write referencing an instrument whose row is uncommitted waits for that business transaction.</t>
        </is>
      </c>
      <c r="F6" s="67" t="inlineStr">
        <is>
          <t>Defeats the reason AuditWriter uses an independent session. During the daily instrument sync — one transaction, thousands of rows — every concurrent audit write for those symbols stalls, then falls to the disk buffer at statement_timeout. The audit trail degrades because of an unrelated bulk write.</t>
        </is>
      </c>
      <c r="G6" s="67" t="inlineStr">
        <is>
          <t>Dropped the FK; kept the column. An audit log must be writable unconditionally and must outlive delisted instruments. TimescaleDB refuses to add an FK to a compressed hypertable at all, which is further evidence it never belonged.</t>
        </is>
      </c>
      <c r="H6" s="67" t="inlineStr">
        <is>
          <t>Two-session probe before and after the fix; E2E suite</t>
        </is>
      </c>
      <c r="J6" t="inlineStr">
        <is>
          <t>MEDIUM</t>
        </is>
      </c>
      <c r="K6" t="n">
        <v>7</v>
      </c>
    </row>
    <row r="7" ht="58" customHeight="1" s="59">
      <c r="A7" s="65" t="inlineStr">
        <is>
          <t>QA-SEC-03</t>
        </is>
      </c>
      <c r="B7" s="69" t="inlineStr">
        <is>
          <t>MEDIUM</t>
        </is>
      </c>
      <c r="C7" s="65" t="inlineStr">
        <is>
          <t>Redis keyspace</t>
        </is>
      </c>
      <c r="D7" s="66" t="inlineStr">
        <is>
          <t>Fixed</t>
        </is>
      </c>
      <c r="E7" s="67" t="inlineStr">
        <is>
          <t>Broker-supplied symbols flowed unvalidated into Redis key names. ':' shifts key boundaries so two logical states share one slot; '*' and '?' are glob wildcards in any SCAN; '\n' and '\x00' are accepted by Redis but rejected by PostgreSQL.</t>
        </is>
      </c>
      <c r="F7" s="67" t="inlineStr">
        <is>
          <t>Silent state corruption in a component holding positions and the kill switch. None of these raise — the wrong value is simply read.</t>
        </is>
      </c>
      <c r="G7" s="67" t="inlineStr">
        <is>
          <t>Validate every key component against an allowlist. Deliberately permits &amp; and - so real NSE tickers (M&amp;M, BAJAJ-AUTO, L&amp;TFH) are not broken — verified by a control test.</t>
        </is>
      </c>
      <c r="H7" s="67" t="inlineStr">
        <is>
          <t>10 hostile inputs x 4 builders + 5 real-symbol controls</t>
        </is>
      </c>
      <c r="J7" t="inlineStr">
        <is>
          <t>LOW</t>
        </is>
      </c>
      <c r="K7" t="n">
        <v>2</v>
      </c>
    </row>
    <row r="8" ht="58" customHeight="1" s="59">
      <c r="A8" s="65" t="inlineStr">
        <is>
          <t>QA-SEC-02</t>
        </is>
      </c>
      <c r="B8" s="69" t="inlineStr">
        <is>
          <t>MEDIUM</t>
        </is>
      </c>
      <c r="C8" s="65" t="inlineStr">
        <is>
          <t>Audit payload</t>
        </is>
      </c>
      <c r="D8" s="66" t="inlineStr">
        <is>
          <t>Fixed</t>
        </is>
      </c>
      <c r="E8" s="67" t="inlineStr">
        <is>
          <t>json.dumps coerces non-string keys, so {1:'a'} and {'1':'a'} serialised identically — two different payloads, one hash. {1:'a','1':'b'} emitted a duplicate JSON key.</t>
        </is>
      </c>
      <c r="F8" s="67" t="inlineStr">
        <is>
          <t>Canonicalisation defect in a structure whose only purpose is to be canonical.</t>
        </is>
      </c>
      <c r="G8" s="67" t="inlineStr">
        <is>
          <t>Reject non-string keys at any depth, at the boundary, rather than coercing them.</t>
        </is>
      </c>
      <c r="H8" s="67" t="inlineStr">
        <is>
          <t>6 payload shapes refused + serialisation control</t>
        </is>
      </c>
      <c r="J8" t="inlineStr">
        <is>
          <t>INFO</t>
        </is>
      </c>
      <c r="K8" t="n">
        <v>1</v>
      </c>
    </row>
    <row r="9" ht="58" customHeight="1" s="59">
      <c r="A9" s="65" t="inlineStr">
        <is>
          <t>QA-SEC-06</t>
        </is>
      </c>
      <c r="B9" s="70" t="inlineStr">
        <is>
          <t>LOW</t>
        </is>
      </c>
      <c r="C9" s="65" t="inlineStr">
        <is>
          <t>Input validation</t>
        </is>
      </c>
      <c r="D9" s="66" t="inlineStr">
        <is>
          <t>Fixed</t>
        </is>
      </c>
      <c r="E9" s="67" t="inlineStr">
        <is>
          <t>The key-rejection message echoed the entire rejected value, so a hostile 200 KB ticker produced 200 KB of log.</t>
        </is>
      </c>
      <c r="F9" s="67" t="inlineStr">
        <is>
          <t>Denial of service against the log pipeline, and a log-injection vector.</t>
        </is>
      </c>
      <c r="G9" s="67" t="inlineStr">
        <is>
          <t>Truncate the echo to 64 characters and report the true length instead.</t>
        </is>
      </c>
      <c r="H9" s="67" t="inlineStr">
        <is>
          <t>Asserts the message stays under 2 KB</t>
        </is>
      </c>
    </row>
    <row r="10" ht="58" customHeight="1" s="59">
      <c r="A10" s="65" t="inlineStr">
        <is>
          <t>QA-SEC-04</t>
        </is>
      </c>
      <c r="B10" s="70" t="inlineStr">
        <is>
          <t>LOW</t>
        </is>
      </c>
      <c r="C10" s="65" t="inlineStr">
        <is>
          <t>Event streams</t>
        </is>
      </c>
      <c r="D10" s="66" t="inlineStr">
        <is>
          <t>Fixed</t>
        </is>
      </c>
      <c r="E10" s="67" t="inlineStr">
        <is>
          <t>stream_dlq was not idempotent: a DLQ entry that itself failed produced stream:dlq:dlq:signals, then stream:dlq:dlq:dlq:signals.</t>
        </is>
      </c>
      <c r="F10" s="67" t="inlineStr">
        <is>
          <t>Unbounded key growth under repeated failure, and each new key escapes the MAXLEN configured for the stream it came from — which under noeviction is how Redis stops accepting writes.</t>
        </is>
      </c>
      <c r="G10" s="67" t="inlineStr">
        <is>
          <t>Strip an existing dlq: prefix so the operation is idempotent.</t>
        </is>
      </c>
      <c r="H10" s="67" t="inlineStr">
        <is>
          <t>Applied 5 times, key must remain stable</t>
        </is>
      </c>
    </row>
    <row r="11" ht="58" customHeight="1" s="59">
      <c r="A11" s="65" t="inlineStr">
        <is>
          <t>QA-SEC-07</t>
        </is>
      </c>
      <c r="B11" s="65" t="inlineStr">
        <is>
          <t>INFO</t>
        </is>
      </c>
      <c r="C11" s="65" t="inlineStr">
        <is>
          <t>Regex validation</t>
        </is>
      </c>
      <c r="D11" s="66" t="inlineStr">
        <is>
          <t>Fixed</t>
        </is>
      </c>
      <c r="E11" s="67" t="inlineStr">
        <is>
          <t>The first version of the key filter used re.compile(r'^...$').match(). In Python '$' also matches immediately BEFORE a trailing newline, so 'svc\n' passed validation.</t>
        </is>
      </c>
      <c r="F11" s="67" t="inlineStr">
        <is>
          <t>A newline reached the keyspace despite an apparently correct anchored pattern. Classic and easy to miss on review.</t>
        </is>
      </c>
      <c r="G11" s="67" t="inlineStr">
        <is>
          <t>Switched to fullmatch, which has no trailing-newline exception.</t>
        </is>
      </c>
      <c r="H11" s="67" t="inlineStr">
        <is>
          <t>Found by the pen-test suite failing on its own first run</t>
        </is>
      </c>
    </row>
    <row r="12">
      <c r="A12" s="65" t="inlineStr">
        <is>
          <t>QA-SEC-08</t>
        </is>
      </c>
      <c r="B12" s="65" t="inlineStr">
        <is>
          <t>HIGH</t>
        </is>
      </c>
      <c r="C12" s="65" t="inlineStr">
        <is>
          <t>Pre-flight gate (doctor.py)</t>
        </is>
      </c>
      <c r="D12" s="66" t="inlineStr">
        <is>
          <t>Fixed</t>
        </is>
      </c>
      <c r="E12" s="67" t="inlineStr">
        <is>
          <t>check_secrets hardcoded ANGELONE_API_KEY / CLIENT_ID / TOTP_SECRET while config sets broker.primary = zerodha. Those three variables appear NOWHERE else in the repo — not in .env.example, not in SETUP.md.</t>
        </is>
      </c>
      <c r="F12" s="67" t="inlineStr">
        <is>
          <t>The gate before real capital validated a broker this deployment never uses. In LIVE mode it would hard-FAIL on credentials nobody was told to set, while reporting nothing at all about the Kite credentials actually required. A pre-flight check that validates the wrong aircraft is worse than none, because it reports green.</t>
        </is>
      </c>
      <c r="G12" s="67" t="inlineStr">
        <is>
          <t>Moved the variable names onto BrokerProfile.credential_env_vars and made doctor derive them from broker.primary / broker.fallback. Fallback gaps degrade coverage rather than blocking trading.</t>
        </is>
      </c>
      <c r="H12" s="67" t="inlineStr">
        <is>
          <t>4 tests incl. switching the configured broker switches what is checked, and a cross-check that every declared variable exists in .env.example</t>
        </is>
      </c>
    </row>
    <row r="13">
      <c r="A13" s="65" t="inlineStr">
        <is>
          <t>QA-SEC-09</t>
        </is>
      </c>
      <c r="B13" s="65" t="inlineStr">
        <is>
          <t>MEDIUM</t>
        </is>
      </c>
      <c r="C13" s="65" t="inlineStr">
        <is>
          <t>Pre-flight gate (doctor.py)</t>
        </is>
      </c>
      <c r="D13" s="66" t="inlineStr">
        <is>
          <t>Fixed</t>
        </is>
      </c>
      <c r="E13" s="67" t="inlineStr">
        <is>
          <t>BR-20 requires doctor to FAIL when the NSE holiday calendar is unverified. check_market_calendar only ever WARNED — including in LIVE mode.</t>
        </is>
      </c>
      <c r="F13" s="67" t="inlineStr">
        <is>
          <t>The system could go live with a fixed-date-only calendar, treating Diwali or any lunar-calendar holiday as a normal trading day: it would run the pre-market pipeline against data that never arrives and compute indicators across a phantom session. Nothing errors.</t>
        </is>
      </c>
      <c r="G13" s="67" t="inlineStr">
        <is>
          <t>Escalated to fail when mode is LIVE, kept as a warning otherwise so development stays usable.</t>
        </is>
      </c>
      <c r="H13" s="67" t="inlineStr">
        <is>
          <t>Live-mode and paper-mode branches both asserted in test_preflight_gate.py</t>
        </is>
      </c>
    </row>
    <row r="14">
      <c r="A14" s="65" t="inlineStr">
        <is>
          <t>QA-SEC-10</t>
        </is>
      </c>
      <c r="B14" s="65" t="inlineStr">
        <is>
          <t>MEDIUM</t>
        </is>
      </c>
      <c r="C14" s="65" t="inlineStr">
        <is>
          <t>Broker adapter</t>
        </is>
      </c>
      <c r="D14" s="66" t="inlineStr">
        <is>
          <t>Fixed</t>
        </is>
      </c>
      <c r="E14" s="67" t="inlineStr">
        <is>
          <t>ReadOnlyGuard — the mixin that stops a read-only adapter placing orders — had zero test coverage. broker/adapter.py measured 0%.</t>
        </is>
      </c>
      <c r="F14" s="67" t="inlineStr">
        <is>
          <t>MASTER_REFERENCE and LOW_LEVEL_ARCHITECTURE both claim that compromising any service other than execution-svc cannot place an order. That guarantee rested entirely on three raise statements that no test exercised; deleting them broke nothing.</t>
        </is>
      </c>
      <c r="G14" s="67" t="inlineStr">
        <is>
          <t>Added probes for place/modify/cancel, plus a structural test that fails if TradingAdapter gains a new mutating method the guard does not override.</t>
        </is>
      </c>
      <c r="H14" s="67" t="inlineStr">
        <is>
          <t>6 tests in test_safety_invariants.py</t>
        </is>
      </c>
    </row>
    <row r="15">
      <c r="A15" s="65" t="inlineStr">
        <is>
          <t>QA-SEC-11</t>
        </is>
      </c>
      <c r="B15" s="65" t="inlineStr">
        <is>
          <t>HIGH</t>
        </is>
      </c>
      <c r="C15" s="65" t="inlineStr">
        <is>
          <t>Log redaction</t>
        </is>
      </c>
      <c r="D15" s="66" t="inlineStr">
        <is>
          <t>Fixed</t>
        </is>
      </c>
      <c r="E15" s="67" t="inlineStr">
        <is>
          <t>Secrets survived redaction and reached the log via TWO paths the filter never touched: (1) exc_info=True, because logging.Formatter renders record.exc_info itself long after every filter has run; (2) an exception passed as a format arg, because _scrub_value only handled str/dict/list so an Exception object fell through and the formatter called str() on it later.</t>
        </is>
      </c>
      <c r="F15" s="67" t="inlineStr">
        <is>
          <t>Violates invariant 3 and C6. engine.healthcheck logs with exc_info=True by design, and SQLAlchemy/psycopg/Alembic all put the connection URL in their exceptions - so the FIRST failed database healthcheck would write the DSN password to disk in clear text. The message path was perfectly redacted the whole time.</t>
        </is>
      </c>
      <c r="G15" s="67" t="inlineStr">
        <is>
          <t>Pre-render and scrub record.exc_text (the formatter uses it verbatim when set, and only falls back to exc_info when it is empty); scrub stack_info; render BaseException through the scrubber in _scrub_value.</t>
        </is>
      </c>
      <c r="H15" s="67" t="inlineStr">
        <is>
          <t>6 tests: exc_info, exception-as-arg, chained cause, stack_info, an opaque registered value with no regex shape, plus a control that the host and exception type still survive</t>
        </is>
      </c>
    </row>
    <row r="16">
      <c r="A16" s="65" t="inlineStr">
        <is>
          <t>QA-SEC-12</t>
        </is>
      </c>
      <c r="B16" s="65" t="inlineStr">
        <is>
          <t>HIGH</t>
        </is>
      </c>
      <c r="C16" s="65" t="inlineStr">
        <is>
          <t>Database privileges</t>
        </is>
      </c>
      <c r="D16" s="66" t="inlineStr">
        <is>
          <t>Fixed</t>
        </is>
      </c>
      <c r="E16" s="67" t="inlineStr">
        <is>
          <t>corporate_action shipped with NO grants at all for algotrader_app, and its sequence had no USAGE. The grant migration enumerates tables BY NAME and ran long before the table existed.</t>
        </is>
      </c>
      <c r="F16" s="67" t="inlineStr">
        <is>
          <t>The entire E03-S02 adjustment path was dead behind a permission nobody had granted: InsufficientPrivilege on INSERT from the feed and on the SELECT inside recompute_factors. Every test passed because the harness connects as the table owner - the failure would have surfaced only in production.</t>
        </is>
      </c>
      <c r="G16" s="67" t="inlineStr">
        <is>
          <t>Migration b7c2f9a41d38 grants the table and its sequence, guarded so it is runnable where the role does not exist. Verified upgrade -&gt; downgrade -&gt; upgrade.</t>
        </is>
      </c>
      <c r="H16" s="67" t="inlineStr">
        <is>
          <t>5 tests comparing the LIVE catalogue against Base.metadata, so any future table without grants fails immediately; plus an end-to-end write under SET ROLE algotrader_app</t>
        </is>
      </c>
    </row>
    <row r="17">
      <c r="A17" s="65" t="inlineStr">
        <is>
          <t>QA-SEC-13</t>
        </is>
      </c>
      <c r="B17" s="65" t="inlineStr">
        <is>
          <t>MEDIUM</t>
        </is>
      </c>
      <c r="C17" s="65" t="inlineStr">
        <is>
          <t>Supply chain</t>
        </is>
      </c>
      <c r="D17" s="66" t="inlineStr">
        <is>
          <t>Fixed</t>
        </is>
      </c>
      <c r="E17" s="67" t="inlineStr">
        <is>
          <t>No lockfile anywhere. pyproject declares floors (&gt;=), so CI, the Docker build and a developer laptop each resolved dependencies independently.</t>
        </is>
      </c>
      <c r="F17" s="67" t="inlineStr">
        <is>
          <t>The image was not the artifact CI tested; builds were not reproducible; a breaking or compromised upstream release would land automatically on a system that holds broker credentials. The pinned ruff/mypy lines record this exact lesson for linters but it was never applied to runtime dependencies.</t>
        </is>
      </c>
      <c r="G17" s="67" t="inlineStr">
        <is>
          <t>constraints.txt with 116 pins, generated inside the SAME Linux image the Dockerfile builds from (a Windows freeze would omit uvloop and add Windows-only wheels). Wired into the Dockerfile and all three CI install steps.</t>
        </is>
      </c>
      <c r="H17" s="67" t="inlineStr">
        <is>
          <t>Image rebuilt and verified: runs non-root, imports cleanly, pins applied (SQLAlchemy 2.0.51). pip-audit re-run against the pinned set - no new vulnerabilities.</t>
        </is>
      </c>
    </row>
    <row r="18">
      <c r="A18" s="65" t="inlineStr">
        <is>
          <t>QA-SEC-14</t>
        </is>
      </c>
      <c r="B18" s="65" t="inlineStr">
        <is>
          <t>HIGH</t>
        </is>
      </c>
      <c r="C18" s="65" t="inlineStr">
        <is>
          <t>Rate limiter (E01-S03 primitive)</t>
        </is>
      </c>
      <c r="D18" s="66" t="inlineStr">
        <is>
          <t>Fixed</t>
        </is>
      </c>
      <c r="E18" s="67" t="inlineStr">
        <is>
          <t>The Redis token bucket took its clock from the CALLER (time.time() in Python, computed before the await) and wrote it to the bucket unconditionally. Concurrent callers stamp their own time and then arrive at Redis in a different order, so a late-arriving request REWINDS the stored timestamp and the next caller measures elapsed time from that older mark - being granted tokens no time actually produced.</t>
        </is>
      </c>
      <c r="F18" s="67" t="inlineStr">
        <is>
          <t>This is the limiter that keeps order rate under SEBI's 10/sec registration threshold. Measured: a burst of 3 with 3/sec refill let 11 of 100 concurrent callers through in 0.56s on an idle host, and 56 of 100 on a loaded one, against an honest ceiling of about 5. The control failed quietly under exactly the load it exists for, and every existing Redis test passed throughout because none of them exercised concurrency.</t>
        </is>
      </c>
      <c r="G18" s="67" t="inlineStr">
        <is>
          <t>Take the clock from Redis (redis.call('TIME')) inside the Lua instead of accepting one from the caller. One clock, read after serialisation, so neither reordering nor skew between processes can move it backwards. Post-fix: 4 of 100 allowed, which is burst plus honest refill.</t>
        </is>
      </c>
      <c r="H18" s="67" t="inlineStr">
        <is>
          <t>A 100-way concurrent flood asserting against burst + rate x elapsed (not a flat constant, because the bucket legitimately refills during the flood). The original flat assertion is what surfaced the bug.</t>
        </is>
      </c>
    </row>
    <row r="19">
      <c r="A19" s="65" t="inlineStr">
        <is>
          <t>QA-SEC-15</t>
        </is>
      </c>
      <c r="B19" s="65" t="inlineStr">
        <is>
          <t>MEDIUM</t>
        </is>
      </c>
      <c r="C19" s="65" t="inlineStr">
        <is>
          <t>Broker auth / login URL</t>
        </is>
      </c>
      <c r="D19" s="66" t="inlineStr">
        <is>
          <t>Fixed</t>
        </is>
      </c>
      <c r="E19" s="67" t="inlineStr">
        <is>
          <t>login_url() interpolated api_key into the Kite URL with no validation or encoding. A value of 'realkey&amp;redirect_uri=https://evil.example.com' produces a perfectly VALID Kite login URL that returns the request_token to somebody else. CRLF in the same position was equally accepted.</t>
        </is>
      </c>
      <c r="F19" s="67" t="inlineStr">
        <is>
          <t>This defeats the anti-phishing design from the other side. The operator navigates from their own bookmark exactly as intended, lands on a genuine Zerodha page, and hands the request_token to an attacker who exchanges it with their own api_secret. Requires config/env write access - but config is editable through the Admin UI (E18-S02), and a mis-pasted key with a stray '&amp;' fails the same way.</t>
        </is>
      </c>
      <c r="G19" s="67" t="inlineStr">
        <is>
          <t>Validate rather than escape: a Kite api_key is alphanumeric, so anything else is a mis-paste or an attempt to steer the flow. Encoding would quietly carry the mistake into a URL that then fails at the broker for an unrelated-looking reason.</t>
        </is>
      </c>
      <c r="H19" s="67" t="inlineStr">
        <is>
          <t>5 hostile api_keys refused (&amp; injection, CRLF, space, fragment, query), a real key still builds, and the error is asserted not to echo a 5000-char value into the log</t>
        </is>
      </c>
    </row>
    <row r="20">
      <c r="A20" s="67" t="inlineStr">
        <is>
          <t>QA-SEC-16</t>
        </is>
      </c>
      <c r="B20" s="67" t="inlineStr">
        <is>
          <t>MEDIUM</t>
        </is>
      </c>
      <c r="C20" s="67" t="inlineStr">
        <is>
          <t>Order logging / symbol handling</t>
        </is>
      </c>
      <c r="D20" s="66" t="inlineStr">
        <is>
          <t>Fixed</t>
        </is>
      </c>
      <c r="E20" s="67" t="inlineStr">
        <is>
          <t>A newline in an instrument symbol forged a whole log line. Observed output: 'placing BUY MARKET x1 for INFY
2026-01-01 CRITICAL kill switch disarmed (tag=...)' - a second, entirely fictional CRITICAL entry written by the order logger.</t>
        </is>
      </c>
      <c r="F20" s="67" t="inlineStr">
        <is>
          <t>Symbols come from the broker's daily dump, which is external data this system does not author. QA-SEC-03 established exactly this for Redis keys; the same untrusted value also reaches the order log line, and application logs are what an incident is reconstructed from. A forgeable log line is a real problem even though nothing crashes.</t>
        </is>
      </c>
      <c r="G20" s="67" t="inlineStr">
        <is>
          <t>OrderRequest.symbol now validated against the same allowlist as the Redis key builder - one definition of what a symbol may contain, applied wherever untrusted symbol text crosses a boundary.</t>
        </is>
      </c>
      <c r="H20" s="67" t="inlineStr">
        <is>
          <t>6 hostile symbols refused (newline, CRLF, colon, glob, over-length, empty) plus a CONTROL that real Indian symbols still work: M&amp;M, BAJAJ-AUTO, L&amp;TFH, NIFTY.NS, IDEA_EQ</t>
        </is>
      </c>
    </row>
    <row r="21" ht="92" customHeight="1" s="59">
      <c r="A21" s="67" t="inlineStr">
        <is>
          <t>QA-SEC-17</t>
        </is>
      </c>
      <c r="B21" s="67" t="inlineStr">
        <is>
          <t>HIGH</t>
        </is>
      </c>
      <c r="C21" s="67" t="inlineStr">
        <is>
          <t>Indicator state restore (E06)</t>
        </is>
      </c>
      <c r="D21" s="66" t="inlineStr">
        <is>
          <t>Fixed</t>
        </is>
      </c>
      <c r="E21" s="67" t="inlineStr">
        <is>
          <t>restore() accepted period: -5 from a snapshot. EMA alpha became -0.5 - an indicator that DIVERGES instead of converging while emitting plausible numbers the whole time. Observed: a restored EMA drifting away from price with no error, no exception, no log line.</t>
        </is>
      </c>
      <c r="F21" s="67" t="inlineStr">
        <is>
          <t>__init__ validated its period; restore() did not, and restore() is the path that reads state which has round-tripped through Redis. A partially-written key or a version skew between processes is enough - no attacker required. Nothing downstream can detect a wrong-but-plausible indicator value, so this fails OPEN, which the invariants forbid.</t>
        </is>
      </c>
      <c r="G21" s="67" t="inlineStr">
        <is>
          <t>_checked_period() applied at all 8 restore sites (SMA, EMA, RSI, ATR, Bollinger, VolumeRatio, Wilder, MACD fast+slow). A corrupt period now raises IndicatorError rather than constructing a diverging indicator.</t>
        </is>
      </c>
      <c r="H21" s="67" t="inlineStr">
        <is>
          <t>9 parametrised cases across 6 indicator types (negative, zero, non-numeric, None) plus a CONTROL that a valid snapshot still restores identically to a re-warmed set</t>
        </is>
      </c>
      <c r="I21" s="76" t="n"/>
      <c r="J21" s="76" t="n"/>
      <c r="K21" s="76" t="n"/>
    </row>
    <row r="22" ht="92" customHeight="1" s="59">
      <c r="A22" s="67" t="inlineStr">
        <is>
          <t>QA-SEC-18</t>
        </is>
      </c>
      <c r="B22" s="67" t="inlineStr">
        <is>
          <t>MEDIUM</t>
        </is>
      </c>
      <c r="C22" s="67" t="inlineStr">
        <is>
          <t>Tick deduplication (E05)</t>
        </is>
      </c>
      <c r="D22" s="66" t="inlineStr">
        <is>
          <t>Fixed</t>
        </is>
      </c>
      <c r="E22" s="67" t="inlineStr">
        <is>
          <t>The per-instrument dedup window was bounded at 512; the map holding those windows was not. 5000 distinct tokens produced 5000 retained windows with nothing to evict them.</t>
        </is>
      </c>
      <c r="F22" s="67" t="inlineStr">
        <is>
          <t>Memory growth for the life of the process on a feed that churns instrument tokens - re-listings, corporate actions, a subscription list that changes daily. Not remotely triggerable, but it is an availability defect in a component meant to run a full session unattended.</t>
        </is>
      </c>
      <c r="G22" s="67" t="inlineStr">
        <is>
          <t>The instrument map is now an LRU bounded at 1024. A universe of 200 fits several times over, so eviction only ever reaches symbols that genuinely stopped ticking.</t>
        </is>
      </c>
      <c r="H22" s="67" t="inlineStr">
        <is>
          <t>3 tests: the map stays bounded across 1000 tokens; a continuously-ticking symbol survives 200 others churning past it; the original per-instrument bound still holds</t>
        </is>
      </c>
      <c r="I22" s="76" t="n"/>
      <c r="J22" s="76" t="n"/>
      <c r="K22" s="76" t="n"/>
    </row>
    <row r="23" ht="92" customHeight="1" s="59">
      <c r="A23" s="67" t="inlineStr">
        <is>
          <t>QA-SEC-19</t>
        </is>
      </c>
      <c r="B23" s="67" t="inlineStr">
        <is>
          <t>MEDIUM</t>
        </is>
      </c>
      <c r="C23" s="67" t="inlineStr">
        <is>
          <t>Rate-limit error handling</t>
        </is>
      </c>
      <c r="D23" s="66" t="inlineStr">
        <is>
          <t>Fixed</t>
        </is>
      </c>
      <c r="E23" s="67" t="inlineStr">
        <is>
          <t>Two exception classes were both named RateLimitError with OPPOSITE retry semantics. broker.adapter.RateLimitError means back off and retry; redis.primitives.RateLimitError meant the bucket is misconfigured and will never allow anything through.</t>
        </is>
      </c>
      <c r="F23" s="67" t="inlineStr">
        <is>
          <t>A caller importing either name and wrapping it in the standard retry-with-backoff gets correct behaviour for one and an INFINITE LOOP for the other - against a condition that never clears. No test would fail, because the misconfigured bucket never becomes healthy and the loop never exits. In a component that gates order submission, a hang is a fail-open.</t>
        </is>
      </c>
      <c r="G23" s="67" t="inlineStr">
        <is>
          <t>Renamed the Redis one to RateLimiterConfigError, with a docstring stating why the two are named apart.</t>
        </is>
      </c>
      <c r="H23" s="67" t="inlineStr">
        <is>
          <t>3 tests: the types are distinct, neither is a subclass of the other, and only the broker one is reported by is_retryable()</t>
        </is>
      </c>
      <c r="I23" s="76" t="n"/>
      <c r="J23" s="76" t="n"/>
      <c r="K23" s="76" t="n"/>
    </row>
    <row r="24" ht="112" customHeight="1" s="59">
      <c r="A24" s="67" t="inlineStr">
        <is>
          <t>QA-SEC-20</t>
        </is>
      </c>
      <c r="B24" s="67" t="inlineStr">
        <is>
          <t>HIGH</t>
        </is>
      </c>
      <c r="C24" s="67" t="inlineStr">
        <is>
          <t>Strategy evaluation / feed integrity</t>
        </is>
      </c>
      <c r="D24" s="66" t="inlineStr">
        <is>
          <t>Fixed</t>
        </is>
      </c>
      <c r="E24" s="67" t="inlineStr">
        <is>
          <t>The evaluator TRADED through a simulated twelve-minute feed gap. Observed end to end: mark_stale set on all three timeframes, snapshot.all_ready False, and fire() still returned a Trigger with a valid stop.</t>
        </is>
      </c>
      <c r="F24" s="67" t="inlineStr">
        <is>
          <t>mark_stale clears IndicatorSet.is_ready which clears all_ready - and nothing consulted all_ready. A strategy reading only a warm ema_20 never noticed that every indicator beside it had been computed across a hole in the data. This is the 'data stale -&gt; block entries' invariant and E13-S01 acceptance criterion 3, and neither was held. Found only by assembling the full tick-to-Trigger chain; no component test could see it.</t>
        </is>
      </c>
      <c r="G24" s="67" t="inlineStr">
        <is>
          <t>fire() now refuses when snapshot.all_ready is False and logs which indicators are pending. evaluate() still answers, so a health panel and a backtest can inspect a cold symbol without being able to trade it.</t>
        </is>
      </c>
      <c r="H24" s="67" t="inlineStr">
        <is>
          <t>E2E: the same context fires, is refused after mark_stale, and fires again after clear_stale; plus a cold pipeline that can never fire</t>
        </is>
      </c>
      <c r="I24" s="76" t="n"/>
      <c r="J24" s="76" t="n"/>
      <c r="K24" s="76" t="n"/>
    </row>
    <row r="25" ht="112" customHeight="1" s="59">
      <c r="A25" s="67" t="inlineStr">
        <is>
          <t>QA-SEC-21</t>
        </is>
      </c>
      <c r="B25" s="67" t="inlineStr">
        <is>
          <t>HIGH</t>
        </is>
      </c>
      <c r="C25" s="67" t="inlineStr">
        <is>
          <t>Strategy parameter handling</t>
        </is>
      </c>
      <c r="D25" s="66" t="inlineStr">
        <is>
          <t>Fixed</t>
        </is>
      </c>
      <c r="E25" s="67" t="inlineStr">
        <is>
          <t>NaN and Infinity reached comparisons. decimal.InvalidOperation propagated out of atr_stop as an uncaught exception in the signal path, and threshold=-Infinity made a 'score above' gate pass unconditionally.</t>
        </is>
      </c>
      <c r="F25" s="67" t="inlineStr">
        <is>
          <t>Decimal('NaN') CONSTRUCTS without error and raises only on the first comparison, so the failure surfaced in whichever caller compared first rather than at the boundary. The infinities do not raise at all: NaN compares False against everything (a confident wrong answer) and -Infinity compares True against everything (a filter bypass an author can write in one word). Python's json emits and accepts bare NaN, so a corrupted indicator snapshot in Redis is a live path, not a theoretical one.</t>
        </is>
      </c>
      <c r="G25" s="67" t="inlineStr">
        <is>
          <t>Non-finite values are refused at three boundaries: to_decimal (the money crossing), EvalContext.indicator/indicator_ago (all 27 primitives at once), and the numeric parameter coercion.</t>
        </is>
      </c>
      <c r="H25" s="67" t="inlineStr">
        <is>
          <t>9 parametrised cases across NaN/+Inf/-Inf for indicator values, stop computation and parameters, plus a control that ordinary values are untouched</t>
        </is>
      </c>
      <c r="I25" s="76" t="n"/>
      <c r="J25" s="76" t="n"/>
      <c r="K25" s="76" t="n"/>
    </row>
    <row r="26" ht="112" customHeight="1" s="59">
      <c r="A26" s="67" t="inlineStr">
        <is>
          <t>QA-SEC-22</t>
        </is>
      </c>
      <c r="B26" s="67" t="inlineStr">
        <is>
          <t>MEDIUM</t>
        </is>
      </c>
      <c r="C26" s="67" t="inlineStr">
        <is>
          <t>Strategy parameter validation order</t>
        </is>
      </c>
      <c r="D26" s="66" t="inlineStr">
        <is>
          <t>Fixed</t>
        </is>
      </c>
      <c r="E26" s="67" t="inlineStr">
        <is>
          <t>A primitive validated its parameters AFTER consulting market data, so a strategy with a misspelled direction returned UNKNOWN whenever the level happened to be unavailable rather than raising.</t>
        </is>
      </c>
      <c r="F26" s="67" t="inlineStr">
        <is>
          <t>A malformed strategy is then indistinguishable from a quiet market: it reports 'conditions not met' forever and nobody learns it is broken. Also found: error messages echoed strategy-supplied text unbounded - a 10 KB parameter repeated per symbol per bar is a log-flooding primitive.</t>
        </is>
      </c>
      <c r="G26" s="67" t="inlineStr">
        <is>
          <t>Parameters are validated before any data lookup, so a malformed strategy raises regardless of market state. Echoed text is capped at 60 characters.</t>
        </is>
      </c>
      <c r="H26" s="67" t="inlineStr">
        <is>
          <t>3 bad-direction cases, 5 malformed time windows, and an assertion that a 10 KB parameter yields an error under 500 characters</t>
        </is>
      </c>
      <c r="I26" s="76" t="n"/>
      <c r="J26" s="76" t="n"/>
      <c r="K26" s="76" t="n"/>
    </row>
    <row r="27" ht="112" customHeight="1" s="59">
      <c r="A27" s="67" t="inlineStr">
        <is>
          <t>QA-SEC-23</t>
        </is>
      </c>
      <c r="B27" s="67" t="inlineStr">
        <is>
          <t>MEDIUM</t>
        </is>
      </c>
      <c r="C27" s="67" t="inlineStr">
        <is>
          <t>Strategy bounds enforcement</t>
        </is>
      </c>
      <c r="D27" s="66" t="inlineStr">
        <is>
          <t>Fixed</t>
        </is>
      </c>
      <c r="E27" s="67" t="inlineStr">
        <is>
          <t>verify_condition checked primitive names and indicator availability but not the registry's declared parameter bounds. Decimal('-1e999') is FINITE, so the non-finite guard does not catch it, and it makes any 'above threshold' gate pass unconditionally.</t>
        </is>
      </c>
      <c r="F27" s="67" t="inlineStr">
        <is>
          <t>compile_strategy does validate bounds, but nothing structurally guaranteed a document reached the evaluator through compilation. Defence in depth matters here because the bounds are the only thing standing between a hostile strategy author and a disabled filter.</t>
        </is>
      </c>
      <c r="G27" s="67" t="inlineStr">
        <is>
          <t>verify_condition now re-runs the registry's validate_params, so holding a StrategyEvaluator is proof the parameters are in range - not merely that the primitive names exist.</t>
        </is>
      </c>
      <c r="H27" s="67" t="inlineStr">
        <is>
          <t>out-of-range threshold and unknown-parameter cases refused at load, plus a control that a valid condition passes</t>
        </is>
      </c>
      <c r="I27" s="76" t="n"/>
      <c r="J27" s="76" t="n"/>
      <c r="K27" s="76" t="n"/>
    </row>
    <row r="28" ht="120" customHeight="1" s="59">
      <c r="A28" s="67" t="inlineStr">
        <is>
          <t>QA-SEC-24</t>
        </is>
      </c>
      <c r="B28" s="67" t="inlineStr">
        <is>
          <t>HIGH</t>
        </is>
      </c>
      <c r="C28" s="67" t="inlineStr">
        <is>
          <t>Dependency supply chain</t>
        </is>
      </c>
      <c r="D28" s="66" t="inlineStr">
        <is>
          <t>Fixed</t>
        </is>
      </c>
      <c r="E28" s="67" t="inlineStr">
        <is>
          <t>autobahn 19.11.2 (CVE-2020-35678, redirect header injection) was present and importable in every process that touched the broker layer. pip-audit flagged it; CI could not, because the dependency-audit step was advisory.</t>
        </is>
      </c>
      <c r="F28" s="67" t="inlineStr">
        <is>
          <t>The prior assessment recorded it as unreachable because the live feed was built on `websockets` rather than KiteTicker. That was WRONG: kiteconnect/__init__.py imports .ticker unconditionally, so `import kiteconnect` loads autobahn and Twisted regardless of whether a ticker is ever constructed. Not using a package is not the same as not having it, and a vulnerable package that is present and importable is a real finding.</t>
        </is>
      </c>
      <c r="G28" s="67" t="inlineStr">
        <is>
          <t>Upgraded to autobahn 26.7.1 and floored at &gt;=20.12.3 in pyproject. kiteconnect's == pin is declarative; verified empirically that it still imports, constructs, builds a login URL and exposes market_protection/algo_id. pip-audit now reports zero vulnerabilities and the CI step is a HARD gate.</t>
        </is>
      </c>
      <c r="H28" s="67" t="inlineStr">
        <is>
          <t>Full 1059-test suite green under the upgraded dependency; pip-audit --skip-editable exits 0</t>
        </is>
      </c>
      <c r="I28" s="76" t="n"/>
      <c r="J28" s="76" t="n"/>
      <c r="K28" s="76" t="n"/>
    </row>
    <row r="29" ht="120" customHeight="1" s="59">
      <c r="A29" s="67" t="inlineStr">
        <is>
          <t>QA-SEC-25</t>
        </is>
      </c>
      <c r="B29" s="67" t="inlineStr">
        <is>
          <t>MEDIUM</t>
        </is>
      </c>
      <c r="C29" s="67" t="inlineStr">
        <is>
          <t>CI security gates</t>
        </is>
      </c>
      <c r="D29" s="66" t="inlineStr">
        <is>
          <t>Fixed</t>
        </is>
      </c>
      <c r="E29" s="67" t="inlineStr">
        <is>
          <t>The dependency audit ran with `continue-on-error: true` and `|| true`, so it could never fail a build. There was no SAST step at all.</t>
        </is>
      </c>
      <c r="F29" s="67" t="inlineStr">
        <is>
          <t>The soft gate was correctly justified while B7 was unfixable - a permanently red check trains people to ignore it. That justification expired the moment B7 closed, and an advisory audit means the NEXT CVE arrives silently. Bandit was not running anywhere.</t>
        </is>
      </c>
      <c r="G29" s="67" t="inlineStr">
        <is>
          <t>pip-audit is now a hard gate (with --skip-editable, not --strict: --strict treats the local editable package as an error and fails every run for reasons unrelated to vulnerabilities). Added bandit gated at MEDIUM severity and MEDIUM confidence.</t>
        </is>
      </c>
      <c r="H29" s="67" t="inlineStr">
        <is>
          <t>Both gates verified locally: bandit exit 0, pip-audit exit 0, and both demonstrated to exit non-zero on a real finding</t>
        </is>
      </c>
      <c r="I29" s="76" t="n"/>
      <c r="J29" s="76" t="n"/>
      <c r="K29" s="76" t="n"/>
    </row>
    <row r="30" ht="120" customHeight="1" s="59">
      <c r="A30" s="67" t="inlineStr">
        <is>
          <t>QA-SEC-26</t>
        </is>
      </c>
      <c r="B30" s="67" t="inlineStr">
        <is>
          <t>MEDIUM</t>
        </is>
      </c>
      <c r="C30" s="67" t="inlineStr">
        <is>
          <t>SQL identifier construction</t>
        </is>
      </c>
      <c r="D30" s="66" t="inlineStr">
        <is>
          <t>Fixed</t>
        </is>
      </c>
      <c r="E30" s="67" t="inlineStr">
        <is>
          <t>The bulk-insert path interpolates column names into SQL text. Bandit B608. Previously safe by ARGUMENT - the names come from a fixed tuple - documented in a comment.</t>
        </is>
      </c>
      <c r="F30" s="67" t="inlineStr">
        <is>
          <t>PostgreSQL cannot parameterise identifiers, so building them as text is the only option and the code was genuinely safe. But a comment does not survive a refactor: nothing would fail if a future change made the column list reachable from data.</t>
        </is>
      </c>
      <c r="G30" s="67" t="inlineStr">
        <is>
          <t>Every identifier is now matched against a strict allowlist pattern immediately before interpolation, so the bandit suppression is backed by an executed check rather than by a promise. A change that made the list data-reachable fails loudly instead of building a query.</t>
        </is>
      </c>
      <c r="H30" s="67" t="inlineStr">
        <is>
          <t>10 hostile identifiers refused (statement terminator, subquery, quoting, whitespace, comment, dotted, empty, leading digit, case, newline) plus a control that the 8 real column names pass, plus a structural test that the guard runs BEFORE interpolation</t>
        </is>
      </c>
      <c r="I30" s="76" t="n"/>
      <c r="J30" s="76" t="n"/>
      <c r="K30" s="76" t="n"/>
    </row>
    <row r="31" ht="120" customHeight="1" s="59">
      <c r="A31" s="67" t="inlineStr">
        <is>
          <t>QA-SEC-27</t>
        </is>
      </c>
      <c r="B31" s="67" t="inlineStr">
        <is>
          <t>MEDIUM</t>
        </is>
      </c>
      <c r="C31" s="67" t="inlineStr">
        <is>
          <t>Secret containment</t>
        </is>
      </c>
      <c r="D31" s="66" t="inlineStr">
        <is>
          <t>Fixed</t>
        </is>
      </c>
      <c r="E31" s="67" t="inlineStr">
        <is>
          <t>26 statements of secrets.py had never been executed by any test - including __reduce__, __getstate__, __eq__, __hash__ and every rendering dunder. These are precisely the methods that enforce invariant 4, 'secrets never render'.</t>
        </is>
      </c>
      <c r="F31" s="67" t="inlineStr">
        <is>
          <t>The quiet exfiltration path is serialisation: anything picklable can reach Redis, a cache or a crash dump. Untested containment is indistinguishable from absent containment until the day it matters.</t>
        </is>
      </c>
      <c r="G31" s="67" t="inlineStr">
        <is>
          <t>15 probes covering pickle, deepcopy, constant-time comparison, hashing that does not derive from the plaintext, and every string-formatting path.</t>
        </is>
      </c>
      <c r="H31" s="67" t="inlineStr">
        <is>
          <t>tests/security/test_secrets_providers.py TestSecretStringCannotEscapeItsWrapper</t>
        </is>
      </c>
      <c r="I31" s="76" t="n"/>
      <c r="J31" s="76" t="n"/>
      <c r="K31" s="76" t="n"/>
    </row>
    <row r="32">
      <c r="A32" s="76" t="inlineStr">
        <is>
          <t>QA-SEC-28</t>
        </is>
      </c>
      <c r="B32" s="76" t="inlineStr">
        <is>
          <t>HIGH</t>
        </is>
      </c>
      <c r="C32" s="76" t="inlineStr">
        <is>
          <t>Log integrity / Trigger + Recommendation</t>
        </is>
      </c>
      <c r="D32" s="76" t="inlineStr">
        <is>
          <t>Fixed</t>
        </is>
      </c>
      <c r="E32" s="76" t="inlineStr">
        <is>
          <t>A newline in an instrument symbol forges a whole line in the risk log. QA-SEC-16 closed exactly this on OrderRequest and stopped there — but symbols come from the broker's daily instrument dump, and the SAME untrusted value reaches Trigger and Recommendation first, both of which the risk engine logs on every rejection.</t>
        </is>
      </c>
      <c r="F32" s="76" t="inlineStr">
        <is>
          <t>Verified against a real captured handler, not reasoned about: the probe produced two fabricated lines reading 'CRITICAL kill switch disarmed by operator' in the log an incident would be reconstructed from. An operator reading it would conclude a human disarmed the switch. A ':' additionally collides with the Redis key namespace.</t>
        </is>
      </c>
      <c r="G32" s="76" t="inlineStr">
        <is>
          <t>_SAFE_SYMBOL / _validate_symbol moved above the first model that needs it and attached to Trigger and Recommendation as well as OrderRequest — ONE definition serving every boundary, since the finding was not a missing check but a check applied to one of three places.</t>
        </is>
      </c>
      <c r="H32" s="76" t="inlineStr">
        <is>
          <t>tests/security/test_symbol_boundary.py — 6 hostile shapes x 2 models, 7 real NSE symbols as the control (M&amp;M, BAJAJ-AUTO, L&amp;TFH, 20MICRONS), and an end-to-end probe asserting a rejection occupies exactly one log line. Mutation M11-M13 confirm the tests would notice its removal.</t>
        </is>
      </c>
    </row>
    <row r="33">
      <c r="A33" s="76" t="inlineStr">
        <is>
          <t>QA-SEC-29</t>
        </is>
      </c>
      <c r="B33" s="76" t="inlineStr">
        <is>
          <t>MEDIUM</t>
        </is>
      </c>
      <c r="C33" s="76" t="inlineStr">
        <is>
          <t>Denial of service / health gate detail</t>
        </is>
      </c>
      <c r="D33" s="76" t="inlineStr">
        <is>
          <t>Fixed</t>
        </is>
      </c>
      <c r="E33" s="76" t="inlineStr">
        <is>
          <t>The health-gate rejection named every unhealthy service with no bound. The detail reaches both the audit payload and a log line, once per rejected candidate per bar.</t>
        </is>
      </c>
      <c r="F33" s="76" t="inlineStr">
        <is>
          <t>Measured: 5000 unhealthy services produced a 48,957-character detail. The amplification is worst exactly when the system is already unwell — a cascading outage would write it for every candidate on every bar.</t>
        </is>
      </c>
      <c r="G33" s="76" t="inlineStr">
        <is>
          <t>MAX_SERVICES_NAMED = 12. The COUNT stays exact and only the list is truncated, because 'how many' is what an operator acts on. 5000 services now yields 193 characters.</t>
        </is>
      </c>
      <c r="H33" s="76" t="inlineStr">
        <is>
          <t>tests/security/test_symbol_boundary.py TestRejectionDetailsAreBounded — the cap, the exact count under truncation, and the control that a realistic 3-service outage still names all three.</t>
        </is>
      </c>
    </row>
    <row r="34">
      <c r="A34" s="76" t="inlineStr">
        <is>
          <t>QA-SEC-30</t>
        </is>
      </c>
      <c r="B34" s="76" t="inlineStr">
        <is>
          <t>HIGH</t>
        </is>
      </c>
      <c r="C34" s="76" t="inlineStr">
        <is>
          <t>Log integrity / risk rejection details</t>
        </is>
      </c>
      <c r="D34" s="76" t="inlineStr">
        <is>
          <t>Fixed</t>
        </is>
      </c>
      <c r="E34" s="76" t="inlineStr">
        <is>
          <t>A newline in a surveillance-restriction label forges a log line. The labels reach the rejection detail, which the engine logs on every rejection. Restriction data originates from NSE by way of E04 — external data this system does not author.</t>
        </is>
      </c>
      <c r="F34" s="76" t="inlineStr">
        <is>
          <t>Demonstrated against a running engine: a label of 'T2T\nCRITICAL kill switch disarmed by operator' produced two log lines, the second reading as a CRITICAL system event. THIS IS THE THIRD OCCURRENCE — QA-SEC-16 on OrderRequest.symbol, QA-SEC-28 on Trigger/Recommendation, now a label from a different source entirely. The pattern is not 'symbols are dangerous', it is 'any untrusted string interpolated into a rejection detail forges a log line', and there are fourteen checks free to interpolate whatever they read.</t>
        </is>
      </c>
      <c r="G34" s="76" t="inlineStr">
        <is>
          <t>The fix MOVED, rather than being applied to a third source. CheckOutcome now normalises its detail at CONSTRUCTION — control characters escaped, not stripped, so an investigator can still see a newline was attempted. One rule covering every check that exists or will exist, including one written by someone who never reads this row.</t>
        </is>
      </c>
      <c r="H34" s="76" t="inlineStr">
        <is>
          <t>tests/security/test_detail_containment.py — 8 hostile control-character shapes on the type itself, both constructors, a plain-detail control, and an end-to-end 'rogue check' that invents its own hostile detail. Mutations M13 and M16 confirm removal would be caught.</t>
        </is>
      </c>
    </row>
    <row r="35">
      <c r="A35" s="76" t="inlineStr">
        <is>
          <t>QA-SEC-31</t>
        </is>
      </c>
      <c r="B35" s="76" t="inlineStr">
        <is>
          <t>MEDIUM</t>
        </is>
      </c>
      <c r="C35" s="76" t="inlineStr">
        <is>
          <t>Denial of service / rejection detail size</t>
        </is>
      </c>
      <c r="D35" s="76" t="inlineStr">
        <is>
          <t>Fixed</t>
        </is>
      </c>
      <c r="E35" s="76" t="inlineStr">
        <is>
          <t>The restriction cap bounded the COUNT of labels (8) but not their length. Eight labels of 10,000 characters produced an 80,054-character detail, which reaches decision_log.payload (JSONB, unbounded) and a log line once per rejected candidate per bar.</t>
        </is>
      </c>
      <c r="F35" s="76" t="inlineStr">
        <is>
          <t>This is QA-SEC-29's lesson recurring one story later, in the fix that was written knowing about QA-SEC-29. Capping the input count is not the same as bounding the output, and I made exactly that substitution while citing the earlier finding in the comment.</t>
        </is>
      </c>
      <c r="G35" s="76" t="inlineStr">
        <is>
          <t>MAX_DETAIL = 512, enforced in CheckOutcome alongside the escaping — bounding the OUTPUT, at the one place every detail passes through. Truncation says how many characters were dropped, because a silently truncated detail reads as a complete one.</t>
        </is>
      </c>
      <c r="H35" s="76" t="inlineStr">
        <is>
          <t>tests/security/test_detail_containment.py — three oversize inputs, the truncation marker, and a boundary-length detail that must NOT be truncated. Mutations M14, M15.</t>
        </is>
      </c>
    </row>
    <row r="36">
      <c r="A36" s="76" t="inlineStr">
        <is>
          <t>QA-SEC-32</t>
        </is>
      </c>
      <c r="B36" s="76" t="inlineStr">
        <is>
          <t>MEDIUM</t>
        </is>
      </c>
      <c r="C36" s="76" t="inlineStr">
        <is>
          <t>Tampering / RiskContext immutability</t>
        </is>
      </c>
      <c r="D36" s="76" t="inlineStr">
        <is>
          <t>Fixed</t>
        </is>
      </c>
      <c r="E36" s="76" t="inlineStr">
        <is>
          <t>RiskContext is frozen, but frozen freezes the BINDING, not what it points at. Fields typed tuple[...] accepted a list, leaving the caller holding a live reference into a context the checks were about to read.</t>
        </is>
      </c>
      <c r="F36" s="76" t="inlineStr">
        <is>
          <t>A caller could mutate session state BETWEEN checks, making the outcome depend on check order in exactly the way the class docstring says it must not. JSON has no tuples, so any deserialised context is the realistic route in. Verified: a list was aliased, and appending to it after construction changed what the checks would see.</t>
        </is>
      </c>
      <c r="G36" s="76" t="inlineStr">
        <is>
          <t>__post_init__ coerces the three sequence fields to real tuples, and refuses a bare string rather than splitting it into characters — symbol_restrictions='T2T' would otherwise become ('T','2','T'), three restrictions that do not exist. None is preserved as None, because coercing it to () would turn 'never looked' into 'checked and clean'.</t>
        </is>
      </c>
      <c r="H36" s="76" t="inlineStr">
        <is>
          <t>tests/security/test_detail_containment.py TestTheContextCannotBeMutatedAfterConstruction. Mutations M10, M11, M12.</t>
        </is>
      </c>
    </row>
    <row r="37">
      <c r="A37" s="76" t="inlineStr">
        <is>
          <t>QA-SEC-33</t>
        </is>
      </c>
      <c r="B37" s="76" t="inlineStr">
        <is>
          <t>MEDIUM</t>
        </is>
      </c>
      <c r="C37" s="76" t="inlineStr">
        <is>
          <t>Tampering / RiskContext.correlations</t>
        </is>
      </c>
      <c r="D37" s="76" t="inlineStr">
        <is>
          <t>Fixed</t>
        </is>
      </c>
      <c r="E37" s="76" t="inlineStr">
        <is>
          <t>QA-SEC-32 one field over. That finding froze unhealthy_services, open_positions and symbol_restrictions — named explicitly in a hand-written tuple. It missed `correlations`, which was already on the class, because that one is a dict and the code was looking for sequences.</t>
        </is>
      </c>
      <c r="F37" s="76" t="inlineStr">
        <is>
          <t>Verified: a caller passes a dict, keeps the reference, and changes a correlation from 0.1 to 0.99 AFTER construction — the context saw the new value. That is session state mutating between checks, which is exactly what RiskContext's docstring says must not happen, and it would let a correlated pair through the guard.</t>
        </is>
      </c>
      <c r="G37" s="76" t="inlineStr">
        <is>
          <t>The freezing is now DERIVED from dataclasses.fields rather than a list of names: mappings become MappingProxyType, sequences become tuples. A hand-written list has to be remembered every time a field is added; iterating the fields cannot be forgotten. This is the general fix for the class of defect, not the second instance of a patch.</t>
        </is>
      </c>
      <c r="H37" s="76" t="inlineStr">
        <is>
          <t>tests/security/test_detail_containment.py TestEveryContainerFieldIsFrozen — asserts the GENERAL property over every container field found by reflection, because a test that also listed fields by hand would have the same hole as the code it guards. Mutations M17, M18.</t>
        </is>
      </c>
    </row>
    <row r="38">
      <c r="A38" s="76" t="inlineStr">
        <is>
          <t>QA-SEC-34</t>
        </is>
      </c>
      <c r="B38" s="76" t="inlineStr">
        <is>
          <t>LOW</t>
        </is>
      </c>
      <c r="C38" s="76" t="inlineStr">
        <is>
          <t>Observability / non-finite correlation</t>
        </is>
      </c>
      <c r="D38" s="76" t="inlineStr">
        <is>
          <t>Fixed</t>
        </is>
      </c>
      <c r="E38" s="76" t="inlineStr">
        <is>
          <t>A NaN or infinity in the correlation matrix reached `abs(rho) &gt;= threshold`, which raises decimal.InvalidOperation.</t>
        </is>
      </c>
      <c r="F38" s="76" t="inlineStr">
        <is>
          <t>It failed CLOSED — the framework turned the exception into a RISK_ENGINE_FAULT rejection, so no trade was at risk. But the detail read "InvalidOperation: [&lt;class 'decimal.InvalidOperation'&gt;]", which names neither the symbol nor the cause. E14-S01's acceptance criterion is that any rejection is explainable from the audit log, and this one was not.</t>
        </is>
      </c>
      <c r="G38" s="76" t="inlineStr">
        <is>
          <t>An explicit `rho.is_finite()` guard that names the affected pairs and says the pre-market matrix produced a NaN or infinity — which is the actual thing an operator needs to go and fix.</t>
        </is>
      </c>
      <c r="H38" s="76" t="inlineStr">
        <is>
          <t>tests/security/test_detail_containment.py TestCorrelationInputsCannotBeQuietlyWrong — NaN, +Inf and -Inf, plus a test asserting the raw comparison really does raise (so the guard is not decoration) and a control that finite values are unaffected. Mutation M05.</t>
        </is>
      </c>
    </row>
    <row r="39">
      <c r="A39" s="76" t="inlineStr">
        <is>
          <t>QA-SEC-35</t>
        </is>
      </c>
      <c r="B39" s="76" t="inlineStr">
        <is>
          <t>MEDIUM</t>
        </is>
      </c>
      <c r="C39" s="76" t="inlineStr">
        <is>
          <t>RiskContext / non-finite numbers</t>
        </is>
      </c>
      <c r="D39" s="76" t="inlineStr">
        <is>
          <t>Fixed</t>
        </is>
      </c>
      <c r="E39" s="76" t="inlineStr">
        <is>
          <t>Any Decimal on RiskContext could be NaN or an infinity. Every one of them is a number a check compares against a limit.</t>
        </is>
      </c>
      <c r="F39" s="76" t="inlineStr">
        <is>
          <t>Two distinct failures, both reading as normal operation. NaN makes every comparison False, so `loss &gt;= limit` is False and a halted day keeps trading; where it raises instead, the message is 'InvalidOperation' and names neither the field nor the cause (QA-SEC-34's shape). And an INFINITY compares cleanly: realised_pnl_today = +Infinity passed the daily loss limit without comment. Verified against running code for realised_pnl_today, capital, available_margin, atr and margin_per_share.</t>
        </is>
      </c>
      <c r="G39" s="76" t="inlineStr">
        <is>
          <t>Rejected at CONSTRUCTION, so the state is unrepresentable rather than guarded in fourteen places. The fields are found by iterating dataclasses.fields, so the guard already covers atr and margin_per_share, which no check reads yet — the QA-SEC-33 lesson applied before it could cost anything.</t>
        </is>
      </c>
      <c r="H39" s="76" t="inlineStr">
        <is>
          <t>tests/security/test_detail_containment.py TestNoNonFiniteNumberReachesACheck — 4 non-finite values x 5 fields, the error naming the field, a reflection test asserting EVERY Decimal field is covered, and controls that ordinary values and None are unaffected. Mutations M12, M14.</t>
        </is>
      </c>
    </row>
    <row r="40">
      <c r="A40" s="76" t="inlineStr">
        <is>
          <t>QA-SEC-36</t>
        </is>
      </c>
      <c r="B40" s="76" t="inlineStr">
        <is>
          <t>LOW</t>
        </is>
      </c>
      <c r="C40" s="76" t="inlineStr">
        <is>
          <t>RiskContext / corrupt loss counter</t>
        </is>
      </c>
      <c r="D40" s="76" t="inlineStr">
        <is>
          <t>Fixed</t>
        </is>
      </c>
      <c r="E40" s="76" t="inlineStr">
        <is>
          <t>consecutive_losses = -5 passed the consecutive-loss check, because -5 &lt; 3 is true.</t>
        </is>
      </c>
      <c r="F40" s="76" t="inlineStr">
        <is>
          <t>A negative count is not 'fewer losses' — it means whatever maintains the counter is broken. Treating a broken counter as a clean streak is the same unknown-becomes-fine pattern as QA-SEC-32/33 and E14-S03's AC2. LOW rather than MEDIUM because reaching the state needs an upstream defect that does not exist yet; recorded now because the guard costs one line and the counter's owner (E14-S09) is unwritten.</t>
        </is>
      </c>
      <c r="G40" s="76" t="inlineStr">
        <is>
          <t>__post_init__ refuses a negative count, with a message that says why a smaller number is not a safer one.</t>
        </is>
      </c>
      <c r="H40" s="76" t="inlineStr">
        <is>
          <t>tests/security/test_detail_containment.py TestACorruptLossCounterDoesNotReadAsACleanStreak. Mutation M13.</t>
        </is>
      </c>
    </row>
    <row r="41">
      <c r="A41" s="76" t="inlineStr">
        <is>
          <t>QA-SEC-37</t>
        </is>
      </c>
      <c r="B41" s="76" t="inlineStr">
        <is>
          <t>MEDIUM</t>
        </is>
      </c>
      <c r="C41" s="76" t="inlineStr">
        <is>
          <t>RiskContext / square-off deadline</t>
        </is>
      </c>
      <c r="D41" s="76" t="inlineStr">
        <is>
          <t>Fixed</t>
        </is>
      </c>
      <c r="E41" s="76" t="inlineStr">
        <is>
          <t>A square-off deadline on any day but today PASSED the runway check, silently turning the last time-based gate into a no-op.</t>
        </is>
      </c>
      <c r="F41" s="76" t="inlineStr">
        <is>
          <t>Verified: a deadline of 2030 gave effectively unlimited runway and check 14 passed. The gate would still appear in every log line and in every test that happened to use a sane deadline — a safety control that is present and not working is worse than one that is absent, because nothing prompts anyone to look. This system is intraday (invariant 5 gives every position a time exit), so a deadline on another date did not come from MarketCalendar.squareoff_deadline() and is wrong at its source.</t>
        </is>
      </c>
      <c r="G41" s="76" t="inlineStr">
        <is>
          <t>__post_init__ refuses a deadline whose IST date differs from `now`'s, making the state unrepresentable rather than guarded. Compared in IST because that is the day the market keeps — in UTC an evening moment and the next morning's deadline share a date more often than they should.</t>
        </is>
      </c>
      <c r="H41" s="76" t="inlineStr">
        <is>
          <t>tests/security/test_detail_containment.py TestASquareOffDeadlineIsAlwaysToday — four wrong-day shapes, the error naming both dates, the IST-vs-UTC distinction, and controls that pre-open, mid-session and post-close all still construct (a guard that refused post-close would break the square-off path). Mutations M12, M13, M15.</t>
        </is>
      </c>
    </row>
    <row r="42">
      <c r="A42" s="76" t="inlineStr">
        <is>
          <t>QA-SEC-38</t>
        </is>
      </c>
      <c r="B42" s="76" t="inlineStr">
        <is>
          <t>MEDIUM</t>
        </is>
      </c>
      <c r="C42" s="76" t="inlineStr">
        <is>
          <t>Log integrity / RiskDecision.detail</t>
        </is>
      </c>
      <c r="D42" s="76" t="inlineStr">
        <is>
          <t>Fixed</t>
        </is>
      </c>
      <c r="E42" s="76" t="inlineStr">
        <is>
          <t>The FOURTH appearance of log forgery, and the first where the fix itself had the hole. QA-SEC-30 moved escaping to where details are CONSTRUCTED and put it in CheckOutcome — which covers every detail a CHECK produces. RiskDecision is a second constructor for the same `detail` field, and the sizer writes through THAT one, carrying a binding_constraint CheckOutcome never sees.</t>
        </is>
      </c>
      <c r="F42" s="76" t="inlineStr">
        <is>
          <t>Verified: a newline in binding_constraint reached RiskDecision.detail intact and into the audit payload. It did not forge a log line only because the sizing-rejection path did not log AT ALL — which was itself a gap: the one path that can refuse a candidate that cleared all fourteen checks was the only one that said nothing, so an operator watching the log saw the system go quiet with no reason.</t>
        </is>
      </c>
      <c r="G42" s="76" t="inlineStr">
        <is>
          <t>The definition moved to common/text.py and BOTH constructors use it. A rule that lives on one of two constructors is a rule with a hole in it, and the hole is invisible because the other constructor looks equally reasonable. The sizing rejection now logs like every other rejection — which is what makes the escaping load-bearing rather than theoretical.</t>
        </is>
      </c>
      <c r="H42" s="76" t="inlineStr">
        <is>
          <t>tests/security/test_detail_containment.py TestRiskDecisionIsTheOtherDoorIntoTheSameField — four hostile shapes through the sizer, the one-log-line assertion, an ordinary detail left untouched, the length bound, a None detail staying None, and a test asserting both modules hold the SAME function object so a private copy cannot be reintroduced. Mutations M16, M17.</t>
        </is>
      </c>
    </row>
    <row r="43" ht="150" customHeight="1" s="59">
      <c r="A43" s="76" t="inlineStr">
        <is>
          <t>AUDIT-001</t>
        </is>
      </c>
      <c r="B43" s="76" t="inlineStr">
        <is>
          <t>MEDIUM</t>
        </is>
      </c>
      <c r="C43" s="76" t="inlineStr">
        <is>
          <t>Broker boundary / margin parsing</t>
        </is>
      </c>
      <c r="D43" s="76" t="inlineStr">
        <is>
          <t>Fixed</t>
        </is>
      </c>
      <c r="E43" s="76" t="inlineStr">
        <is>
          <t>fetch_margins read every figure as Decimal(str(available.get("cash", 0) or 0)). A renamed, missing or explicitly null Kite key therefore produced available_margin = 0 with no error, no log line and no metric. Found by the end-to-end audit's boundary pass, not by any test.</t>
        </is>
      </c>
      <c r="F43" s="76" t="inlineStr">
        <is>
          <t>Probed across six payload shapes (renamed key, empty segment, explicit null, partial segment, correct payload, genuinely zero account). All but the last two produced 0. Traced through the REAL risk engine: check 13 refused the candidate as INSUFFICIENT_MARGIN with the operator-facing detail "available margin 0.00 will not cover one share of INFY at 240.00 per share" - sending an operator to inspect a perfectly funded account while the actual fault, a changed broker API, went entirely unreported.</t>
        </is>
      </c>
      <c r="G43" s="76" t="inlineStr">
        <is>
          <t>Added mapping.require_field(payload, key, *, what, alias=None) raising MappingError, with None counted as absent because Kite sends explicit nulls. Applied to cash, live_balance (alias cash) and debits. A genuinely zero margin still parses as 0 - the distinction between 'zero' and 'absent' is the whole point, and collapsing it the other way would have turned a business condition into an integration error.</t>
        </is>
      </c>
      <c r="H43" s="76" t="inlineStr">
        <is>
          <t>tests/unit/test_broker_kite.py TestTheBrokerBoundaryRefusesToGuessANumber - 8 tests including the zero-is-still-a-number control and the alias fallback. Mutations M1, M2, M3, M5, M9 all killed.</t>
        </is>
      </c>
    </row>
    <row r="44" ht="150" customHeight="1" s="59">
      <c r="A44" s="76" t="inlineStr">
        <is>
          <t>AUDIT-002</t>
        </is>
      </c>
      <c r="B44" s="76" t="inlineStr">
        <is>
          <t>MEDIUM</t>
        </is>
      </c>
      <c r="C44" s="76" t="inlineStr">
        <is>
          <t>Broker boundary / order reconciliation</t>
        </is>
      </c>
      <c r="D44" s="76" t="inlineStr">
        <is>
          <t>Fixed</t>
        </is>
      </c>
      <c r="E44" s="76" t="inlineStr">
        <is>
          <t>_to_order used int(row.get("filled_quantity") or 0). Latent rather than active: no order path exists yet. Recorded because the recovery path is already specified and this input is what it would adopt.</t>
        </is>
      </c>
      <c r="F44" s="76" t="inlineStr">
        <is>
          <t>Established the asymmetry that makes this a finding at all: Order.quantity is Field(gt=0), so a silently-zero quantity is REJECTED by the model and fails loudly - genuinely not a finding. filled_quantity is Field(ge=0), so a silent 0 is ACCEPTED and means 'nothing filled'. CLAUDE.md's recovery path queries the broker by client_order_id and ADOPTS ITS ANSWER, resubmitting only if genuinely absent - which is how an answer that wrongly says 'nothing filled' turns one position into two.</t>
        </is>
      </c>
      <c r="G44" s="76" t="inlineStr">
        <is>
          <t>Both quantity and filled_quantity now go through require_field. quantity was already safe via the model; routing it too costs nothing and removes the need for a future reader to re-derive which of the two was protected and why.</t>
        </is>
      </c>
      <c r="H44" s="76" t="inlineStr">
        <is>
          <t>tests/unit/test_broker_kite.py - a missing filled_quantity is refused; a genuinely unfilled order is still 0. Mutations M4, M10 killed.</t>
        </is>
      </c>
    </row>
    <row r="45" ht="150" customHeight="1" s="59">
      <c r="A45" s="76" t="inlineStr">
        <is>
          <t>AUDIT-003</t>
        </is>
      </c>
      <c r="B45" s="76" t="inlineStr">
        <is>
          <t>LOW</t>
        </is>
      </c>
      <c r="C45" s="76" t="inlineStr">
        <is>
          <t>Market calendar / config fidelity</t>
        </is>
      </c>
      <c r="D45" s="76" t="inlineStr">
        <is>
          <t>Fixed</t>
        </is>
      </c>
      <c r="E45" s="76" t="inlineStr">
        <is>
          <t>config/nse_holidays.yaml carries a special_sessions block with a per-entry trade: flag for Muhurat trading. calendar.py never read the block. Standing down on Muhurat (the recorded SPRINT02 Q5 decision) happened anyway - but only because the 2026 date falls on a Sunday and is_trading_day sees a Sunday.</t>
        </is>
      </c>
      <c r="F45" s="76" t="inlineStr">
        <is>
          <t>Behaviour was correct BY ACCIDENT. An operator who set trade: true - a field sitting in the config describing itself - would have changed nothing and had no way to discover that. This is the same shape as 'configuring a limit means the limit is enforced' (E14-S10), where two exposure caps were configured and binding on nothing.</t>
        </is>
      </c>
      <c r="G45" s="76" t="inlineStr">
        <is>
          <t>load_holidays_with_status now raises HolidayDataError at LOAD time if any special_sessions entry sets trade: true, naming the date and the recorded decision. Refusing at load, in the pre-market, is the correct rung: the alternative is discovering it at 13:00 on Diwali.</t>
        </is>
      </c>
      <c r="H45" s="76" t="inlineStr">
        <is>
          <t>tests/unit/test_calendar.py TestASpecialSessionFlagCannotLieAboutItsOwnEffect - 6 tests, including the shipped config still loading and Muhurat still standing down asserted DIRECTLY rather than inferred from the flag. Mutations M6, M7 killed.</t>
        </is>
      </c>
    </row>
    <row r="46" ht="150" customHeight="1" s="59">
      <c r="A46" s="76" t="inlineStr">
        <is>
          <t>AUDIT-004</t>
        </is>
      </c>
      <c r="B46" s="76" t="inlineStr">
        <is>
          <t>LOW</t>
        </is>
      </c>
      <c r="C46" s="76" t="inlineStr">
        <is>
          <t>Layering / dependency containment</t>
        </is>
      </c>
      <c r="D46" s="76" t="inlineStr">
        <is>
          <t>Fixed</t>
        </is>
      </c>
      <c r="E46" s="76" t="inlineStr">
        <is>
          <t>The import graph shows exactly one upward edge: common -&gt; broker, a deferred import of broker.profiles inside AppConfig's rate-limit validator. Deferring it is correct. What makes it CHEAP is undocumented and unguarded: broker/__init__.py is empty, so reaching profiles costs nothing.</t>
        </is>
      </c>
      <c r="F46" s="76" t="inlineStr">
        <is>
          <t>Measured: validating an AppConfig today loads algotrader.broker and algotrader.broker.profiles and no third-party package at all. Add one convenience re-export to broker/__init__.py - the most natural edit imaginable - and every process that validates a config imports kiteconnect, which imports .ticker unconditionally, which loads autobahn and Twisted. CLAUDE.md already records that exact mechanism as a mistake made once. The existing dependency tests check autobahn's VERSION; nothing checked whether it was loaded at all.</t>
        </is>
      </c>
      <c r="G46" s="76" t="inlineStr">
        <is>
          <t>No source change - the current behaviour is correct. The emptiness is now asserted as behaviour instead of trusted to stay. A subprocess check keeps it honest, because the parent's sys.modules is polluted by the rest of the suite and an in-process assertion would pass or fail on test ordering.</t>
        </is>
      </c>
      <c r="H46" s="76" t="inlineStr">
        <is>
          <t>tests/security/test_dependency_hygiene.py TestLoadingAConfigDoesNotDragInTheBrokerStack - the subprocess load check plus an AST control asserting the deferred import is still the only upward one. Mutation M8 killed.</t>
        </is>
      </c>
    </row>
    <row r="47" ht="170" customHeight="1" s="59">
      <c r="A47" s="76" t="inlineStr">
        <is>
          <t>AUDIT-005</t>
        </is>
      </c>
      <c r="B47" s="76" t="inlineStr">
        <is>
          <t>HIGH</t>
        </is>
      </c>
      <c r="C47" s="76" t="inlineStr">
        <is>
          <t>Risk engine / session risk state</t>
        </is>
      </c>
      <c r="D47" s="76" t="inlineStr">
        <is>
          <t>Fixed</t>
        </is>
      </c>
      <c r="E47" s="76" t="inlineStr">
        <is>
          <t>RiskContext carried six fields describing the session's risk state, and every one had a PERMISSIVE default: kill_switch_active=False, unhealthy_services=(), realised_pnl_today=Decimal(0), consecutive_losses=0, daily_loss_halted=False, consecutive_loss_halted=False. So the answer to 'is the kill switch on?' was NO whenever nobody asked. There was no way to express 'I do not know'.</t>
        </is>
      </c>
      <c r="F47" s="76" t="inlineStr">
        <is>
          <t>A fail-open on the most absolute control in the system, and invariant 6 is FAIL CLOSED. A Redis timeout, a half-built context, or a field dropped in a future refactor would each read as 'nothing is halted, trade'. No test could have caught it: a test that omits the field is indistinguishable from one that means 'off'. Proven by the fix - making the six explicit broke 137 existing tests, every one of which had been relying on unknown meaning safe. The context's own docstring already stated the rule these six broke, on the field directly above them: 'None means the broker did not answer, which is a rejection and never an assumption.' Latent rather than active only because no composition root exists yet to build a context - which is exactly when a fail-open is cheapest to fix and most likely to be inherited.</t>
        </is>
      </c>
      <c r="G47" s="76" t="inlineStr">
        <is>
          <t>The six now follow the module's own established pattern - `| None` with no default, read through RiskContext.require() - the same shape already used for available_margin, symbol_restrictions, atr and margin_per_share. Unknown now raises RiskContextError, which the engine reports as RISK_ENGINE_FAULT: a refusal that names the missing input. The cost is that a caller must state the session risk state explicitly, which is the intended cost - 'I did not look' and 'I looked and nothing is halted' are different claims and only one is safe to trade on. E14-S09 will be written against a type that no longer permits the unsafe answer.</t>
        </is>
      </c>
      <c r="H47" s="76" t="inlineStr">
        <is>
          <t>tests/security/test_safety_invariants.py TestSessionRiskStateIsNeverAssumed - 16 tests: each of the six omitted one at a time through the REAL engine (not the check functions, since the engine is what turns a raise into a refusal), the armed/degraded/latched controls proving the checks still do their job, a structural test reading the dataclass so a re-added default is caught even if every caller still passes the value, and a control asserting a fully stated healthy session still APPROVES with a real quantity. Mutations M1-M10 all killed.</t>
        </is>
      </c>
    </row>
    <row r="48" ht="150" customHeight="1" s="59">
      <c r="A48" s="76" t="inlineStr">
        <is>
          <t>KEYS-001</t>
        </is>
      </c>
      <c r="B48" s="76" t="inlineStr">
        <is>
          <t>MEDIUM</t>
        </is>
      </c>
      <c r="C48" s="76" t="inlineStr">
        <is>
          <t>Redis keyspace / guardrail integrity</t>
        </is>
      </c>
      <c r="D48" s="76" t="inlineStr">
        <is>
          <t>Fixed</t>
        </is>
      </c>
      <c r="E48" s="76" t="inlineStr">
        <is>
          <t>keys.py's docstring says 'No key string literal may appear anywhere else in the codebase... it is enforced by a test that enumerates the builders.' The test checked one direction only - that every name in ALL_BUILDERS is callable. Nothing checked that every defined builder is listed, and nothing at all checked for key literals elsewhere.</t>
        </is>
      </c>
      <c r="F48" s="76" t="inlineStr">
        <is>
          <t>Two builders had already slipped through: data_rate_limit and broker_session were defined and absent from the tuple, invisible to the very check meant to enumerate the keyspace. The consequence is spelled out in that same docstring: a typo'd key does not raise, it silently reads None - 'no position', 'no plan', 'kill switch not set'. Found while adding a halt-latch builder, which made it immediate: the guardrail meant to keep kill-switch keys honest did not work.</t>
        </is>
      </c>
      <c r="G48" s="76" t="inlineStr">
        <is>
          <t>The test now asserts both directions, and ALL_BUILDERS is complete. The docstring's stronger claim - that no key literal exists elsewhere in the codebase - remains unenforced and is now stated as such rather than asserted; raising it as its own check would need an AST sweep over every module and is not this story.</t>
        </is>
      </c>
      <c r="H48" s="76" t="inlineStr">
        <is>
          <t>tests/integration/test_redis_layer.py::test_every_builder_is_declared, which fails today against the pre-fix tuple.</t>
        </is>
      </c>
    </row>
    <row r="49">
      <c r="A49" s="76" t="inlineStr">
        <is>
          <t>REC-001</t>
        </is>
      </c>
      <c r="B49" s="76" t="inlineStr">
        <is>
          <t>HIGH</t>
        </is>
      </c>
      <c r="C49" s="76" t="inlineStr">
        <is>
          <t>execution/reconciliation.py - order attribution</t>
        </is>
      </c>
      <c r="D49" s="76" t="inlineStr">
        <is>
          <t>Fixed</t>
        </is>
      </c>
      <c r="E49" s="76" t="inlineStr">
        <is>
          <t>Attribution by tag can be spoofed. A broker order carrying our 20-character tag is counted as ours, and a tag is readable by anyone with access to the account. Faced with our FILLED entry and a foreign order with the same tag, the first version raised no halt, never examined the duplicate (terminal rows skip order reconciliation), and exited all 140 shares.</t>
        </is>
      </c>
      <c r="F49" s="76" t="inlineStr">
        <is>
          <t>An unknown position hidden from the one check that exists to find it, and the reconciler trading 100 shares that were not ours - the one thing its design says it must never do. The non-malicious path is the same shape: a real duplicate from failed idempotency raised no halt when the row was terminal.</t>
        </is>
      </c>
      <c r="G49" s="76" t="inlineStr">
        <is>
          <t>A cycle-level duplicate check that sees every key regardless of row status, halts with its own reason (HaltReason.DUPLICATE_ORDER - not UNKNOWN_POSITION, because the shares carry our key), reports once, and marks the correlation doubted so the unbooked-exit step never trades it. Found by the STRIDE pass against the story's own attribution rule; probed and confirmed failing first.</t>
        </is>
      </c>
      <c r="H49" s="76" t="inlineStr">
        <is>
          <t>tests/unit/test_reconciliation.py::TestACopiedTagIsNotOurs (6 tests, incl. control). Mutations M22, M23 killed.</t>
        </is>
      </c>
    </row>
    <row r="50">
      <c r="A50" s="76" t="inlineStr">
        <is>
          <t>REC-002</t>
        </is>
      </c>
      <c r="B50" s="76" t="inlineStr">
        <is>
          <t>MEDIUM</t>
        </is>
      </c>
      <c r="C50" s="76" t="inlineStr">
        <is>
          <t>execution/reconciliation.py - halt record</t>
        </is>
      </c>
      <c r="D50" s="76" t="inlineStr">
        <is>
          <t>Fixed</t>
        </is>
      </c>
      <c r="E50" s="76" t="inlineStr">
        <is>
          <t>The BROKER_DISCONNECTED halt detail embedded the broker exception's message. The halt record is written to Redis, a sink the logging layer's redaction (RedactingFilter) never sees.</t>
        </is>
      </c>
      <c r="F50" s="76" t="inlineStr">
        <is>
          <t>Any credential-shaped text in a broker exception would be stored unredacted in Redis for the rest of the day. Not demonstrated with a real Kite message - its errors name fields, not values - so graded MEDIUM rather than as a disclosure.</t>
        </is>
      </c>
      <c r="G50" s="76" t="inlineStr">
        <is>
          <t>Structural rather than a scrub: the halt records the exception TYPE and the failure count, never its text. The full message still reaches the ERROR log line, which is redacted. One rung above scrubbing text on its way into a sink.</t>
        </is>
      </c>
      <c r="H50" s="76" t="inlineStr">
        <is>
          <t>tests/unit/test_reconciliation.py::TestNothingSecretReachesTheHaltRecord. Mutation M30 killed.</t>
        </is>
      </c>
    </row>
    <row r="51" s="59">
      <c r="A51" s="76" t="inlineStr">
        <is>
          <t>REC-003</t>
        </is>
      </c>
      <c r="B51" s="76" t="inlineStr">
        <is>
          <t>MEDIUM</t>
        </is>
      </c>
      <c r="C51" s="76" t="inlineStr">
        <is>
          <t>execution/reconciliation.py - booking drift</t>
        </is>
      </c>
      <c r="D51" s="76" t="inlineStr">
        <is>
          <t>Fixed</t>
        </is>
      </c>
      <c r="E51" s="76" t="inlineStr">
        <is>
          <t>When booking failed with StopNotEstablishedError, the UNPROTECTED drift detail carried that exception's message - which embeds the broker's own error text - into decision_log, a sink the logging layer's redaction never sees.</t>
        </is>
      </c>
      <c r="F51" s="76" t="inlineStr">
        <is>
          <t>Broker error text stored unredacted in the audit table. Same class as REC-002, one sink along. Not demonstrated with a real Kite message, so MEDIUM.</t>
        </is>
      </c>
      <c r="G51" s="76" t="inlineStr">
        <is>
          <t>The detail records the exception TYPE only. Found by the STRIDE pass against E15-S12's own diff.</t>
        </is>
      </c>
      <c r="H51" s="76" t="inlineStr">
        <is>
          <t>tests/unit/test_reconciliation.py::TestS12NothingSecretReachesTheAuditTable. Mutation M17 killed.</t>
        </is>
      </c>
    </row>
    <row r="52">
      <c r="A52" s="76" t="inlineStr">
        <is>
          <t>DEP-001</t>
        </is>
      </c>
      <c r="B52" s="76" t="inlineStr">
        <is>
          <t>MEDIUM</t>
        </is>
      </c>
      <c r="C52" s="76" t="inlineStr">
        <is>
          <t>Dependency supply chain - urllib3 (via requests/kiteconnect, docker, testcontainers)</t>
        </is>
      </c>
      <c r="D52" s="76" t="inlineStr">
        <is>
          <t>Fixed</t>
        </is>
      </c>
      <c r="E52" s="76" t="inlineStr">
        <is>
          <t>QA CI on the E15-S12 promotion (4426069) failed the dependency audit: urllib3 2.7.0 carries PYSEC-2026-4175 (CVE-2026-97687, HTTPS-proxy TLS settings not separated from the target's - CERT_NONE for a target could disable proxy certificate verification in place), PYSEC-2026-4176 (CVE-2026-97688, infinite loop streaming a chunked deflate response with trailing bytes) and PYSEC-2026-4177 (CVE-2026-97689, unbounded buffering of a chunk-size line). All fixed in 2.8.0. Published after the DEV audit passed on 30 Sep; no dependency changed between the two runs.</t>
        </is>
      </c>
      <c r="F52" s="76" t="inlineStr">
        <is>
          <t>urllib3 is the transport under requests, which kiteconnect uses for every broker REST call - orders, positions, the order book. The streaming bugs need a malicious server and the proxy bug needs an HTTPS forwarding proxy, neither configured today, but the broker channel is the one path where a degraded or impersonated peer reaches money.</t>
        </is>
      </c>
      <c r="G52" s="76" t="inlineStr">
        <is>
          <t>constraints.txt urllib3==2.7.0 -&gt; 2.8.0 (pure Python; requests bounds &lt;3, docker &gt;=1.26, testcontainers unbounded - resolution unchanged otherwise). pip check clean apart from the known, intended autobahn override (B7).</t>
        </is>
      </c>
      <c r="H52" s="76" t="inlineStr">
        <is>
          <t>pip-audit --skip-editable --ignore-vuln CVE-2026-106454 exits 0; full gate green on the bump; CI's audit step is the regression check and now also prints the urllib3 version it audited.</t>
        </is>
      </c>
    </row>
    <row r="53">
      <c r="A53" s="76" t="inlineStr">
        <is>
          <t>DEP-002</t>
        </is>
      </c>
      <c r="B53" s="76" t="inlineStr">
        <is>
          <t>LOW</t>
        </is>
      </c>
      <c r="C53" s="76" t="inlineStr">
        <is>
          <t>Dependency supply chain - Twisted (via kiteconnect -&gt; autobahn[twisted])</t>
        </is>
      </c>
      <c r="D53" s="76" t="inlineStr">
        <is>
          <t>Accepted risk</t>
        </is>
      </c>
      <c r="E53" s="76" t="inlineStr">
        <is>
          <t>Twisted 26.4.0 carries CVE-2026-106454 / GHSA-8pqf-f4m5-798g (CVSS 4.3, published to GitHub 15 Aug 2026, to NVD 6 Oct): wildcardToRegexp() in twisted/mail/imap4.py compiles an IMAP LIST/LSUB pattern without escaping it, so an authenticated IMAP client can send a catastrophic-backtracking regex and stall a Twisted IMAP SERVER's reactor. Affected &lt;= 26.4.0, patched: none (advisory checked 15 Oct 2026). The vulnerable source was confirmed present on disk in the installed package.</t>
        </is>
      </c>
      <c r="F53" s="76" t="inlineStr">
        <is>
          <t>None reachable. Exploitation needs a Twisted IMAP4 server accepting logins. This system runs no IMAP server, never runs the Twisted reactor, and never imports twisted.mail: importing kiteconnect plus every algotrader module in a clean interpreter loads 90 Twisted modules and none under twisted.mail. Twisted cannot be removed (kiteconnect/__init__ imports .ticker, which imports twisted.internet) or upgraded past the finding (no fixed release). Rated LOW for this system: present, unreachable, availability-only.</t>
        </is>
      </c>
      <c r="G53" s="76" t="inlineStr">
        <is>
          <t>The audit ignores exactly this ID (--ignore-vuln CVE-2026-106454) in both CI commands and make audit - never the package, so any OTHER Twisted advisory still fails the gate. The ignore is an executable claim: ACCEPTED_ADVISORIES records the ID with the package and the version it was assessed against.</t>
        </is>
      </c>
      <c r="H53" s="76" t="inlineStr">
        <is>
          <t>tests/security/test_dependency_hygiene.py::TestTheAcceptedTwistedAdvisory (8 tests): the clean-interpreter load probe never reaches twisted.mail, with a control proving the probe sees it when it IS imported; no src file imports twisted/autobahn, with a control on the scanner; every audit site ignores exactly the accepted set; the installed and constrained Twisted equal the assessed version, so a Twisted upgrade fails the build until the ignore is removed or re-assessed.</t>
        </is>
      </c>
    </row>
    <row r="54">
      <c r="A54" s="76" t="inlineStr">
        <is>
          <t>DEP-003</t>
        </is>
      </c>
      <c r="B54" s="76" t="inlineStr">
        <is>
          <t>LOW</t>
        </is>
      </c>
      <c r="C54" s="76" t="inlineStr">
        <is>
          <t>Build tooling - Makefile audit target</t>
        </is>
      </c>
      <c r="D54" s="76" t="inlineStr">
        <is>
          <t>Fixed</t>
        </is>
      </c>
      <c r="E54" s="76" t="inlineStr">
        <is>
          <t>make audit ran bare `pip-audit` while CI ran `pip-audit --skip-editable`. The two audits were not the same check, and the local one was the one the sdlc skill did not point at.</t>
        </is>
      </c>
      <c r="F54" s="76" t="inlineStr">
        <is>
          <t>A developer's audit and CI's could disagree about whether the tree was clean. Found by the new audit-site test on its first run, before any wiring - the probe failed for a reason nobody had written down.</t>
        </is>
      </c>
      <c r="G54" s="76" t="inlineStr">
        <is>
          <t>make audit now runs the CI command verbatim, including the accepted advisory; the sdlc skill's Phase 7 command is `make audit`.</t>
        </is>
      </c>
      <c r="H54" s="76" t="inlineStr">
        <is>
          <t>TestTheAcceptedTwistedAdvisory::test_every_audit_is_skip_editable_and_not_strict and ::test_every_audit_ignores_exactly_the_accepted_set cover both sites.</t>
        </is>
      </c>
    </row>
    <row r="55">
      <c r="A55" s="76" t="inlineStr">
        <is>
          <t>AUDIT-006</t>
        </is>
      </c>
      <c r="B55" s="76" t="inlineStr">
        <is>
          <t>CRITICAL</t>
        </is>
      </c>
      <c r="C55" s="76" t="inlineStr">
        <is>
          <t>execution/gateway.py + common/models/trading.py - decision binding</t>
        </is>
      </c>
      <c r="D55" s="76" t="inlineStr">
        <is>
          <t>Fixed</t>
        </is>
      </c>
      <c r="E55" s="76" t="inlineStr">
        <is>
          <t>RiskDecision carried no identity of the recommendation it decided - approved, sizing and checks_passed only - and OrderGateway.build_entry took the decision and the recommendation as two separate arguments. Nothing tied them together.</t>
        </is>
      </c>
      <c r="F55" s="76" t="inlineStr">
        <is>
          <t>Latent today (no production caller yet; E15-S13 wires it), real the moment it is wired: an approval for one candidate handed in beside another's recommendation built an order for the second at the first one's size - another symbol, or the opposite direction - and every object involved validated on its own. Demonstrated in-repo: the SIT harness had done exactly this in every gateway submission for weeks (SIT-008).</t>
        </is>
      </c>
      <c r="G55" s="76" t="inlineStr">
        <is>
          <t>RiskDecision gained correlation_id, symbol and direction, stamped by approve()/reject() from the recommendation; the engine passes it on all five exits. build_entry refuses a pair that is not is_for() each other with DecisionMismatchError, BEFORE the approval check, so crossed wiring is named rather than hidden behind 'not approved'.</t>
        </is>
      </c>
      <c r="H55" s="76" t="inlineStr">
        <is>
          <t>tests/unit/test_gateway.py::TestADecisionIsOnlyEverSentForWhatItDecided (crossed symbol / direction / signal, nothing sent and no row written; control); tests/unit/test_risk_framework.py::TestEveryDecisionSaysWhatItDecided (all 7 engine exits; is_for control). Mutations M1-M4 killed.</t>
        </is>
      </c>
    </row>
    <row r="56">
      <c r="A56" s="76" t="inlineStr">
        <is>
          <t>AUDIT-007</t>
        </is>
      </c>
      <c r="B56" s="76" t="inlineStr">
        <is>
          <t>HIGH</t>
        </is>
      </c>
      <c r="C56" s="76" t="inlineStr">
        <is>
          <t>ingest/kite_ws.py, broker/kite/session.py - credential holding</t>
        </is>
      </c>
      <c r="D56" s="76" t="inlineStr">
        <is>
          <t>Fixed</t>
        </is>
      </c>
      <c r="E56" s="76" t="inlineStr">
        <is>
          <t>KiteFeed held the broker access token as a plain `str` field on a dataclass, whose generated __repr__ prints every field. exchange_request_token returned the raw token as a str, contradicting its own module's 'revealed in exactly two places'.</t>
        </is>
      </c>
      <c r="F56" s="76" t="inlineStr">
        <is>
          <t>Invariant 4 violated in shipped code: any log line or traceback rendering the feed wrote the bearer credential in clear. It survived every audit because the only structural check looked at BrokerSession alone.</t>
        </is>
      </c>
      <c r="G56" s="76" t="inlineStr">
        <is>
          <t>KiteFeed.access_token is a SecretString (a plain str is refused with TypeError) and is revealed only where the URL is built. exchange_request_token returns None; callers use build_client. A new structural invariant scans EVERY class in src for credential-named fields typed str, with an assessed allowlist (broker_token, instrument_token are public ids).</t>
        </is>
      </c>
      <c r="H56" s="76" t="inlineStr">
        <is>
          <t>tests/security/test_safety_invariants.py::TestCredentialsAreHeldAsSecrets (whole-src scan; control proves it flags the pre-fix KiteFeed); tests/unit/test_ingest_feed.py::TestTheFeedNeverHoldsThePlainToken. Mutation M18 killed.</t>
        </is>
      </c>
    </row>
    <row r="57">
      <c r="A57" s="76" t="inlineStr">
        <is>
          <t>AUDIT-008</t>
        </is>
      </c>
      <c r="B57" s="76" t="inlineStr">
        <is>
          <t>HIGH</t>
        </is>
      </c>
      <c r="C57" s="76" t="inlineStr">
        <is>
          <t>common/logging.py + common/secrets.py - redaction</t>
        </is>
      </c>
      <c r="D57" s="76" t="inlineStr">
        <is>
          <t>Fixed</t>
        </is>
      </c>
      <c r="E57" s="76" t="inlineStr">
        <is>
          <t>Probed with kiteconnect's own debug formats: the redactor let api_key, request_token, checksum and access_token through in JSON ('"api_key": "..."') and in Python dict repr, and had no pattern for Kite's 'token key:secret' Authorization header. register_secret_values was never called anywhere, so the value-scrubbing layer the module calls 'the real work' was empty. websockets/kiteconnect/requests were not pinned at WARNING. Found while fixing: the layers interfered - value-scrubbing first turned 'token key:secret' into 'token key:***', which the header pattern no longer matched, leaking the key (a test that passed alone and failed in the suite).</t>
        </is>
      </c>
      <c r="F57" s="76" t="inlineStr">
        <is>
          <t>No live leak with default configuration (kiteconnect's debug output is gated on its own flag, which nothing sets), but a defence that silently did not cover what it claimed: one log.info of a session payload, or root logging at DEBUG, would have written broker credentials to disk.</t>
        </is>
      </c>
      <c r="G57" s="76" t="inlineStr">
        <is>
          <t>Quoted-key pattern (keeps the key, masks the value); Kite header pattern; every SecretString registers its own value at construction (&gt;= 8 chars) and the redactor scrubs registered values longest-first; patterns now run BEFORE value-scrubbing; NOISY_LIBRARIES adds websockets, kiteconnect, requests.</t>
        </is>
      </c>
      <c r="H57" s="76" t="inlineStr">
        <is>
          <t>tests/security/test_log_redaction.py::TestTheShapesTheBrokerSdkActuallyLogs (6 real shapes + deterministic layer-interference case + no-false-positive control), ::TestASecretStringScrubsItsOwnValue, ::TestNoisyLibrariesStayQuietAtDebug. Mutations M20-M22, M33 killed.</t>
        </is>
      </c>
    </row>
    <row r="58">
      <c r="A58" s="76" t="inlineStr">
        <is>
          <t>AUDIT-009</t>
        </is>
      </c>
      <c r="B58" s="76" t="inlineStr">
        <is>
          <t>HIGH</t>
        </is>
      </c>
      <c r="C58" s="76" t="inlineStr">
        <is>
          <t>execution/protective_stop.py + broker/kite/mapping.py - stop liveness</t>
        </is>
      </c>
      <c r="D58" s="76" t="inlineStr">
        <is>
          <t>Fixed</t>
        </is>
      </c>
      <c r="E58" s="76" t="inlineStr">
        <is>
          <t>is_live() was a denylist - live meant 'not REJECTED or CANCELLED'. mapping.status_in sends every unrecognised Kite status to RECONCILE_REQUIRED, which therefore counted as a protecting stop. Kite documents three interim statuses the table did not map (CANCEL PENDING, MODIFY VALIDATION PENDING, AMO REQ RECEIVED; kite.trade/docs/connect/v3/orders fetched 27 Oct 2026) and says 'there may be other values as well'.</t>
        </is>
      </c>
      <c r="F58" s="76" t="inlineStr">
        <is>
          <t>A stop in a status nobody could interpret produced an EstablishedPosition - a type whose whole meaning is 'the broker confirmed a live stop' - and the reconciliation predicate kept reporting the position as protected.</t>
        </is>
      </c>
      <c r="G58" s="76" t="inlineStr">
        <is>
          <t>is_live is an allowlist: SUBMITTED, OPEN, PARTIAL, FILLED. The documented statuses are mapped explicitly so ordinary broker behaviour stays off the fail-closed path; an undocumented one now exits the position (and an exit in an unknown state halts).</t>
        </is>
      </c>
      <c r="H58" s="76" t="inlineStr">
        <is>
          <t>tests/unit/test_protective_stop.py::...test_live_is_an_allowlist_over_every_status (every OrderStatus member), ::test_a_stop_in_a_status_nobody_modelled_is_exited_not_trusted; tests/unit/test_broker_kite.py::...test_every_documented_status_is_modelled. Mutations M8, M9 killed.</t>
        </is>
      </c>
    </row>
    <row r="59">
      <c r="A59" s="76" t="inlineStr">
        <is>
          <t>AUDIT-010</t>
        </is>
      </c>
      <c r="B59" s="76" t="inlineStr">
        <is>
          <t>HIGH</t>
        </is>
      </c>
      <c r="C59" s="76" t="inlineStr">
        <is>
          <t>execution/risk/context.py - slots and open positions</t>
        </is>
      </c>
      <c r="D59" s="76" t="inlineStr">
        <is>
          <t>Fixed</t>
        </is>
      </c>
      <c r="E59" s="76" t="inlineStr">
        <is>
          <t>slots_used was never checked for sign: slots_total=0, slots_used=-1 gave slots_available = 1. OpenPosition validated nothing: a negative quantity counted a long as a short, zero dropped a held position from every total, a NaN or negative price corrupted notional.</t>
        </is>
      </c>
      <c r="F59" s="76" t="inlineStr">
        <is>
          <t>Latent (RiskContext is built only in tests until E14-S09/E15-S13 wiring), but each is a fail-OPEN: check 7 passing on a book with no slots, and the sector / net-exposure caps reading more room than exists.</t>
        </is>
      </c>
      <c r="G59" s="76" t="inlineStr">
        <is>
          <t>Slot counts must be non-negative ints. OpenPosition.__post_init__ refuses non-positive or non-int quantity, non-finite or non-positive prices, a blank sector (unknown stays None, which check 9 refuses), a non-Direction direction.</t>
        </is>
      </c>
      <c r="H59" s="76" t="inlineStr">
        <is>
          <t>tests/unit/test_risk_framework.py::TestSlotCountsCannotInventCapacity, ::TestAnOpenPositionCannotLoosenTheCaps (12 refusals + the arithmetic + control). Mutations M5-M7 killed.</t>
        </is>
      </c>
    </row>
    <row r="60">
      <c r="A60" s="76" t="inlineStr">
        <is>
          <t>AUDIT-011</t>
        </is>
      </c>
      <c r="B60" s="76" t="inlineStr">
        <is>
          <t>HIGH</t>
        </is>
      </c>
      <c r="C60" s="76" t="inlineStr">
        <is>
          <t>ingest/cleaning.py - outlier filter and volume check</t>
        </is>
      </c>
      <c r="D60" s="76" t="inlineStr">
        <is>
          <t>Fixed</t>
        </is>
      </c>
      <c r="E60" s="76" t="inlineStr">
        <is>
          <t>The outlier filter compared each print with the last ACCEPTED one and only an accepted print moved that baseline. Probed: a genuine 3% move at the open accepted 0 of the next 199 prints; a bad first print rejected 0 of 99 good ones. The volume check compared across sessions: a pipeline living past midnight accepted 0 of 50 next-session ticks.</t>
        </is>
      </c>
      <c r="F60" s="76" t="inlineStr">
        <is>
          <t>An instrument froze at a stale price for the rest of the session while the rejection count read as routine (looks_unhealthy aggregates the whole universe) - and the names that freeze are exactly the ones moving most. A silent wrong answer.</t>
        </is>
      </c>
      <c r="G60" s="76" t="inlineStr">
        <is>
          <t>REBASELINE_CONFIRMATIONS = 3 consecutive prints at a new level, each within the bound of the one before, re-anchor the filter; one bad print still never lands, a run broken by an ordinary print earns no credit, the circuit band stays absolute; re-anchors are counted separately from rejections. Cumulative volume is compared only within one IST trading day.</t>
        </is>
      </c>
      <c r="H60" s="76" t="inlineStr">
        <is>
          <t>tests/unit/test_ingest_cleaning.py::TestALevelThatPersistsIsReal (3 fixes + 5 controls), ::TestVolumeRestartsEverySession (incl. an IST-vs-UTC discriminating case). After the fix: 197/199, 97/99, 50/50. Mutations M14-M16 killed (M15 only after adding the alternating-print test).</t>
        </is>
      </c>
    </row>
    <row r="61">
      <c r="A61" s="76" t="inlineStr">
        <is>
          <t>AUDIT-012</t>
        </is>
      </c>
      <c r="B61" s="76" t="inlineStr">
        <is>
          <t>HIGH</t>
        </is>
      </c>
      <c r="C61" s="76" t="inlineStr">
        <is>
          <t>strategy/runtime.py + strategy/context.py - declared constraints</t>
        </is>
      </c>
      <c r="D61" s="76" t="inlineStr">
        <is>
          <t>Fixed</t>
        </is>
      </c>
      <c r="E61" s="76" t="inlineStr">
        <is>
          <t>Four strategy declarations were parsed, validated and folded into the content hash, and read by nothing: Applicability.sectors, constraints.entry_window, min_bars_since_open, and max_entries_per_day - which defaults to 1 on EVERY strategy.</t>
        </is>
      </c>
      <c r="F61" s="76" t="inlineStr">
        <is>
          <t>A strategy stopped out could re-enter the same symbol again and again in one day while its document said once; it traded outside its declared hours and sectors. The same 'configured limit binding nothing' defect E14-S10 fixed for the exposure caps.</t>
        </is>
      </c>
      <c r="G61" s="76" t="inlineStr">
        <is>
          <t>StrategyEvaluator.applies_to enforces all four. EvalContext gained sector and entries_today; both 'unknown' values refuse (AUDIT-005's rule). The entry window is IST, start-inclusive, end-exclusive. Wiring (E15-S13) must supply entries_today from the order book.</t>
        </is>
      </c>
      <c r="H61" s="76" t="inlineStr">
        <is>
          <t>tests/unit/test_strategy_runtime.py::TestDeclaredConstraintsBindTheRuntime (each binds, unknown refuses, boundary cases, a control that the strategy still fires). Mutations M27-M30 killed.</t>
        </is>
      </c>
    </row>
    <row r="62">
      <c r="A62" s="76" t="inlineStr">
        <is>
          <t>AUDIT-013</t>
        </is>
      </c>
      <c r="B62" s="76" t="inlineStr">
        <is>
          <t>MEDIUM</t>
        </is>
      </c>
      <c r="C62" s="76" t="inlineStr">
        <is>
          <t>strategy/dsl.py - strategy documents as untrusted input</t>
        </is>
      </c>
      <c r="D62" s="76" t="inlineStr">
        <is>
          <t>Fixed</t>
        </is>
      </c>
      <c r="E62" s="76" t="inlineStr">
        <is>
          <t>exit.stop only had to be 'an exit primitive', and r_multiple_target, trail_after_r and squareoff_deadline all are - so 'stop: r_multiple_target' compiled. 'int' params accepted floats (14.7 ran as 14 while the hash kept 14.7); NaN passed any unbounded param and raised InvalidOperation (not caught by compile_strategy) against a bound; 'str' params were unchecked; condition lists were capped only AFTER parsing; YAML anchors/aliases allowed (a YAML bomb); an exit primitive could be an entry condition.</t>
        </is>
      </c>
      <c r="F62" s="76" t="inlineStr">
        <is>
          <t>Live orders were still protected (the sizer computes the executable stop from ATR) and the runtime refused an unevaluable stop at the first trigger - so a fail-closed at runtime, but the DSL's documented guarantee ('cannot express no stop loss') was false, and identical strategies could count as distinct trials, inflating the overfitting control's trial count.</t>
        </is>
      </c>
      <c r="G62" s="76" t="inlineStr">
        <is>
          <t>PrimitiveSpec.exit_role; each exit slot requires its own role; entries may not use exit primitives; strict int, finite-only numbers, typed+bounded str, typed enum; per-group (12) and per-condition (16) caps at parse; entry_window parsed and validated; sectors/min_price bounded; YAML size cap 64 KiB and no anchors/aliases; compile_strategy also catches ArithmeticError. Runtime _int accepts an int only.</t>
        </is>
      </c>
      <c r="H62" s="76" t="inlineStr">
        <is>
          <t>tests/unit/test_strategy_dsl.py::TestEveryExitSlotTakesItsOwnKindOfExit, ::TestParametersAreWhatTheyClaim, ::TestDeclaredConstraintsAreWellFormed, ::TestTheYamlLoaderIsBounded; tests/unit/test_strategy_runtime.py::TestAnIntegerParameterIsNeverTruncatedAtRuntime. Mutations M23-M26, M31, M32 killed.</t>
        </is>
      </c>
    </row>
    <row r="63">
      <c r="A63" s="76" t="inlineStr">
        <is>
          <t>AUDIT-014</t>
        </is>
      </c>
      <c r="B63" s="76" t="inlineStr">
        <is>
          <t>MEDIUM</t>
        </is>
      </c>
      <c r="C63" s="76" t="inlineStr">
        <is>
          <t>broker/kite/trading.py + execution/gateway.py - rate limit after TX1</t>
        </is>
      </c>
      <c r="D63" s="76" t="inlineStr">
        <is>
          <t>Fixed</t>
        </is>
      </c>
      <c r="E63" s="76" t="inlineStr">
        <is>
          <t>The Kite adapter takes an order token inside place_order - AFTER the gateway's SUBMITTING record - and its refusal was the limiter's own RuntimeError, outside the broker taxonomy. Kite's own 429 reached the gateway the same way.</t>
        </is>
      </c>
      <c r="F63" s="76" t="inlineStr">
        <is>
          <t>The SIT-003 shape one layer down: a SUBMITTING row for an order that never left, which reconciliation hunts every cycle, and an exception type no caller handles.</t>
        </is>
      </c>
      <c r="G63" s="76" t="inlineStr">
        <is>
          <t>The adapter translates RateLimitExceededError into RateLimitError on both the order and read paths. The gateway records a RateLimitError as REJECTED (so the stale signal can never be resubmitted) and raises its own RateLimitedError.</t>
        </is>
      </c>
      <c r="H63" s="76" t="inlineStr">
        <is>
          <t>tests/unit/test_gateway.py::TestARateLimitAfterTheRecordIsRecordedAsRefused, ::TestTheAdapterSpeaksTheTaxonomy; integration tests updated to the taxonomy. Mutations M10, M11 killed.</t>
        </is>
      </c>
    </row>
    <row r="64">
      <c r="A64" s="76" t="inlineStr">
        <is>
          <t>AUDIT-015</t>
        </is>
      </c>
      <c r="B64" s="76" t="inlineStr">
        <is>
          <t>MEDIUM</t>
        </is>
      </c>
      <c r="C64" s="76" t="inlineStr">
        <is>
          <t>broker/kite/market_data.py - instrument sync</t>
        </is>
      </c>
      <c r="D64" s="76" t="inlineStr">
        <is>
          <t>Fixed</t>
        </is>
      </c>
      <c r="E64" s="76" t="inlineStr">
        <is>
          <t>The instrument sync stored tick_size 0.05 for any row missing a tick (or carrying 0) and lot_size 1 for any row missing one - the hardcoded fallback the trading adapter refuses by design, moved upstream where that refusal could not see it.</t>
        </is>
      </c>
      <c r="F64" s="76" t="inlineStr">
        <is>
          <t>A stop snapped to a grid the exchange may reject is rejected, and a rejected stop is an emergency exit.</t>
        </is>
      </c>
      <c r="G64" s="76" t="inlineStr">
        <is>
          <t>Both required via require_field; a row that cannot state its grid is skipped and logged, so a rising count says the dump's shape moved. A genuine 0.01 tick survives exactly.</t>
        </is>
      </c>
      <c r="H64" s="76" t="inlineStr">
        <is>
          <t>tests/unit/test_broker_kite.py::...test_an_instrument_that_cannot_state_its_grid_is_skipped_not_defaulted. Mutation M13 killed.</t>
        </is>
      </c>
    </row>
    <row r="65">
      <c r="A65" s="76" t="inlineStr">
        <is>
          <t>AUDIT-016</t>
        </is>
      </c>
      <c r="B65" s="76" t="inlineStr">
        <is>
          <t>MEDIUM</t>
        </is>
      </c>
      <c r="C65" s="76" t="inlineStr">
        <is>
          <t>ingest/kite_ws.py - feed staleness</t>
        </is>
      </c>
      <c r="D65" s="76" t="inlineStr">
        <is>
          <t>Fixed</t>
        </is>
      </c>
      <c r="E65" s="76" t="inlineStr">
        <is>
          <t>A heartbeat set FeedStats.last_tick_at - the field documented as what the health gate reads.</t>
        </is>
      </c>
      <c r="F65" s="76" t="inlineStr">
        <is>
          <t>A connection that stayed up while the subscribed ticks stopped flowing read as fresh every second.</t>
        </is>
      </c>
      <c r="G65" s="76" t="inlineStr">
        <is>
          <t>Heartbeats set last_heartbeat_at; last_tick_at means data only.</t>
        </is>
      </c>
      <c r="H65" s="76" t="inlineStr">
        <is>
          <t>tests/unit/test_ingest_feed.py::TestAHeartbeatIsNotData. Mutation M19 killed.</t>
        </is>
      </c>
    </row>
    <row r="66">
      <c r="A66" s="76" t="inlineStr">
        <is>
          <t>AUDIT-017</t>
        </is>
      </c>
      <c r="B66" s="76" t="inlineStr">
        <is>
          <t>LOW</t>
        </is>
      </c>
      <c r="C66" s="76" t="inlineStr">
        <is>
          <t>broker/kite/trading.py - null ids</t>
        </is>
      </c>
      <c r="D66" s="76" t="inlineStr">
        <is>
          <t>Fixed</t>
        </is>
      </c>
      <c r="E66" s="76" t="inlineStr">
        <is>
          <t>place_order guarded with `if not str(result)`, and str(None) is 'None' (truthy). _to_order rendered a missing order_id or tradingsymbol as the string 'None' - which passes the symbol allowlist.</t>
        </is>
      </c>
      <c r="F66" s="76" t="inlineStr">
        <is>
          <t>A null order id recorded as landed under broker order 'None'; an incomplete row adoptable by the recovery path.</t>
        </is>
      </c>
      <c r="G66" s="76" t="inlineStr">
        <is>
          <t>A null or blank id is AmbiguousOrderError; order_id and tradingsymbol are required.</t>
        </is>
      </c>
      <c r="H66" s="76" t="inlineStr">
        <is>
          <t>tests/unit/test_broker_kite.py::...test_a_null_order_id_is_ambiguous_not_broker_order_none, ::...test_an_order_row_without_its_identity_is_refused_not_named_none. Mutation M12 killed.</t>
        </is>
      </c>
    </row>
    <row r="67">
      <c r="A67" s="76" t="inlineStr">
        <is>
          <t>AUDIT-018</t>
        </is>
      </c>
      <c r="B67" s="76" t="inlineStr">
        <is>
          <t>LOW</t>
        </is>
      </c>
      <c r="C67" s="76" t="inlineStr">
        <is>
          <t>ingest/kite_protocol.py - frame splitting</t>
        </is>
      </c>
      <c r="D67" s="76" t="inlineStr">
        <is>
          <t>Fixed</t>
        </is>
      </c>
      <c r="E67" s="76" t="inlineStr">
        <is>
          <t>split_frame refused a frame SHORTER than its declared packets but accepted one with trailing bytes, though its docstring promised to reject any whose lengths do not add up.</t>
        </is>
      </c>
      <c r="F67" s="76" t="inlineStr">
        <is>
          <t>A misaligned read or a protocol change parsing as a good frame.</t>
        </is>
      </c>
      <c r="G67" s="76" t="inlineStr">
        <is>
          <t>Bytes the packets do not account for raise ProtocolError.</t>
        </is>
      </c>
      <c r="H67" s="76" t="inlineStr">
        <is>
          <t>tests/unit/test_ingest_protocol.py::...test_bytes_the_packets_do_not_account_for_are_refused (+ exact-frame control). Mutation M17 killed.</t>
        </is>
      </c>
    </row>
    <row r="68">
      <c r="A68" s="76" t="inlineStr">
        <is>
          <t>AUDIT-019</t>
        </is>
      </c>
      <c r="B68" s="76" t="inlineStr">
        <is>
          <t>LOW</t>
        </is>
      </c>
      <c r="C68" s="76" t="inlineStr">
        <is>
          <t>common/db/models.py + migrations - unbuilt indexes</t>
        </is>
      </c>
      <c r="D68" s="76" t="inlineStr">
        <is>
          <t>Fixed</t>
        </is>
      </c>
      <c r="E68" s="76" t="inlineStr">
        <is>
          <t>ix_audit_reason, ix_trial_ts and ix_journal_date were declared from text() expressions alone, which attaches an Index to no table: not in the metadata, never created by create_all or any migration, invisible to Alembic's comparator. ix_audit_reason also filtered outcome = 'REJECT' while the engine writes 'rejected'.</t>
        </is>
      </c>
      <c r="F68" s="76" t="inlineStr">
        <is>
          <t>Performance and observability only: the 'why isn't it trading?' query ran unindexed.</t>
        </is>
      </c>
      <c r="G68" s="76" t="inlineStr">
        <is>
          <t>Bound to their mapped columns; migration c4e8a2d7f913 creates all three (non-unique; the decision_log hypertable accepts it); upgrade/downgrade/upgrade round-trip verified.</t>
        </is>
      </c>
      <c r="H68" s="76" t="inlineStr">
        <is>
          <t>tests/integration/test_schema_matches_models.py::test_every_index_declared_in_the_models_is_in_the_metadata; test_datastore_scaffold round-trip.</t>
        </is>
      </c>
    </row>
    <row r="69">
      <c r="A69" s="76" t="inlineStr">
        <is>
          <t>AUDIT-020</t>
        </is>
      </c>
      <c r="B69" s="76" t="inlineStr">
        <is>
          <t>LOW</t>
        </is>
      </c>
      <c r="C69" s="76" t="inlineStr">
        <is>
          <t>execution/sizer.py - refusal message</t>
        </is>
      </c>
      <c r="D69" s="76" t="inlineStr">
        <is>
          <t>Fixed</t>
        </is>
      </c>
      <c r="E69" s="76" t="inlineStr">
        <is>
          <t>When a short's R-multiple target landed at or below zero, the refusal said 'stop distance not less than the entry price'.</t>
        </is>
      </c>
      <c r="F69" s="76" t="inlineStr">
        <is>
          <t>An operator sent to the wrong number.</t>
        </is>
      </c>
      <c r="G69" s="76" t="inlineStr">
        <is>
          <t>The message names which bound failed.</t>
        </is>
      </c>
      <c r="H69" s="76" t="inlineStr">
        <is>
          <t>tests/unit/test_sizer.py::...test_a_short_whose_target_lands_below_zero_says_so.</t>
        </is>
      </c>
    </row>
    <row r="70">
      <c r="A70" s="76" t="inlineStr">
        <is>
          <t>AUDIT-021</t>
        </is>
      </c>
      <c r="B70" s="76" t="inlineStr">
        <is>
          <t>LOW</t>
        </is>
      </c>
      <c r="C70" s="76" t="inlineStr">
        <is>
          <t>process - schema drift</t>
        </is>
      </c>
      <c r="D70" s="76" t="inlineStr">
        <is>
          <t>Fixed</t>
        </is>
      </c>
      <c r="E70" s="76" t="inlineStr">
        <is>
          <t>Nothing compared the migrations with the models; uq_open_slot, uq_client_order and the CHECKs on orders/positions were assumed to exist because the models declare them.</t>
        </is>
      </c>
      <c r="F70" s="76" t="inlineStr">
        <is>
          <t>None found - the migrated schema matches - but drift would have been invisible.</t>
        </is>
      </c>
      <c r="G70" s="76" t="inlineStr">
        <is>
          <t>Alembic compare_metadata against a freshly migrated TimescaleDB, the enum-derived CHECKs asserted present by name, and a control that drops uq_open_slot inside a rolled-back transaction.</t>
        </is>
      </c>
      <c r="H70" s="76" t="inlineStr">
        <is>
          <t>tests/integration/test_schema_matches_models.py (4 tests).</t>
        </is>
      </c>
    </row>
    <row r="71">
      <c r="A71" s="76" t="inlineStr">
        <is>
          <t>DEP-004</t>
        </is>
      </c>
      <c r="B71" s="76" t="inlineStr">
        <is>
          <t>HIGH</t>
        </is>
      </c>
      <c r="C71" s="76" t="inlineStr">
        <is>
          <t>Dependency supply chain - certifi</t>
        </is>
      </c>
      <c r="D71" s="76" t="inlineStr">
        <is>
          <t>Fixed</t>
        </is>
      </c>
      <c r="E71" s="76" t="inlineStr">
        <is>
          <t>certifi 2026.7.22 still trusted the emSign ECC Root CA - G3, under which eight intermediates have compromised private keys (PYSEC-2026-4320 / GHSA-6q48-6c7w-9gw2).</t>
        </is>
      </c>
      <c r="F71" s="76" t="inlineStr">
        <is>
          <t>certifi is the trust store for requests/httpx - every TLS connection to the broker. An on-path attacker with a compromised key could impersonate api.kite.trade.</t>
        </is>
      </c>
      <c r="G71" s="76" t="inlineStr">
        <is>
          <t>constraints.txt certifi==2026.10.23 (&gt;= 2026.10.19, which restored only the unaffected emSign roots).</t>
        </is>
      </c>
      <c r="H71" s="76" t="inlineStr">
        <is>
          <t>pip-audit clean on the bump; CI's audit step.</t>
        </is>
      </c>
    </row>
    <row r="72">
      <c r="A72" s="76" t="inlineStr">
        <is>
          <t>DEP-005</t>
        </is>
      </c>
      <c r="B72" s="76" t="inlineStr">
        <is>
          <t>LOW</t>
        </is>
      </c>
      <c r="C72" s="76" t="inlineStr">
        <is>
          <t>Dependency supply chain - filelock (dev tooling)</t>
        </is>
      </c>
      <c r="D72" s="76" t="inlineStr">
        <is>
          <t>Fixed</t>
        </is>
      </c>
      <c r="E72" s="76" t="inlineStr">
        <is>
          <t>filelock 3.32.2: CVE-2026-112940, -112913, -112907 (local lock-file attacks in shared directories).</t>
        </is>
      </c>
      <c r="F72" s="76" t="inlineStr">
        <is>
          <t>Reached only through CacheControl[filecache] under pip-audit; not in the runtime image.</t>
        </is>
      </c>
      <c r="G72" s="76" t="inlineStr">
        <is>
          <t>constraints.txt filelock==4.2.4.</t>
        </is>
      </c>
      <c r="H72" s="76" t="inlineStr">
        <is>
          <t>pip-audit clean.</t>
        </is>
      </c>
    </row>
    <row r="73">
      <c r="A73" s="76" t="inlineStr">
        <is>
          <t>DEP-006</t>
        </is>
      </c>
      <c r="B73" s="76" t="inlineStr">
        <is>
          <t>LOW</t>
        </is>
      </c>
      <c r="C73" s="76" t="inlineStr">
        <is>
          <t>Build backend - setuptools</t>
        </is>
      </c>
      <c r="D73" s="76" t="inlineStr">
        <is>
          <t>Fixed</t>
        </is>
      </c>
      <c r="E73" s="76" t="inlineStr">
        <is>
          <t>setuptools 83.0.0: GHSA-xmj3-9gf7-h52w (Windows path escape in the legacy wheel install path).</t>
        </is>
      </c>
      <c r="F73" s="76" t="inlineStr">
        <is>
          <t>Build environment only; CI and the Dockerfile upgrade setuptools on every build.</t>
        </is>
      </c>
      <c r="G73" s="76" t="inlineStr">
        <is>
          <t>Local venv upgraded to 84.2.1; the hygiene test's floor raised from 78.1.1 to 84.1.0.</t>
        </is>
      </c>
      <c r="H73" s="76" t="inlineStr">
        <is>
          <t>tests/security/test_dependency_hygiene.py::...test_the_locally_installed_build_backend_is_not_vulnerable.</t>
        </is>
      </c>
    </row>
    <row r="74">
      <c r="A74" s="76" t="inlineStr">
        <is>
          <t>DEP-007</t>
        </is>
      </c>
      <c r="B74" s="76" t="inlineStr">
        <is>
          <t>LOW</t>
        </is>
      </c>
      <c r="C74" s="76" t="inlineStr">
        <is>
          <t>Dependency supply chain - Twisted (via kiteconnect)</t>
        </is>
      </c>
      <c r="D74" s="76" t="inlineStr">
        <is>
          <t>Accepted risk</t>
        </is>
      </c>
      <c r="E74" s="76" t="inlineStr">
        <is>
          <t>Five more Twisted 26.4.0 advisories: CVE-2026-115774 (IMAP4 server, twisted.mail), -115775 (XMPP XML stream, twisted.words), -115776 (IRC server, twisted.words), -115778 (telnet, twisted.conch), -115877 (HTTP server header smuggling, twisted.web). Fixed only in 26.10.0rc1/rc2 on 27 Oct 2026.</t>
        </is>
      </c>
      <c r="F74" s="76" t="inlineStr">
        <is>
          <t>None reachable: every one needs a Twisted SERVER of that protocol; this process imports none of twisted.mail, .words, .conch or .web. A pre-release is not pinned into a system that moves money when the code cannot run anyway.</t>
        </is>
      </c>
      <c r="G74" s="76" t="inlineStr">
        <is>
          <t>Each ID ignored individually (never the package); ACCEPTED_ADVISORIES maps each to its subsystem and assessed version.</t>
        </is>
      </c>
      <c r="H74" s="76" t="inlineStr">
        <is>
          <t>tests/security/test_dependency_hygiene.py::TestTheAcceptedTwistedAdvisories - per-advisory subsystem probe, a control importing all five vulnerable modules, every audit site ignoring exactly the set, and a version pin that fails the build when Twisted moves (26.10.0 final will force removal).</t>
        </is>
      </c>
    </row>
    <row r="75">
      <c r="A75" s="76" t="inlineStr">
        <is>
          <t>DEP-008</t>
        </is>
      </c>
      <c r="B75" s="76" t="inlineStr">
        <is>
          <t>LOW</t>
        </is>
      </c>
      <c r="C75" s="76" t="inlineStr">
        <is>
          <t>Dependency supply chain - msgpack (via autobahn, CacheControl)</t>
        </is>
      </c>
      <c r="D75" s="76" t="inlineStr">
        <is>
          <t>Fixed</t>
        </is>
      </c>
      <c r="E75" s="76" t="inlineStr">
        <is>
          <t>msgpack 1.2.1: CVE-2026-114613 - the C extension leaks a decoded map value when strict_map_key rejects a key; repeated malformed input grows memory without bound. Published between the local audit and the DEV CI run of 0418b2d on 27 Oct 2026.</t>
        </is>
      </c>
      <c r="F75" s="76" t="inlineStr">
        <is>
          <t>Not reachable from the application (msgpack is never imported by it; autobahn's serializers and pip-audit's cache use it).</t>
        </is>
      </c>
      <c r="G75" s="76" t="inlineStr">
        <is>
          <t>constraints.txt msgpack==1.2.4.</t>
        </is>
      </c>
      <c r="H75" s="76" t="inlineStr">
        <is>
          <t>pip-audit clean in a reproduction of CI's environment (python:3.11-slim-bookworm, constraints + autobahn override).</t>
        </is>
      </c>
    </row>
    <row r="76">
      <c r="A76" s="76" t="inlineStr">
        <is>
          <t>DEP-009</t>
        </is>
      </c>
      <c r="B76" s="76" t="inlineStr">
        <is>
          <t>LOW</t>
        </is>
      </c>
      <c r="C76" s="76" t="inlineStr">
        <is>
          <t>Dependency supply chain - Twisted DNS client (via kiteconnect)</t>
        </is>
      </c>
      <c r="D76" s="76" t="inlineStr">
        <is>
          <t>Accepted risk</t>
        </is>
      </c>
      <c r="E76" s="76" t="inlineStr">
        <is>
          <t>Twisted 26.4.0: CVE-2026-83813 - twisted.names.dns accepts a DNS response on the 16-bit transaction id alone (cache poisoning). Fixed only in 26.10.0rc1. Published within hours of the five DEP-007 advisories.</t>
        </is>
      </c>
      <c r="F76" s="76" t="inlineStr">
        <is>
          <t>None reachable: the reactor resolves through the system resolver unless twisted.names is installed explicitly, nothing here installs it or runs the reactor, and twisted.names is never imported.</t>
        </is>
      </c>
      <c r="G76" s="76" t="inlineStr">
        <is>
          <t>Ignored by ID (seventh entry in ACCEPTED_ADVISORIES, subsystem twisted.names); CI and make audit updated.</t>
        </is>
      </c>
      <c r="H76" s="76" t="inlineStr">
        <is>
          <t>tests/security/test_dependency_hygiene.py::TestTheAcceptedTwistedAdvisories - the subsystem probe and a control importing twisted.names.dns.</t>
        </is>
      </c>
    </row>
    <row r="77">
      <c r="A77" s="76" t="inlineStr">
        <is>
          <t>AUDIT-022</t>
        </is>
      </c>
      <c r="B77" s="76" t="inlineStr">
        <is>
          <t>LOW</t>
        </is>
      </c>
      <c r="C77" s="76" t="inlineStr">
        <is>
          <t>process - the local gate was not CI's gate</t>
        </is>
      </c>
      <c r="D77" s="76" t="inlineStr">
        <is>
          <t>Fixed</t>
        </is>
      </c>
      <c r="E77" s="76" t="inlineStr">
        <is>
          <t>Two gaps let DEV CI fail on a commit whose local gate was green: the /sdlc skill's local lint was `ruff check src/ tests/ scripts/`, which skips migrations/ (CI runs `ruff check .`, and the new migration had an import-order error); and the local venv had drifted from constraints.txt on 17 packages, so local audits checked versions nothing ships.</t>
        </is>
      </c>
      <c r="F77" s="76" t="inlineStr">
        <is>
          <t>A 'green' local gate that CI then fails - and an audit of the wrong dependency set, which is the worse half.</t>
        </is>
      </c>
      <c r="G77" s="76" t="inlineStr">
        <is>
          <t>The skill now installs from constraints.txt plus the autobahn override and runs CI's exact `ruff check .` / `ruff format --check .`. CI-only audit findings are reproduced in python:3.11-slim-bookworm (job logs need admin rights).</t>
        </is>
      </c>
      <c r="H77" s="76" t="inlineStr">
        <is>
          <t>Diagnosed by reproduction: the container audit found exactly the two advisories CI did. Local venv now matches constraints except autobahn (replaced by design) and uvloop (Linux-only).</t>
        </is>
      </c>
    </row>
    <row r="78">
      <c r="A78" s="76" t="inlineStr">
        <is>
          <t>AUDIT-023</t>
        </is>
      </c>
      <c r="B78" s="76" t="inlineStr">
        <is>
          <t>HIGH</t>
        </is>
      </c>
      <c r="C78" s="76" t="inlineStr">
        <is>
          <t>scripts/promote.py - the PROD gate</t>
        </is>
      </c>
      <c r="D78" s="76" t="inlineStr">
        <is>
          <t>Fixed (tool); branch protection is the owner's action</t>
        </is>
      </c>
      <c r="E78" s="76" t="inlineStr">
        <is>
          <t>promote.py accepted any --from/--to: `--from DEV --to PROD` would have pushed DEV's whole tree (Documents, the lifecycle driver) straight to PROD, skipping QA. The /sdlc skill's first rule cited promote.yml's `exit 1` as the PROD gate - a workflow this script never runs - so the rule was held up by instruction text alone. Its docstring also named 'promoting a commit CI never saw' as a failure it prevents, and nothing in it consulted CI. GitHub branch protection is off on every branch (protected=false for PROD, QA, main, DEV, checked 28 Oct 2026).</t>
        </is>
      </c>
      <c r="F78" s="76" t="inlineStr">
        <is>
          <t>A single mistyped argument would have put untested code and planning material on the branch that trades real capital, with nothing to stop it.</t>
        </is>
      </c>
      <c r="G78" s="76" t="inlineStr">
        <is>
          <t>promote.py refuses every promotion but DEV-&gt;QA before any git command (two independent layers: an explicit PROD refusal and a DEV-&gt;QA allowlist), and refuses unless the CI workflow's latest run on the exact source commit completed successfully - an unreachable or rate-limited API refuses too. Branch protection on PROD is recommended to the owner: it is the only gate that also covers a hand-typed git push.</t>
        </is>
      </c>
      <c r="H78" s="76" t="inlineStr">
        <is>
          <t>Code/tests/security/test_promotion_hygiene.py::TestTheScriptCannotPromoteToProd, ::TestOnlyACommitCiPassedIsPromoted. Mutation: 8/8 killed (6/8 first run; the two survivors were a test passing for the wrong reason - a fake git made the divergence check refuse first - fixed by a fixture where only the CI check can refuse).</t>
        </is>
      </c>
    </row>
    <row r="79">
      <c r="A79" s="76" t="inlineStr">
        <is>
          <t>AUDIT-024</t>
        </is>
      </c>
      <c r="B79" s="76" t="inlineStr">
        <is>
          <t>LOW</t>
        </is>
      </c>
      <c r="C79" s="76" t="inlineStr">
        <is>
          <t>Code/Makefile - developer install and lint</t>
        </is>
      </c>
      <c r="D79" s="76" t="inlineStr">
        <is>
          <t>Fixed</t>
        </is>
      </c>
      <c r="E79" s="76" t="inlineStr">
        <is>
          <t>`make install` installed `-e .[dev]` without `-c constraints.txt` and upgraded only pip - the root cause of the 17-package venv drift in AUDIT-022. `make lint` and `make fmt` covered `src tests` while CI lints `.`; `make check` was labelled 'everything CI runs' and was not. The hygiene tests checked CI and the Dockerfile install sites, never the Makefile.</t>
        </is>
      </c>
      <c r="F79" s="76" t="inlineStr">
        <is>
          <t>Following the documented install produced an environment nothing ships; following the documented lint missed what CI catches.</t>
        </is>
      </c>
      <c r="G79" s="76" t="inlineStr">
        <is>
          <t>make install = CI's three install steps; lint/fmt over `.`; check's label states what it covers. A hygiene test now holds the Makefile install to CI's.</t>
        </is>
      </c>
      <c r="H79" s="76" t="inlineStr">
        <is>
          <t>Code/tests/security/test_dependency_hygiene.py::...test_make_install_builds_the_environment_ci_builds (verified to fail on the previous Makefile).</t>
        </is>
      </c>
    </row>
    <row r="80">
      <c r="A80" s="76" t="inlineStr">
        <is>
          <t>AUDIT-025</t>
        </is>
      </c>
      <c r="B80" s="76" t="inlineStr">
        <is>
          <t>LOW</t>
        </is>
      </c>
      <c r="C80" s="76" t="inlineStr">
        <is>
          <t>Code/scripts/doctor.py - interpreter advice</t>
        </is>
      </c>
      <c r="D80" s="76" t="inlineStr">
        <is>
          <t>Fixed</t>
        </is>
      </c>
      <c r="E80" s="76" t="inlineStr">
        <is>
          <t>doctor.py warned on Python 3.11 with '3.12+ recommended', while CI, the runtime image and mypy all pin 3.11.</t>
        </is>
      </c>
      <c r="F80" s="76" t="inlineStr">
        <is>
          <t>Advice that would move a developer onto an interpreter nothing ships, so their tests describe a different system.</t>
        </is>
      </c>
      <c r="G80" s="76" t="inlineStr">
        <is>
          <t>OK on the shipped 3.11; a newer local interpreter warns that it tests what nothing ships.</t>
        </is>
      </c>
      <c r="H80" s="76" t="inlineStr">
        <is>
          <t>Run on 28 Oct 2026: Environment section reports OK on 3.11.9.</t>
        </is>
      </c>
    </row>
  </sheetData>
  <autoFilter ref="A4:H11"/>
  <mergeCells count="2">
    <mergeCell ref="A2:H2"/>
    <mergeCell ref="A1:H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11" customWidth="1" style="59" min="1" max="1"/>
    <col width="12" customWidth="1" style="59" min="2" max="2"/>
    <col width="11" customWidth="1" style="59" min="3" max="3"/>
    <col width="10" customWidth="1" style="59" min="4" max="4"/>
    <col width="22" customWidth="1" style="59" min="5" max="5"/>
    <col width="14" customWidth="1" style="59" min="6" max="6"/>
    <col width="46" customWidth="1" style="59" min="7" max="7"/>
    <col width="40" customWidth="1" style="59" min="8" max="8"/>
    <col width="40" customWidth="1" style="59" min="9" max="9"/>
    <col width="40" customWidth="1" style="59" min="10" max="10"/>
    <col width="34" customWidth="1" style="59" min="11" max="11"/>
    <col width="18" customWidth="1" style="59" min="12" max="12"/>
  </cols>
  <sheetData>
    <row r="1">
      <c r="A1" s="61" t="inlineStr">
        <is>
          <t>SIT DEFECTS — System Integration Testing</t>
        </is>
      </c>
    </row>
    <row r="2" ht="42" customHeight="1" s="59">
      <c r="A2" s="76" t="inlineStr">
        <is>
          <t>Raised during SIT on the QA branch, after component and integration QA have passed. A defect here is by definition something no component test could see — record what the SYSTEM did, not what a unit returned.</t>
        </is>
      </c>
    </row>
    <row r="4" ht="32" customHeight="1" s="59">
      <c r="A4" s="82" t="inlineStr">
        <is>
          <t>SIT ID</t>
        </is>
      </c>
      <c r="B4" s="82" t="inlineStr">
        <is>
          <t>Date</t>
        </is>
      </c>
      <c r="C4" s="82" t="inlineStr">
        <is>
          <t>Story</t>
        </is>
      </c>
      <c r="D4" s="82" t="inlineStr">
        <is>
          <t>Severity</t>
        </is>
      </c>
      <c r="E4" s="82" t="inlineStr">
        <is>
          <t>Component</t>
        </is>
      </c>
      <c r="F4" s="82" t="inlineStr">
        <is>
          <t>Status</t>
        </is>
      </c>
      <c r="G4" s="82" t="inlineStr">
        <is>
          <t>What happened</t>
        </is>
      </c>
      <c r="H4" s="84" t="inlineStr">
        <is>
          <t>Why component tests missed it</t>
        </is>
      </c>
      <c r="I4" s="83" t="inlineStr">
        <is>
          <t>Root cause</t>
        </is>
      </c>
      <c r="J4" s="83" t="inlineStr">
        <is>
          <t>Fix</t>
        </is>
      </c>
      <c r="K4" s="85" t="inlineStr">
        <is>
          <t>Regression test</t>
        </is>
      </c>
      <c r="L4" s="85" t="inlineStr">
        <is>
          <t>Backlog item raised</t>
        </is>
      </c>
    </row>
    <row r="5">
      <c r="A5" s="76" t="inlineStr">
        <is>
          <t>SIT-001</t>
        </is>
      </c>
      <c r="B5" s="76" t="inlineStr">
        <is>
          <t>2026-09-02</t>
        </is>
      </c>
      <c r="C5" s="76" t="inlineStr">
        <is>
          <t>E14-S02</t>
        </is>
      </c>
      <c r="D5" s="76" t="inlineStr">
        <is>
          <t>MEDIUM</t>
        </is>
      </c>
      <c r="E5" s="76" t="inlineStr">
        <is>
          <t>execution/risk/framework.py</t>
        </is>
      </c>
      <c r="F5" s="76" t="inlineStr">
        <is>
          <t>Fixed</t>
        </is>
      </c>
      <c r="G5" s="76" t="inlineStr">
        <is>
          <t>Walking a full simulated session minute by minute, EVERY tradable minute came back rejected with HEALTH_GATE_FAILED — 340 of them — while every service was healthy. The four pre-condition gates had passed; the reject came from the frame underneath them.</t>
        </is>
      </c>
      <c r="H5" s="76" t="inlineStr">
        <is>
          <t>RejectReason has no member meaning 'the engine itself is broken', so the framework borrowed HEALTH_GATE_FAILED for three structurally different conditions: a check that raised, a missing sizer, and a sizer that raised. Every component test asserted the DECISION (refused — correct in all three cases) and read the reason only where it was already expected, or asserted the detail string instead. Nothing compared a genuine health-gate rejection against an engine fault side by side, and in isolation each reads perfectly sensibly. It took a whole-session run, where the same label appeared for 340 minutes with nothing unhealthy, for the overload to be visible at all.</t>
        </is>
      </c>
      <c r="I5" s="76" t="inlineStr">
        <is>
          <t>A missing enum member, filled by the nearest plausible neighbour. signals_rejected_total{reason} is described in RejectReason's own docstring as 'the highest-value debugging metric in the system, because it turns why isn't it trading? into a glance instead of an investigation'. The overload defeats exactly that: an operator glancing at a no-trade day would go looking for a downed service that is perfectly healthy. The realistic trigger is not exotic — the holiday list must be renewed each December, and a lapsed one makes the calendar raise, which is an engine fault reported as a sick service in the first week of January.</t>
        </is>
      </c>
      <c r="J5" s="76" t="inlineStr">
        <is>
          <t>Added RejectReason.RISK_ENGINE_FAULT and used it at the three framework sites. HEALTH_GATE_FAILED now means only what its name says. Every other member means 'the system worked and the answer is no'; this one means 'the system is broken and refusing is the safe reading of that'. Recorded in the framework docstring so the distinction survives the next edit.</t>
        </is>
      </c>
      <c r="K5" s="76" t="inlineStr">
        <is>
          <t>tests/sit/test_e14_trading_session.py test_an_engine_fault_is_not_reported_as_a_downed_service (compares the two side by side); test_risk_preconditions.py test_a_lapsed_holiday_list_reads_as_a_fault_not_a_sick_service; test_risk_framework.py test_a_raising_check_is_not_reported_as_a_business_rejection. Mutations M14-M16 flip each site back and are all killed.</t>
        </is>
      </c>
      <c r="L5" s="76" t="inlineStr">
        <is>
          <t>None — fixed in the same session</t>
        </is>
      </c>
    </row>
    <row r="6" ht="150" customHeight="1" s="59">
      <c r="A6" s="76" t="inlineStr">
        <is>
          <t>SIT-002</t>
        </is>
      </c>
      <c r="B6" s="76" t="inlineStr">
        <is>
          <t>2026-09-10</t>
        </is>
      </c>
      <c r="C6" s="76" t="inlineStr">
        <is>
          <t>E15-S02</t>
        </is>
      </c>
      <c r="D6" s="76" t="inlineStr">
        <is>
          <t>LOW</t>
        </is>
      </c>
      <c r="E6" s="76" t="inlineStr">
        <is>
          <t>tests/sit/test_e14_trading_session.py (harness)</t>
        </is>
      </c>
      <c r="F6" s="76" t="inlineStr">
        <is>
          <t>Fixed</t>
        </is>
      </c>
      <c r="G6" s="76" t="inlineStr">
        <is>
          <t>SIT-15's replay scenario - run the day, restart, run it again against the same store - asserted that the second pass reaches the broker zero times. It failed: the second pass submitted all 316 orders again. The SYSTEM was correct; the scenario was not replaying a day, it was trading a new one.</t>
        </is>
      </c>
      <c r="H6" s="76" t="inlineStr">
        <is>
          <t>No component test can catch it. `_recommendation()` mints a fresh correlation_id on every call, and correlation_id is the first component of the idempotency key. A single-order test builds one recommendation and reuses the object, so the trap is invisible; only a scenario that rebuilds the day's signals per run steps on it. THE PROCESS FINDING, and the reason this is logged rather than quietly fixed: this is the SECOND time the same trap has fired - SIT-14's replay test hit it on 8 Sep 2026 and was corrected in place, in the caller. Fixing the caller left the helper just as sharp for the next one.</t>
        </is>
      </c>
      <c r="I6" s="76" t="inlineStr">
        <is>
          <t>A test helper whose default behaviour (fresh identity per call) is correct for most callers and silently wrong for replay scenarios, with nothing at the helper saying so.</t>
        </is>
      </c>
      <c r="J6" s="76" t="inlineStr">
        <is>
          <t>SIT-15 mints the day's signals ONCE via a `_signals(session)` helper and passes the list to both runs. The docstring on `_signals` states the trap and names SIT-14 as the prior occurrence, so the warning now lives where the next caller will read it rather than in the test that happened to trip over it.</t>
        </is>
      </c>
      <c r="K6" s="76" t="inlineStr">
        <is>
          <t>tests/sit/test_e14_trading_session.py::TestSit15ASessionThatSurvivesATimeout::test_replaying_the_whole_day_sends_nothing_the_second_time - now genuinely asserts idempotency across a restart, and fails if the duplicate check is removed (mutation M12, killed).</t>
        </is>
      </c>
      <c r="L6" s="76" t="inlineStr">
        <is>
          <t>None - fixed in the same session</t>
        </is>
      </c>
    </row>
    <row r="7" ht="210" customHeight="1" s="59">
      <c r="A7" s="76" t="inlineStr">
        <is>
          <t>SIT-003</t>
        </is>
      </c>
      <c r="B7" s="76" t="inlineStr">
        <is>
          <t>2026-09-11</t>
        </is>
      </c>
      <c r="C7" s="76" t="inlineStr">
        <is>
          <t>E15-S04</t>
        </is>
      </c>
      <c r="D7" s="76" t="inlineStr">
        <is>
          <t>HIGH</t>
        </is>
      </c>
      <c r="E7" s="76" t="inlineStr">
        <is>
          <t>execution/gateway.py, common/db/repositories.py</t>
        </is>
      </c>
      <c r="F7" s="76" t="inlineStr">
        <is>
          <t>Fixed</t>
        </is>
      </c>
      <c r="G7" s="76" t="inlineStr">
        <is>
          <t>SIT-17 ran a whole session in which the broker refused every protective stop. Every position was exited correctly, every exception was the right one, and no test failed. The store finished the day holding 316 rows with status SUBMITTING - 'this order is in flight' - for orders the broker had definitively REJECTED. The broker's reason code went into an exception message and nowhere durable, past an orders.rejection_reason column that has existed since the first migration and that nothing has ever written.</t>
        </is>
      </c>
      <c r="H7" s="76" t="inlineStr">
        <is>
          <t>BECAUSE THE DEFECT IS IN WHAT THE DAY LEAVES BEHIND, NOT IN WHAT IT DOES. Every observable action was correct, so a test that asserts behaviour sees nothing wrong. There WAS a unit test for this exact input - test_an_outright_rejection_is_not_treated_as_ambiguous - and it asserted 'placer.find_calls == []': what must NOT happen. It never asked what DID happen to the row. That is the general shape: a test written to pin down a negative leaves the positive unobserved, and the state left behind is invisible until something later reads it. SIT reads it, because SIT is the only tier that runs a whole day and then looks at the record.</t>
        </is>
      </c>
      <c r="I7" s="76" t="inlineStr">
        <is>
          <t>TX1 writes SUBMITTING before place_order, and submit() caught only AmbiguousOrderError. OrderRejectedError propagated with the row untouched. The consequence is not confined to a stale row: open_orders() is documented as 'the reconciliation working set', selecting everything not in (FILLED, CANCELLED, REJECTED) - so a refused order sits in that set for the rest of the day and reconciliation (S8.3, E15-S09) would query a broker that has never heard of it, every 30 seconds, forever. Underneath: OrderStatus models REJECTED and SUBMIT_FAILED, order_state.py gives both legal edges, and NO code path in src/ ever wrote either. The state machine had states that could be read and never reached - the same shape as the exposure caps that were configured and bound nothing.</t>
        </is>
      </c>
      <c r="J7" s="76" t="inlineStr">
        <is>
          <t>submit() now catches OrderRejectedError, calls _reject(), and re-raises. _reject writes status=REJECTED plus the sanitised reason via a new OrderStore.mark_rejected, and NEVER raises: a persistence failure must not replace the broker's rejection with 'the database is down', and the row it leaves in SUBMITTING is exactly the prior behaviour. Deliberately NOT except Exception: SUBMITTING means 'we do not know whether it landed', which is the truth for an unmodelled error and the reason S8.2's query path exists. Only a documented refusal is a known outcome. No migration - the column was already there. A retry now meets a terminal REJECTED row and is refused by the state machine (IllegalTransitionError) rather than reported as OrderNeverLandedError, which had been saying 'it never landed' about an order that landed and was refused.</t>
        </is>
      </c>
      <c r="K7" s="76" t="inlineStr">
        <is>
          <t>tests/unit/test_gateway.py::TestARefusedOrderIsRecordedAsRefused (6, including two controls: an unmodelled failure still leaves SUBMITTING, and the ordinary path records no rejection); tests/integration/test_repositories.py::test_a_refused_order_is_recorded_with_the_brokers_reason and ::test_a_refused_order_leaves_the_reconciliation_working_set (real Postgres); tests/sit/...::test_a_day_of_refused_stops_leaves_no_row_claiming_to_be_in_flight. Mutation: 9 injected, 9 killed.</t>
        </is>
      </c>
      <c r="L7" s="76" t="inlineStr">
        <is>
          <t>None - fixed in the same session</t>
        </is>
      </c>
    </row>
    <row r="8" ht="170" customHeight="1" s="59">
      <c r="A8" s="76" t="inlineStr">
        <is>
          <t>SIT-004</t>
        </is>
      </c>
      <c r="B8" s="76" t="inlineStr">
        <is>
          <t>2026-09-22</t>
        </is>
      </c>
      <c r="C8" s="76" t="inlineStr">
        <is>
          <t>E15-S05</t>
        </is>
      </c>
      <c r="D8" s="76" t="inlineStr">
        <is>
          <t>MEDIUM</t>
        </is>
      </c>
      <c r="E8" s="76" t="inlineStr">
        <is>
          <t>execution/positions.py</t>
        </is>
      </c>
      <c r="F8" s="76" t="inlineStr">
        <is>
          <t>Fixed</t>
        </is>
      </c>
      <c r="G8" s="76" t="inlineStr">
        <is>
          <t>Replaying a day's fills after a restart - 40 positions opened, the book restored from rows, then the same 40 fills presented again, which is exactly what happens because the broker keeps reporting yesterday's entries as FILLED. No second position was created and no second stop was placed, so the system was SAFE. But all 40 replays surfaced as a raw unique-index violation escaping open_from_fill: the caller is told the insert failed, with no way to tell 'this is already open and protected' from 'opening this failed'.</t>
        </is>
      </c>
      <c r="H8" s="76" t="inlineStr">
        <is>
          <t>The unit store is a dictionary that accepts every insert, and the integration tests each open one position. Neither shape can produce a replay: it needs the SAME fills presented twice to a store that carries state across both passes, which is a session-scale setup. The defect also hides behind a correct outcome - nothing duplicates, because the partial unique index refuses it - so only the TYPE of the failure is wrong, and only a test that asserts on the failure type would see it. The first version of this SIT test asserted merely that the replay failed, and passed.</t>
        </is>
      </c>
      <c r="I8" s="76" t="inlineStr">
        <is>
          <t>Only layer 2 of EPIC01 8.4's three-layer pattern existed for positions. The gateway applies all three to ORDERS (cheap check, uq_client_order, reconciliation) and E15-S05 inherited none of it for POSITIONS: there was no cheap check before the insert, so the database constraint was doing work it is meant to back up rather than perform. PositionRepository.open_position even documents this - 'a normal, expected outcome under concurrency, not an error to surface; callers must catch it and treat it as slot taken' - and the new caller did not. The instruction was in the docstring of the function being called, which is the easiest kind of instruction to not read.</t>
        </is>
      </c>
      <c r="J8" s="76" t="inlineStr">
        <is>
          <t>open_from_fill now checks the in-memory book first and raises PositionAlreadyHeldError, a typed, actionable answer. Deliberately AFTER confirm_fill, because 'nothing filled' is the more specific truth. The cheap check is only as good as the book - empty until restore() runs - so the partial unique indexes remain the guarantee rather than the optimisation, and E15-S09's reconciliation is the third layer behind both.</t>
        </is>
      </c>
      <c r="K8" s="76" t="inlineStr">
        <is>
          <t>tests/sit/test_e14_trading_session.py::TestSit18...::test_replaying_the_days_fills_after_a_restart (asserts the failure TYPE, not merely that it failed) plus tests/unit/test_positions.py::TestReplayingAFill (4 tests, including the control that a different symbol still opens). Mutations M25 and M26 killed.</t>
        </is>
      </c>
      <c r="L8" s="76" t="inlineStr">
        <is>
          <t>None - fixed in the same session</t>
        </is>
      </c>
    </row>
    <row r="9" ht="190" customHeight="1" s="59">
      <c r="A9" s="76" t="inlineStr">
        <is>
          <t>SIT-005</t>
        </is>
      </c>
      <c r="B9" s="76" t="inlineStr">
        <is>
          <t>2026-09-24</t>
        </is>
      </c>
      <c r="C9" s="76" t="inlineStr">
        <is>
          <t>E15-S09</t>
        </is>
      </c>
      <c r="D9" s="76" t="inlineStr">
        <is>
          <t>MEDIUM</t>
        </is>
      </c>
      <c r="E9" s="76" t="inlineStr">
        <is>
          <t>execution/reconciliation.py</t>
        </is>
      </c>
      <c r="F9" s="76" t="inlineStr">
        <is>
          <t>Fixed</t>
        </is>
      </c>
      <c r="G9" s="76" t="inlineStr">
        <is>
          <t>One stranger's position on the account, seen by 30 consecutive cycles, produced 30 UNKNOWN_POS audit rows, 30 CRITICAL 'UNKNOWN POSITION' log lines and unknown_positions_total = 30. The counter's own help text says it counts positions; it was counting cycles.</t>
        </is>
      </c>
      <c r="H9" s="76" t="inlineStr">
        <is>
          <t>Every unit test of the unknown path runs ONE cycle. Repetition is a property of a session - the stranger's position stays at the broker, so every later cycle sees it again - and only a test that runs the loop after every fill of a day can see what the alert does on the thirtieth look.</t>
        </is>
      </c>
      <c r="I9" s="76" t="inlineStr">
        <is>
          <t>Detection and alerting were the same step. Refusals and duplicates had already been made report-once in this story; the unknown path - the one that matters most - had not, and the asymmetry went unnoticed until a session exercised it.</t>
        </is>
      </c>
      <c r="J9" s="76" t="inlineStr">
        <is>
          <t>Detection still runs every cycle (report.unknown). The alert - log, counter, audit row - runs when a stranger is new or its size changes. The HALT is re-armed every cycle regardless, so an operator who clears the latch while an unknown position remains is halted again by the next cycle.</t>
        </is>
      </c>
      <c r="K9" s="76" t="inlineStr">
        <is>
          <t>tests/sit/...::TestSit19...::test_a_stranger_is_alerted_once_not_every_cycle; tests/unit/test_reconciliation.py::TestAStrangerIsAlertedOnce (3). Mutations M37, M38.</t>
        </is>
      </c>
      <c r="L9" s="76" t="inlineStr">
        <is>
          <t>None - fixed in the same session</t>
        </is>
      </c>
    </row>
    <row r="10" ht="190" customHeight="1" s="59">
      <c r="A10" s="76" t="inlineStr">
        <is>
          <t>SIT-006</t>
        </is>
      </c>
      <c r="B10" s="76" t="inlineStr">
        <is>
          <t>2026-09-24</t>
        </is>
      </c>
      <c r="C10" s="76" t="inlineStr">
        <is>
          <t>E15-S09</t>
        </is>
      </c>
      <c r="D10" s="76" t="inlineStr">
        <is>
          <t>HIGH</t>
        </is>
      </c>
      <c r="E10" s="76" t="inlineStr">
        <is>
          <t>execution/reconciliation.py + execution/positions.py</t>
        </is>
      </c>
      <c r="F10" s="76" t="inlineStr">
        <is>
          <t>Fixed</t>
        </is>
      </c>
      <c r="G10" s="76" t="inlineStr">
        <is>
          <t>A restart restored four positions; one had its stop rejected. The loop exited it correctly - and left it in the book as UnverifiedPosition. A ProtectedPosition whose stop died was likewise exited and still labelled ProtectedPosition. The next cycle ran the exit path again: a CRITICAL 'NAKED POSITION ... Closing at market' line and a stop_attach_failures_total increment every 30 seconds for the rest of the day.</t>
        </is>
      </c>
      <c r="H10" s="76" t="inlineStr">
        <is>
          <t>The unit test for this exact path asserted the defect. test_a_restored_position_with_no_stop_is_exited ended with 'assert isinstance(manager.tracked(INFY), UnverifiedPosition)' - the test wrote the stale label down as correct behaviour, so it could not fail. The SIT assertion was about the END state of a restart ('nothing may still be unknown'), which is a question about the book rather than about the call.</t>
        </is>
      </c>
      <c r="I10" s="76" t="inlineStr">
        <is>
          <t>open_from_fill records ExitingPosition when attach fails; the reconciler exited through the same path and recorded nothing. The book then claimed a protection the broker had just disproved - the one state E15-S05's three types exist to make impossible. Graded HIGH because it is a silent wrong answer in the book, and because the repeated CRITICAL line degrades the one alert channel naked positions have.</t>
        </is>
      </c>
      <c r="J10" s="76" t="inlineStr">
        <is>
          <t>PositionManager.mark_exiting, called after exit_now succeeds (exit_now verifies the exit is live and raises having halted if not). A FAILED exit leaves the label alone: there is no live exit, and calling it EXITING would be the same false claim in the other direction.</t>
        </is>
      </c>
      <c r="K10" s="76" t="inlineStr">
        <is>
          <t>tests/sit/...::TestSit19...::test_a_restart_resolves_every_restored_position_in_one_cycle; tests/unit/test_reconciliation.py::TestAnExitedPositionSaysSo (5). Mutation M36.</t>
        </is>
      </c>
      <c r="L10" s="76" t="inlineStr">
        <is>
          <t>None - fixed in the same session</t>
        </is>
      </c>
    </row>
    <row r="11" ht="190" customHeight="1" s="59">
      <c r="A11" s="76" t="inlineStr">
        <is>
          <t>SIT-007</t>
        </is>
      </c>
      <c r="B11" s="76" t="inlineStr">
        <is>
          <t>2026-09-24</t>
        </is>
      </c>
      <c r="C11" s="76" t="inlineStr">
        <is>
          <t>E15-S09</t>
        </is>
      </c>
      <c r="D11" s="76" t="inlineStr">
        <is>
          <t>LOW</t>
        </is>
      </c>
      <c r="E11" s="76" t="inlineStr">
        <is>
          <t>tests/sit (test infrastructure, Windows only)</t>
        </is>
      </c>
      <c r="F11" s="76" t="inlineStr">
        <is>
          <t>Fixed</t>
        </is>
      </c>
      <c r="G11" s="76" t="inlineStr">
        <is>
          <t>The full suite hung - zero CPU, no output - inside SIT, in a test that passes in 2.7 s alone. Three runs hung this way across two days, including the E15-S05 SIT runs against the QA worktree.</t>
        </is>
      </c>
      <c r="H11" s="76" t="inlineStr">
        <is>
          <t>Linux CI cannot see it: Linux has a native socketpair syscall. On Windows it needs enough event loops in ONE process for a rare loopback failure to happen, which is why it passed alone and hung in the suite.</t>
        </is>
      </c>
      <c r="I11" s="76" t="inlineStr">
        <is>
          <t>Every asyncio.run builds a new event loop; on Windows each loop's self-pipe is socket.socketpair(), which CPython emulates with a real loopback TCP connection and then waits for in accept() with NO timeout. The SIT module walks sessions minute by minute and created thousands of loops per test. The pytest faulthandler dump showed the test blocked in socketpair -&gt; accept, and the process's socket table showed a 127.0.0.1 listener in LISTEN with no peer ever connected. THE EARLIER DIAGNOSIS WAS WRONG: on 24 Sep the E15-S05 QA stall was attributed to orphaned pytest processes, 'confirmed' by the next run passing after they were killed. The pass was coincidence - a probabilistic hang that did not recur on that run.</t>
        </is>
      </c>
      <c r="J11" s="76" t="inlineStr">
        <is>
          <t>One event loop per SIT module via asyncio.Runner (closer to production, which runs one long-lived loop): SIT went from 49-78 s to 17 s with no hang. faulthandler_timeout = 300 in pytest config, so any future hang dumps every thread's stack instead of waiting in silence. Production is unaffected.</t>
        </is>
      </c>
      <c r="K11" s="76" t="inlineStr">
        <is>
          <t>No test can prove a probabilistic hang absent. The structural change removes the thousands of loop creations that made it likely, and faulthandler_timeout turns any recurrence into a named stack rather than a silent stall.</t>
        </is>
      </c>
      <c r="L11" s="76" t="inlineStr">
        <is>
          <t>None - fixed in the same session</t>
        </is>
      </c>
    </row>
    <row r="12">
      <c r="A12" s="76" t="inlineStr">
        <is>
          <t>SIT-008</t>
        </is>
      </c>
      <c r="B12" s="76" t="inlineStr">
        <is>
          <t>2026-10-27</t>
        </is>
      </c>
      <c r="C12" s="76" t="inlineStr">
        <is>
          <t>E15-S12 (harness)</t>
        </is>
      </c>
      <c r="D12" s="76" t="inlineStr">
        <is>
          <t>LOW</t>
        </is>
      </c>
      <c r="E12" s="76" t="inlineStr">
        <is>
          <t>tests/sit/test_e14_trading_session.py</t>
        </is>
      </c>
      <c r="F12" s="76" t="inlineStr">
        <is>
          <t>Fixed</t>
        </is>
      </c>
      <c r="G12" s="76" t="inlineStr">
        <is>
          <t>Every gateway submission in the SIT suite paired a stored RiskDecision with a FRESHLY MINTED Recommendation - a different correlation id each time. 22 SIT scenarios failed with DecisionMismatchError the moment AUDIT-006 made the decision carry its identity.</t>
        </is>
      </c>
      <c r="H12" s="76" t="inlineStr">
        <is>
          <t>Nothing could see it: a decision carried no identity, so any pairing 'worked'. The harness was correct about everything it asserted and still exercised the exact wiring defect AUDIT-006 closes.</t>
        </is>
      </c>
      <c r="I12" s="76" t="inlineStr">
        <is>
          <t>Session.run kept the decision and threw away the recommendation it was evaluated with; submission sites re-minted one from the minute's timestamp.</t>
        </is>
      </c>
      <c r="J12" s="76" t="inlineStr">
        <is>
          <t>Session.recommendations holds the recommendation each minute was evaluated with; all 11 submission sites use it.</t>
        </is>
      </c>
      <c r="K12" s="76" t="inlineStr">
        <is>
          <t>The gateway's DecisionMismatchError itself, on every SIT submission (181 SIT passing).</t>
        </is>
      </c>
      <c r="L12" s="76" t="inlineStr">
        <is>
          <t>None - fixed in the session.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zoomScaleNormal="100" workbookViewId="0">
      <pane ySplit="4" topLeftCell="A5" activePane="bottomLeft" state="frozen"/>
      <selection pane="bottomLeft" activeCell="C6" sqref="C6"/>
    </sheetView>
  </sheetViews>
  <sheetFormatPr baseColWidth="8" defaultColWidth="8.6640625" defaultRowHeight="14.4"/>
  <cols>
    <col width="9" customWidth="1" style="59" min="1" max="1"/>
    <col width="34" customWidth="1" style="59" min="2" max="2"/>
    <col width="50" customWidth="1" style="59" min="3" max="3"/>
    <col width="23" customWidth="1" style="59" min="4" max="4"/>
    <col width="12" customWidth="1" style="59" min="5" max="6"/>
    <col width="34" customWidth="1" style="59" min="7" max="7"/>
  </cols>
  <sheetData>
    <row r="1" ht="17.4" customHeight="1" s="59">
      <c r="A1" s="36" t="inlineStr">
        <is>
          <t>SUGGESTED SPRINT SEQUENCE</t>
        </is>
      </c>
    </row>
    <row r="2">
      <c r="A2" s="2" t="inlineStr">
        <is>
          <t>Two-week sprints, solo. Each ends with something demonstrable.</t>
        </is>
      </c>
    </row>
    <row r="4" ht="30" customHeight="1" s="59">
      <c r="A4" s="37" t="inlineStr">
        <is>
          <t>Sprint</t>
        </is>
      </c>
      <c r="B4" s="37" t="inlineStr">
        <is>
          <t>Focus</t>
        </is>
      </c>
      <c r="C4" s="37" t="inlineStr">
        <is>
          <t>Key Deliverable</t>
        </is>
      </c>
      <c r="D4" s="37" t="inlineStr">
        <is>
          <t>Status</t>
        </is>
      </c>
      <c r="E4" s="37" t="inlineStr">
        <is>
          <t>Start Date</t>
        </is>
      </c>
      <c r="F4" s="37" t="inlineStr">
        <is>
          <t>End Date</t>
        </is>
      </c>
      <c r="G4" s="37" t="inlineStr">
        <is>
          <t>Notes</t>
        </is>
      </c>
    </row>
    <row r="5" ht="409.6" customHeight="1" s="59">
      <c r="A5" s="54" t="inlineStr">
        <is>
          <t>1</t>
        </is>
      </c>
      <c r="B5" s="48" t="inlineStr">
        <is>
          <t>E01-S01..S04 + S07/S08 (re-scoped) + B1/B3/B4/B6</t>
        </is>
      </c>
      <c r="C5" s="48" t="inlineStr">
        <is>
          <t>Schema, repositories, Redis, streams live; merge gate green; blockers actioned</t>
        </is>
      </c>
      <c r="D5" s="40" t="inlineStr">
        <is>
          <t>Active</t>
        </is>
      </c>
      <c r="E5" s="46" t="n">
        <v>46240</v>
      </c>
      <c r="F5" s="46" t="n">
        <v>46244</v>
      </c>
      <c r="G5" s="49" t="inlineStr">
        <is>
          <t>RE-SCOPED after the E01 deep dive (EPIC01_TECHNICAL_SPEC.md §16), then updated 7 Aug when two missing stories were added.
CAPACITY FINDING — READ FIRST. E01 as originally scoped was 8.5 days against a nominal 5-day sprint that ALSO carries blocker resolution. Deferring E01-S05 and E01-S06 brought it to 7 days; adding E01-S08 (lint debt, 0.5 d) makes it 7.5 d of REMAINING work. E01-S07 (1 d) is already CLOSED. There is no second developer to parallelise across. Do not close the gap by compressing estimates — that produces the same overrun with less visibility.
OPTION A (RECOMMENDED, reflected here): let Sprint 1 run to ~7.5 working days. Dates are indicative, so Sprint 1 is 'done when E01-S01..S04 and S08 are done', not a fixed calendar box.
OPTION B: hard 5-day box — Sprint 1 keeps E01-S01 + E01-S03 + E01-S08 + blockers (4 d), and E01-S02 + E01-S04 join E01-S05 in Sprint 2.
ORDER (Option A):
  Days 1-2 — E01-S01 (2 d). Send the Zerodha questions (B1 + B4) on day 1, FIRST thing; the answers take days.
  Day 2    — B3 holiday circular alongside S01; independent desk work.
  Days 3-4 — E01-S03 Redis (1.5 d). Independent of S01.
  Days 5-6 — E01-S02 repositories (2 d). Needs S01.
  Days 6-7 — E01-S04 streams (1.5 d). Needs S03.
  Day 7    — E01-S08 lint debt (0.5 d), BEFORE E01-S01 merges; sprint review.
  B6 static IP runs in the background all sprint — procurement lead time.
ALREADY DONE: E01-S07 (datastore scaffolding + Alembic bootstrap) closed 7 Aug. It was not in the original backlog even though E01-S01 task 1 assumed all of it existed. Four blockers were found by executing it — see that story's Notes and Code/SETUP.md.
DEFERRED OUT: E01-S05 audit hash chain (1 d, only safety-critical story in the epic, moved to Sprint 2) and E01-S06 retention (P2/Phase 6).
BLOCKERS: B1, B3, B4, B6 active. B2 decided — wait for release, no work. B5 not Sprint 1, needs E02.
GATE ON DAY 1: settle the TimescaleDB pin. Evidence is now empirical — 2.17.2 exposes add_compression_policy ONLY; 2.29.1 exposes BOTH, so the upgrade is backward compatible. Recommend upgrading before the first migration. See Code/SETUP.md Step 2.</t>
        </is>
      </c>
    </row>
    <row r="6" ht="132" customHeight="1" s="59">
      <c r="A6" s="54" t="inlineStr">
        <is>
          <t>2</t>
        </is>
      </c>
      <c r="B6" s="48" t="inlineStr">
        <is>
          <t>E01-S05 (deferred in) + E03 + E04</t>
        </is>
      </c>
      <c r="C6" s="48" t="inlineStr">
        <is>
          <t>Audit chain verified; historical data flowing, hazard lists daily</t>
        </is>
      </c>
      <c r="D6" s="40" t="inlineStr">
        <is>
          <t>New</t>
        </is>
      </c>
      <c r="E6" s="46" t="n"/>
      <c r="F6" s="46" t="n"/>
      <c r="G6" s="49" t="inlineStr">
        <is>
          <t>E01-S05 (audit log writer with hash chaining) carried in from Sprint 1. Safety-critical: budget the full 1 day, schedule it EARLY in the sprint, and do not merge it at the end of a session. Its DoD adds a property-based test over generated event sequences, a tamper test, an outage test, and a second read on a different day. Depends on E01-S01 only, which lands in Sprint 1.</t>
        </is>
      </c>
    </row>
    <row r="7">
      <c r="A7" s="54" t="inlineStr">
        <is>
          <t>3</t>
        </is>
      </c>
      <c r="B7" s="48" t="inlineStr">
        <is>
          <t>E02-S01..S03, E05-S01..S05</t>
        </is>
      </c>
      <c r="C7" s="48" t="inlineStr">
        <is>
          <t>Live ticks arriving and cleaned</t>
        </is>
      </c>
      <c r="D7" s="40" t="inlineStr">
        <is>
          <t>New</t>
        </is>
      </c>
      <c r="E7" s="46" t="n"/>
      <c r="F7" s="46" t="n"/>
      <c r="G7" s="49" t="n"/>
    </row>
    <row r="8">
      <c r="A8" s="54" t="inlineStr">
        <is>
          <t>4</t>
        </is>
      </c>
      <c r="B8" s="48" t="inlineStr">
        <is>
          <t>E05-S06..S08, E06-S01..S03</t>
        </is>
      </c>
      <c r="C8" s="48" t="inlineStr">
        <is>
          <t>Bars building, indicators warm</t>
        </is>
      </c>
      <c r="D8" s="40" t="inlineStr">
        <is>
          <t>New</t>
        </is>
      </c>
      <c r="E8" s="46" t="n"/>
      <c r="F8" s="46" t="n"/>
      <c r="G8" s="49" t="n"/>
    </row>
    <row r="9">
      <c r="A9" s="54" t="inlineStr">
        <is>
          <t>5</t>
        </is>
      </c>
      <c r="B9" s="48" t="inlineStr">
        <is>
          <t>E06-S04..S07, E07</t>
        </is>
      </c>
      <c r="C9" s="48" t="inlineStr">
        <is>
          <t>Ranked watchlist every morning</t>
        </is>
      </c>
      <c r="D9" s="40" t="inlineStr">
        <is>
          <t>New</t>
        </is>
      </c>
      <c r="E9" s="46" t="n"/>
      <c r="F9" s="46" t="n"/>
      <c r="G9" s="49" t="n"/>
    </row>
    <row r="10">
      <c r="A10" s="54" t="inlineStr">
        <is>
          <t>6</t>
        </is>
      </c>
      <c r="B10" s="48" t="inlineStr">
        <is>
          <t>E09, E19-S01..S02</t>
        </is>
      </c>
      <c r="C10" s="48" t="inlineStr">
        <is>
          <t>Macro context + Telegram working</t>
        </is>
      </c>
      <c r="D10" s="40" t="inlineStr">
        <is>
          <t>New</t>
        </is>
      </c>
      <c r="E10" s="46" t="n"/>
      <c r="F10" s="46" t="n"/>
      <c r="G10" s="49" t="n"/>
    </row>
    <row r="11">
      <c r="A11" s="54" t="inlineStr">
        <is>
          <t>7</t>
        </is>
      </c>
      <c r="B11" s="48" t="inlineStr">
        <is>
          <t>E08, E10-S01..S04</t>
        </is>
      </c>
      <c r="C11" s="48" t="inlineStr">
        <is>
          <t>News scored, AI layer live</t>
        </is>
      </c>
      <c r="D11" s="40" t="inlineStr">
        <is>
          <t>New</t>
        </is>
      </c>
      <c r="E11" s="46" t="n"/>
      <c r="F11" s="46" t="n"/>
      <c r="G11" s="49" t="n"/>
    </row>
    <row r="12">
      <c r="A12" s="55" t="inlineStr">
        <is>
          <t>8</t>
        </is>
      </c>
      <c r="B12" s="56" t="inlineStr">
        <is>
          <t>E11</t>
        </is>
      </c>
      <c r="C12" s="56" t="inlineStr">
        <is>
          <t>Pre-market plan by 09:15 — the inflection point</t>
        </is>
      </c>
      <c r="D12" s="40" t="inlineStr">
        <is>
          <t>New</t>
        </is>
      </c>
      <c r="E12" s="46" t="n"/>
      <c r="F12" s="46" t="n"/>
      <c r="G12" s="49" t="n"/>
    </row>
    <row r="13">
      <c r="A13" s="54" t="inlineStr">
        <is>
          <t>9</t>
        </is>
      </c>
      <c r="B13" s="48" t="inlineStr">
        <is>
          <t>E10-S05, E13, E17-S01..S03</t>
        </is>
      </c>
      <c r="C13" s="48" t="inlineStr">
        <is>
          <t>Live signals with rationale, dashboard</t>
        </is>
      </c>
      <c r="D13" s="40" t="inlineStr">
        <is>
          <t>New</t>
        </is>
      </c>
      <c r="E13" s="46" t="n"/>
      <c r="F13" s="46" t="n"/>
      <c r="G13" s="49" t="n"/>
    </row>
    <row r="14">
      <c r="A14" s="54" t="inlineStr">
        <is>
          <t>10</t>
        </is>
      </c>
      <c r="B14" s="48" t="inlineStr">
        <is>
          <t>E14</t>
        </is>
      </c>
      <c r="C14" s="48" t="inlineStr">
        <is>
          <t>Risk engine complete, property-tested</t>
        </is>
      </c>
      <c r="D14" s="40" t="inlineStr">
        <is>
          <t>New</t>
        </is>
      </c>
      <c r="E14" s="46" t="n"/>
      <c r="F14" s="46" t="n"/>
      <c r="G14" s="49" t="n"/>
    </row>
    <row r="15">
      <c r="A15" s="54" t="inlineStr">
        <is>
          <t>11</t>
        </is>
      </c>
      <c r="B15" s="48" t="inlineStr">
        <is>
          <t>E15-S01..S07</t>
        </is>
      </c>
      <c r="C15" s="48" t="inlineStr">
        <is>
          <t>Order execution on paper</t>
        </is>
      </c>
      <c r="D15" s="40" t="inlineStr">
        <is>
          <t>New</t>
        </is>
      </c>
      <c r="E15" s="46" t="n"/>
      <c r="F15" s="46" t="n"/>
      <c r="G15" s="49" t="n"/>
    </row>
    <row r="16">
      <c r="A16" s="54" t="inlineStr">
        <is>
          <t>12</t>
        </is>
      </c>
      <c r="B16" s="48" t="inlineStr">
        <is>
          <t>E15-S08..S11, E16</t>
        </is>
      </c>
      <c r="C16" s="48" t="inlineStr">
        <is>
          <t>Position management, autonomy, approval</t>
        </is>
      </c>
      <c r="D16" s="40" t="inlineStr">
        <is>
          <t>New</t>
        </is>
      </c>
      <c r="E16" s="46" t="n"/>
      <c r="F16" s="46" t="n"/>
      <c r="G16" s="49" t="n"/>
    </row>
    <row r="17">
      <c r="A17" s="54" t="inlineStr">
        <is>
          <t>13</t>
        </is>
      </c>
      <c r="B17" s="48" t="inlineStr">
        <is>
          <t>E12-S01..S08</t>
        </is>
      </c>
      <c r="C17" s="48" t="inlineStr">
        <is>
          <t>Strategy registry + validation gauntlet</t>
        </is>
      </c>
      <c r="D17" s="40" t="inlineStr">
        <is>
          <t>New</t>
        </is>
      </c>
      <c r="E17" s="46" t="n"/>
      <c r="F17" s="46" t="n"/>
      <c r="G17" s="49" t="n"/>
    </row>
    <row r="18">
      <c r="A18" s="54" t="inlineStr">
        <is>
          <t>14</t>
        </is>
      </c>
      <c r="B18" s="48" t="inlineStr">
        <is>
          <t>E12-S09..S10, E20</t>
        </is>
      </c>
      <c r="C18" s="48" t="inlineStr">
        <is>
          <t>Shadow mode, observability</t>
        </is>
      </c>
      <c r="D18" s="40" t="inlineStr">
        <is>
          <t>New</t>
        </is>
      </c>
      <c r="E18" s="46" t="n"/>
      <c r="F18" s="46" t="n"/>
      <c r="G18" s="49" t="n"/>
    </row>
    <row r="19">
      <c r="A19" s="54" t="inlineStr">
        <is>
          <t>15</t>
        </is>
      </c>
      <c r="B19" s="48" t="inlineStr">
        <is>
          <t>E17-S04..S09, E18</t>
        </is>
      </c>
      <c r="C19" s="48" t="inlineStr">
        <is>
          <t>UI complete</t>
        </is>
      </c>
      <c r="D19" s="40" t="inlineStr">
        <is>
          <t>New</t>
        </is>
      </c>
      <c r="E19" s="46" t="n"/>
      <c r="F19" s="46" t="n"/>
      <c r="G19" s="49" t="n"/>
    </row>
    <row r="20">
      <c r="A20" s="54" t="inlineStr">
        <is>
          <t>16</t>
        </is>
      </c>
      <c r="B20" s="48" t="inlineStr">
        <is>
          <t>E21, E22-S01..S04</t>
        </is>
      </c>
      <c r="C20" s="48" t="inlineStr">
        <is>
          <t>Compliance, tax, chaos tests</t>
        </is>
      </c>
      <c r="D20" s="40" t="inlineStr">
        <is>
          <t>New</t>
        </is>
      </c>
      <c r="E20" s="46" t="n"/>
      <c r="F20" s="46" t="n"/>
      <c r="G20" s="49" t="n"/>
    </row>
    <row r="21">
      <c r="A21" s="54" t="inlineStr">
        <is>
          <t>17</t>
        </is>
      </c>
      <c r="B21" s="48" t="inlineStr">
        <is>
          <t>E22-S05..S08, E23</t>
        </is>
      </c>
      <c r="C21" s="48" t="inlineStr">
        <is>
          <t>Hardening, deployment</t>
        </is>
      </c>
      <c r="D21" s="40" t="inlineStr">
        <is>
          <t>New</t>
        </is>
      </c>
      <c r="E21" s="46" t="n"/>
      <c r="F21" s="46" t="n"/>
      <c r="G21" s="49" t="n"/>
    </row>
    <row r="22">
      <c r="A22" s="54" t="inlineStr">
        <is>
          <t>18</t>
        </is>
      </c>
      <c r="B22" s="48" t="inlineStr">
        <is>
          <t>Paper trading</t>
        </is>
      </c>
      <c r="C22" s="48" t="inlineStr">
        <is>
          <t>Multi-week validation across regimes</t>
        </is>
      </c>
      <c r="D22" s="40" t="inlineStr">
        <is>
          <t>New</t>
        </is>
      </c>
      <c r="E22" s="46" t="n"/>
      <c r="F22" s="46" t="n"/>
      <c r="G22" s="49" t="n"/>
    </row>
    <row r="23">
      <c r="A23" s="54" t="inlineStr">
        <is>
          <t>19+</t>
        </is>
      </c>
      <c r="B23" s="48" t="inlineStr">
        <is>
          <t>PRE_LIVE_CHECKLIST</t>
        </is>
      </c>
      <c r="C23" s="48" t="inlineStr">
        <is>
          <t>Approval mode, small live size</t>
        </is>
      </c>
      <c r="D23" s="40" t="inlineStr">
        <is>
          <t>New</t>
        </is>
      </c>
      <c r="E23" s="46" t="n"/>
      <c r="F23" s="46" t="n"/>
      <c r="G23" s="49" t="n"/>
    </row>
  </sheetData>
  <autoFilter ref="A4:G23"/>
  <conditionalFormatting sqref="D5:D23">
    <cfRule type="expression" priority="2" dxfId="13">
      <formula>EXACT($D5,"New")</formula>
    </cfRule>
    <cfRule type="expression" priority="3" dxfId="12">
      <formula>EXACT($D5,"Business Review")</formula>
    </cfRule>
    <cfRule type="expression" priority="4" dxfId="11">
      <formula>EXACT($D5,"Business Approved")</formula>
    </cfRule>
    <cfRule type="expression" priority="5" dxfId="10">
      <formula>EXACT($D5,"Active")</formula>
    </cfRule>
    <cfRule type="expression" priority="6" dxfId="9">
      <formula>EXACT($D5,"Development In-Progress")</formula>
    </cfRule>
    <cfRule type="expression" priority="7" dxfId="8">
      <formula>EXACT($D5,"Development Completed")</formula>
    </cfRule>
    <cfRule type="expression" priority="8" dxfId="7">
      <formula>EXACT($D5,"QA In-Progress")</formula>
    </cfRule>
    <cfRule type="expression" priority="9" dxfId="6">
      <formula>EXACT($D5,"QA-Success")</formula>
    </cfRule>
    <cfRule type="expression" priority="10" dxfId="5">
      <formula>EXACT($D5,"QA-Fail")</formula>
    </cfRule>
    <cfRule type="expression" priority="11" dxfId="4">
      <formula>EXACT($D5,"Closed")</formula>
    </cfRule>
    <cfRule type="expression" priority="12" dxfId="3">
      <formula>EXACT($D5,"Removed")</formula>
    </cfRule>
    <cfRule type="expression" priority="13" dxfId="2">
      <formula>EXACT($D5,"Moved to Backlog")</formula>
    </cfRule>
    <cfRule type="expression" priority="14" dxfId="1">
      <formula>EXACT($D5,"Blocked")</formula>
    </cfRule>
    <cfRule type="expression" priority="15" dxfId="0">
      <formula>EXACT($D5,"On Hold")</formula>
    </cfRule>
  </conditionalFormatting>
  <dataValidations count="1">
    <dataValidation sqref="D5:D23" showDropDown="0" showInputMessage="0" showErrorMessage="0" allowBlank="0" type="list">
      <formula1>"New,Business Review,Business Approved,Active,Development In-Progress,Development Completed,QA In-Progress,QA-Success,QA-Fail,Closed,Removed,Moved to Backlog,Blocked,On Hold"</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B60"/>
  <sheetViews>
    <sheetView topLeftCell="A45" zoomScaleNormal="100" workbookViewId="0">
      <selection activeCell="A1" sqref="A1"/>
    </sheetView>
  </sheetViews>
  <sheetFormatPr baseColWidth="8" defaultColWidth="8.6640625" defaultRowHeight="14.4"/>
  <cols>
    <col width="26" customWidth="1" style="59" min="1" max="1"/>
    <col width="92" customWidth="1" style="59" min="2" max="2"/>
  </cols>
  <sheetData>
    <row r="1" ht="17.4" customHeight="1" s="59">
      <c r="A1" s="36" t="inlineStr">
        <is>
          <t>REFERENCE &amp; LEGEND</t>
        </is>
      </c>
    </row>
    <row r="2">
      <c r="A2" s="2" t="inlineStr">
        <is>
          <t>Definitions for every classifier used in the Backlog sheet.</t>
        </is>
      </c>
    </row>
    <row r="4">
      <c r="A4" s="57" t="inlineStr">
        <is>
          <t>STATUS VALUES (dropdown in Backlog column E)</t>
        </is>
      </c>
    </row>
    <row r="5" ht="30" customHeight="1" s="59">
      <c r="A5" s="37" t="inlineStr">
        <is>
          <t>Status</t>
        </is>
      </c>
      <c r="B5" s="37" t="inlineStr">
        <is>
          <t>Meaning</t>
        </is>
      </c>
    </row>
    <row r="6">
      <c r="A6" s="13" t="inlineStr">
        <is>
          <t>New</t>
        </is>
      </c>
      <c r="B6" s="5" t="inlineStr">
        <is>
          <t>Captured, not yet triaged.</t>
        </is>
      </c>
    </row>
    <row r="7">
      <c r="A7" s="15" t="inlineStr">
        <is>
          <t>Business Review</t>
        </is>
      </c>
      <c r="B7" s="5" t="inlineStr">
        <is>
          <t>Under review for business value / scope.</t>
        </is>
      </c>
    </row>
    <row r="8">
      <c r="A8" s="16" t="inlineStr">
        <is>
          <t>Business Approved</t>
        </is>
      </c>
      <c r="B8" s="5" t="inlineStr">
        <is>
          <t>Signed off; cleared to be scheduled.</t>
        </is>
      </c>
    </row>
    <row r="9">
      <c r="A9" s="17" t="inlineStr">
        <is>
          <t>Active</t>
        </is>
      </c>
      <c r="B9" s="5" t="inlineStr">
        <is>
          <t>Scheduled into the current sprint; not yet started.</t>
        </is>
      </c>
    </row>
    <row r="10">
      <c r="A10" s="18" t="inlineStr">
        <is>
          <t>Development In-Progress</t>
        </is>
      </c>
      <c r="B10" s="5" t="inlineStr">
        <is>
          <t>Being built.</t>
        </is>
      </c>
    </row>
    <row r="11">
      <c r="A11" s="19" t="inlineStr">
        <is>
          <t>Development Completed</t>
        </is>
      </c>
      <c r="B11" s="5" t="inlineStr">
        <is>
          <t>Code complete, awaiting QA.</t>
        </is>
      </c>
    </row>
    <row r="12">
      <c r="A12" s="20" t="inlineStr">
        <is>
          <t>QA In-Progress</t>
        </is>
      </c>
      <c r="B12" s="5" t="inlineStr">
        <is>
          <t>Under test.</t>
        </is>
      </c>
    </row>
    <row r="13">
      <c r="A13" s="21" t="inlineStr">
        <is>
          <t>QA-Success</t>
        </is>
      </c>
      <c r="B13" s="5" t="inlineStr">
        <is>
          <t>Passed test; ready to close.</t>
        </is>
      </c>
    </row>
    <row r="14">
      <c r="A14" s="22" t="inlineStr">
        <is>
          <t>QA-Fail</t>
        </is>
      </c>
      <c r="B14" s="5" t="inlineStr">
        <is>
          <t>Failed test; returns to development.</t>
        </is>
      </c>
    </row>
    <row r="15">
      <c r="A15" s="23" t="inlineStr">
        <is>
          <t>Closed</t>
        </is>
      </c>
      <c r="B15" s="5" t="inlineStr">
        <is>
          <t>Done and accepted. Definition of Done met.</t>
        </is>
      </c>
    </row>
    <row r="16">
      <c r="A16" s="24" t="inlineStr">
        <is>
          <t>Removed</t>
        </is>
      </c>
      <c r="B16" s="5" t="inlineStr">
        <is>
          <t>Cancelled; will not be built.</t>
        </is>
      </c>
    </row>
    <row r="17">
      <c r="A17" s="25" t="inlineStr">
        <is>
          <t>Moved to Backlog</t>
        </is>
      </c>
      <c r="B17" s="5" t="inlineStr">
        <is>
          <t>Deferred out of the current plan.</t>
        </is>
      </c>
    </row>
    <row r="18">
      <c r="A18" s="26" t="inlineStr">
        <is>
          <t>Blocked</t>
        </is>
      </c>
      <c r="B18" s="5" t="inlineStr">
        <is>
          <t>Cannot proceed — see Blocked By / Blockers sheet.</t>
        </is>
      </c>
    </row>
    <row r="19">
      <c r="A19" s="30" t="inlineStr">
        <is>
          <t>On Hold</t>
        </is>
      </c>
      <c r="B19" s="5" t="inlineStr">
        <is>
          <t>Paused by choice rather than by a blocker.</t>
        </is>
      </c>
    </row>
    <row r="22">
      <c r="A22" s="57" t="inlineStr">
        <is>
          <t>PRIORITY</t>
        </is>
      </c>
    </row>
    <row r="23" ht="30" customHeight="1" s="59">
      <c r="A23" s="37" t="inlineStr">
        <is>
          <t>Value</t>
        </is>
      </c>
      <c r="B23" s="37" t="inlineStr">
        <is>
          <t>Meaning</t>
        </is>
      </c>
    </row>
    <row r="24">
      <c r="A24" s="22" t="inlineStr">
        <is>
          <t>P0</t>
        </is>
      </c>
      <c r="B24" s="5" t="inlineStr">
        <is>
          <t>Blocker — cannot ship without it</t>
        </is>
      </c>
    </row>
    <row r="25">
      <c r="A25" s="15" t="inlineStr">
        <is>
          <t>P1</t>
        </is>
      </c>
      <c r="B25" s="5" t="inlineStr">
        <is>
          <t>MVP scope</t>
        </is>
      </c>
    </row>
    <row r="26">
      <c r="A26" s="21" t="inlineStr">
        <is>
          <t>P2</t>
        </is>
      </c>
      <c r="B26" s="5" t="inlineStr">
        <is>
          <t>Post-MVP</t>
        </is>
      </c>
    </row>
    <row r="27">
      <c r="A27" s="32" t="inlineStr">
        <is>
          <t>P3</t>
        </is>
      </c>
      <c r="B27" s="5" t="inlineStr">
        <is>
          <t>Nice-to-have</t>
        </is>
      </c>
    </row>
    <row r="30">
      <c r="A30" s="57" t="inlineStr">
        <is>
          <t>RISK</t>
        </is>
      </c>
    </row>
    <row r="31" ht="30" customHeight="1" s="59">
      <c r="A31" s="37" t="inlineStr">
        <is>
          <t>Value</t>
        </is>
      </c>
      <c r="B31" s="37" t="inlineStr">
        <is>
          <t>Meaning</t>
        </is>
      </c>
    </row>
    <row r="32" ht="30" customHeight="1" s="59">
      <c r="A32" s="33" t="inlineStr">
        <is>
          <t>Safety-critical</t>
        </is>
      </c>
      <c r="B32" s="48" t="inlineStr">
        <is>
          <t>🔴 A defect can lose money or breach regulation. Needs property-based tests, 100% line coverage, and a second read before merge. Never merge at the end of a session.</t>
        </is>
      </c>
    </row>
    <row r="33" ht="30" customHeight="1" s="59">
      <c r="A33" s="34" t="inlineStr">
        <is>
          <t>Correctness-critical</t>
        </is>
      </c>
      <c r="B33" s="48" t="inlineStr">
        <is>
          <t>🟠 A defect produces wrong results but does not directly risk capital.</t>
        </is>
      </c>
    </row>
    <row r="34" ht="30" customHeight="1" s="59">
      <c r="A34" s="35" t="inlineStr">
        <is>
          <t>Low</t>
        </is>
      </c>
      <c r="B34" s="48" t="inlineStr">
        <is>
          <t>🟢 Ordinary care applies.</t>
        </is>
      </c>
    </row>
    <row r="37">
      <c r="A37" s="57" t="inlineStr">
        <is>
          <t>TYPE</t>
        </is>
      </c>
    </row>
    <row r="38" ht="30" customHeight="1" s="59">
      <c r="A38" s="37" t="inlineStr">
        <is>
          <t>Value</t>
        </is>
      </c>
      <c r="B38" s="37" t="inlineStr">
        <is>
          <t>Meaning</t>
        </is>
      </c>
    </row>
    <row r="39">
      <c r="A39" s="7" t="inlineStr">
        <is>
          <t>FEAT</t>
        </is>
      </c>
      <c r="B39" s="5" t="inlineStr">
        <is>
          <t>Feature work</t>
        </is>
      </c>
    </row>
    <row r="40">
      <c r="A40" s="7" t="inlineStr">
        <is>
          <t>INFRA</t>
        </is>
      </c>
      <c r="B40" s="5" t="inlineStr">
        <is>
          <t>Infrastructure / plumbing</t>
        </is>
      </c>
    </row>
    <row r="41">
      <c r="A41" s="7" t="inlineStr">
        <is>
          <t>SEC</t>
        </is>
      </c>
      <c r="B41" s="5" t="inlineStr">
        <is>
          <t>Security</t>
        </is>
      </c>
    </row>
    <row r="42">
      <c r="A42" s="7" t="inlineStr">
        <is>
          <t>TEST</t>
        </is>
      </c>
      <c r="B42" s="5" t="inlineStr">
        <is>
          <t>Testing</t>
        </is>
      </c>
    </row>
    <row r="43">
      <c r="A43" s="7" t="inlineStr">
        <is>
          <t>OPS</t>
        </is>
      </c>
      <c r="B43" s="5" t="inlineStr">
        <is>
          <t>Operations / deployment</t>
        </is>
      </c>
    </row>
    <row r="44">
      <c r="A44" s="7" t="inlineStr">
        <is>
          <t>DOC</t>
        </is>
      </c>
      <c r="B44" s="5" t="inlineStr">
        <is>
          <t>Documentation</t>
        </is>
      </c>
    </row>
    <row r="47">
      <c r="A47" s="57" t="inlineStr">
        <is>
          <t>DEFINITION OF DONE (every story)</t>
        </is>
      </c>
    </row>
    <row r="48">
      <c r="A48" s="58" t="inlineStr">
        <is>
          <t>☐  Code written and passing `make check` (lint + types + tests)</t>
        </is>
      </c>
    </row>
    <row r="49">
      <c r="A49" s="58" t="inlineStr">
        <is>
          <t>☐  Tests written that FAIL if the story's claim is false — not tests that assert the code shape</t>
        </is>
      </c>
    </row>
    <row r="50">
      <c r="A50" s="58" t="inlineStr">
        <is>
          <t>☐  Safety-critical stories: property-based test covering the invariant</t>
        </is>
      </c>
    </row>
    <row r="51">
      <c r="A51" s="58" t="inlineStr">
        <is>
          <t>☐  Docstrings explain why, not what</t>
        </is>
      </c>
    </row>
    <row r="52">
      <c r="A52" s="58" t="inlineStr">
        <is>
          <t>☐  No secret, no float in a money path, no naive datetime</t>
        </is>
      </c>
    </row>
    <row r="53">
      <c r="A53" s="58" t="inlineStr">
        <is>
          <t>☐  `make doctor` still exits 0</t>
        </is>
      </c>
    </row>
    <row r="54">
      <c r="A54" s="58" t="inlineStr">
        <is>
          <t>☐  Relevant design document updated if behaviour diverged from spec</t>
        </is>
      </c>
    </row>
    <row r="57">
      <c r="A57" s="57" t="inlineStr">
        <is>
          <t>NOTE ON SOURCE DATA</t>
        </is>
      </c>
    </row>
    <row r="58" ht="15" customHeight="1" s="59">
      <c r="A58" s="60" t="inlineStr">
        <is>
          <t>The epic map in BACKLOG.md lists E21 as 7 stories, but the document actually defines 8 (E21-S01 … E21-S08). This workbook uses the actual 8. Totals here are therefore 189 stories / ~242 days, against the 188 / ~234 stated in the source.</t>
        </is>
      </c>
    </row>
    <row r="59"/>
    <row r="60"/>
  </sheetData>
  <mergeCells count="8">
    <mergeCell ref="A48:B48"/>
    <mergeCell ref="A54:B54"/>
    <mergeCell ref="A52:B52"/>
    <mergeCell ref="A49:B49"/>
    <mergeCell ref="A51:B51"/>
    <mergeCell ref="A58:B60"/>
    <mergeCell ref="A53:B53"/>
    <mergeCell ref="A50:B5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2026-08-05T16:21:12Z</dcterms:created>
  <dcterms:modified xsi:type="dcterms:W3CDTF">2026-10-28T09:27:57Z</dcterms:modified>
  <cp:lastModifiedBy>Gopikrishnan Sreekumar</cp:lastModifiedBy>
  <cp:revision>0</cp:revision>
</cp:coreProperties>
</file>