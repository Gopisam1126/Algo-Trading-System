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4616" tabRatio="500" firstSheet="0" activeTab="2" autoFilterDateGrouping="1"/>
  </bookViews>
  <sheets>
    <sheet xmlns:r="http://schemas.openxmlformats.org/officeDocument/2006/relationships" name="Dashboard" sheetId="1" state="visible" r:id="rId1"/>
    <sheet xmlns:r="http://schemas.openxmlformats.org/officeDocument/2006/relationships" name="Backlog" sheetId="2" state="visible" r:id="rId2"/>
    <sheet xmlns:r="http://schemas.openxmlformats.org/officeDocument/2006/relationships" name="Blockers" sheetId="3" state="visible" r:id="rId3"/>
    <sheet xmlns:r="http://schemas.openxmlformats.org/officeDocument/2006/relationships" name="Sprint Plan" sheetId="4" state="visible" r:id="rId4"/>
    <sheet xmlns:r="http://schemas.openxmlformats.org/officeDocument/2006/relationships" name="Reference" sheetId="5" state="visible" r:id="rId5"/>
  </sheets>
  <definedNames>
    <definedName name="_xlnm._FilterDatabase" localSheetId="1" hidden="1">'Backlog'!$A$4:$W$195</definedName>
    <definedName name="_xlnm._FilterDatabase" localSheetId="2" hidden="1">'Blockers'!$A$4:$H$11</definedName>
    <definedName name="_xlnm._FilterDatabase" localSheetId="3" hidden="1">'Sprint Plan'!$A$4:$G$23</definedName>
  </definedNames>
  <calcPr calcId="191029" fullCalcOnLoad="1" iterateDelta="0.0001"/>
</workbook>
</file>

<file path=xl/styles.xml><?xml version="1.0" encoding="utf-8"?>
<styleSheet xmlns="http://schemas.openxmlformats.org/spreadsheetml/2006/main">
  <numFmts count="3">
    <numFmt numFmtId="164" formatCode="0.0"/>
    <numFmt numFmtId="165" formatCode="0.0%"/>
    <numFmt numFmtId="166" formatCode="yyyy\-mm\-dd"/>
  </numFmts>
  <fonts count="29">
    <font>
      <name val="Calibri"/>
      <charset val="1"/>
      <family val="2"/>
      <color theme="1"/>
      <sz val="11"/>
    </font>
    <font>
      <name val="Arial"/>
      <charset val="1"/>
      <b val="1"/>
      <color rgb="FF2B3A55"/>
      <sz val="18"/>
    </font>
    <font>
      <name val="Arial"/>
      <charset val="1"/>
      <i val="1"/>
      <color rgb="FF666666"/>
      <sz val="9"/>
    </font>
    <font>
      <name val="Arial"/>
      <charset val="1"/>
      <b val="1"/>
      <color rgb="FF2B3A55"/>
      <sz val="11"/>
    </font>
    <font>
      <name val="Arial"/>
      <charset val="1"/>
      <b val="1"/>
      <color rgb="FFFFFFFF"/>
      <sz val="10"/>
    </font>
    <font>
      <name val="Arial"/>
      <charset val="1"/>
      <sz val="10"/>
    </font>
    <font>
      <name val="Arial"/>
      <charset val="1"/>
      <b val="1"/>
      <sz val="10"/>
    </font>
    <font>
      <name val="Arial"/>
      <charset val="1"/>
      <b val="1"/>
      <color rgb="FF3C4043"/>
      <sz val="10"/>
    </font>
    <font>
      <name val="Arial"/>
      <charset val="1"/>
      <b val="1"/>
      <color rgb="FF7F6000"/>
      <sz val="10"/>
    </font>
    <font>
      <name val="Arial"/>
      <charset val="1"/>
      <b val="1"/>
      <color rgb="FF783F04"/>
      <sz val="10"/>
    </font>
    <font>
      <name val="Arial"/>
      <charset val="1"/>
      <b val="1"/>
      <color rgb="FF1155CC"/>
      <sz val="10"/>
    </font>
    <font>
      <name val="Arial"/>
      <charset val="1"/>
      <b val="1"/>
      <color rgb="FF3D1F87"/>
      <sz val="10"/>
    </font>
    <font>
      <name val="Arial"/>
      <charset val="1"/>
      <b val="1"/>
      <color rgb="FF0C5460"/>
      <sz val="10"/>
    </font>
    <font>
      <name val="Arial"/>
      <charset val="1"/>
      <b val="1"/>
      <color rgb="FF8A5300"/>
      <sz val="10"/>
    </font>
    <font>
      <name val="Arial"/>
      <charset val="1"/>
      <b val="1"/>
      <color rgb="FF274E13"/>
      <sz val="10"/>
    </font>
    <font>
      <name val="Arial"/>
      <charset val="1"/>
      <b val="1"/>
      <color rgb="FF990000"/>
      <sz val="10"/>
    </font>
    <font>
      <name val="Arial"/>
      <charset val="1"/>
      <b val="1"/>
      <color rgb="FF0B5345"/>
      <sz val="10"/>
    </font>
    <font>
      <name val="Arial"/>
      <charset val="1"/>
      <b val="1"/>
      <color rgb="FF999999"/>
      <sz val="10"/>
    </font>
    <font>
      <name val="Arial"/>
      <charset val="1"/>
      <b val="1"/>
      <color rgb="FF741B47"/>
      <sz val="10"/>
    </font>
    <font>
      <name val="Arial"/>
      <charset val="1"/>
      <b val="1"/>
      <color rgb="FF994C00"/>
      <sz val="10"/>
    </font>
    <font>
      <name val="Arial"/>
      <charset val="1"/>
      <b val="1"/>
      <color rgb="FF666666"/>
      <sz val="10"/>
    </font>
    <font>
      <name val="Arial"/>
      <charset val="1"/>
      <b val="1"/>
      <color rgb="FF8A3A24"/>
      <sz val="10"/>
    </font>
    <font>
      <name val="Arial"/>
      <charset val="1"/>
      <b val="1"/>
      <color rgb="FF7A5B0F"/>
      <sz val="10"/>
    </font>
    <font>
      <name val="Arial"/>
      <charset val="1"/>
      <b val="1"/>
      <color rgb="FF1F6B3F"/>
      <sz val="10"/>
    </font>
    <font>
      <name val="Arial"/>
      <charset val="1"/>
      <b val="1"/>
      <color rgb="FF2B3A55"/>
      <sz val="14"/>
    </font>
    <font>
      <name val="Arial"/>
      <charset val="1"/>
      <color rgb="FF1F6B3F"/>
      <sz val="10"/>
    </font>
    <font>
      <name val="Arial"/>
      <charset val="1"/>
      <color rgb="FF7A5B0F"/>
      <sz val="10"/>
    </font>
    <font>
      <name val="Arial"/>
      <charset val="1"/>
      <color rgb="FF8A3A24"/>
      <sz val="10"/>
    </font>
    <font>
      <name val="Arial"/>
      <charset val="1"/>
      <i val="1"/>
      <color rgb="FF8A3A24"/>
      <sz val="9"/>
    </font>
  </fonts>
  <fills count="21">
    <fill>
      <patternFill/>
    </fill>
    <fill>
      <patternFill patternType="gray125"/>
    </fill>
    <fill>
      <patternFill patternType="solid">
        <fgColor rgb="FF2B3A55"/>
        <bgColor rgb="FF3C4043"/>
      </patternFill>
    </fill>
    <fill>
      <patternFill patternType="solid">
        <fgColor rgb="FFE8EAED"/>
        <bgColor rgb="FFEFEFEF"/>
      </patternFill>
    </fill>
    <fill>
      <patternFill patternType="solid">
        <fgColor rgb="FFFFF2CC"/>
        <bgColor rgb="FFFEF6E0"/>
      </patternFill>
    </fill>
    <fill>
      <patternFill patternType="solid">
        <fgColor rgb="FFFCE5CD"/>
        <bgColor rgb="FFFFE0B2"/>
      </patternFill>
    </fill>
    <fill>
      <patternFill patternType="solid">
        <fgColor rgb="FFCFE2F3"/>
        <bgColor rgb="FFD0E0E3"/>
      </patternFill>
    </fill>
    <fill>
      <patternFill patternType="solid">
        <fgColor rgb="FFD9D2E9"/>
        <bgColor rgb="FFD0D5DB"/>
      </patternFill>
    </fill>
    <fill>
      <patternFill patternType="solid">
        <fgColor rgb="FFD0E0E3"/>
        <bgColor rgb="FFCFE2F3"/>
      </patternFill>
    </fill>
    <fill>
      <patternFill patternType="solid">
        <fgColor rgb="FFFFE0B2"/>
        <bgColor rgb="FFFCE5CD"/>
      </patternFill>
    </fill>
    <fill>
      <patternFill patternType="solid">
        <fgColor rgb="FFD9EAD3"/>
        <bgColor rgb="FFD0E0E3"/>
      </patternFill>
    </fill>
    <fill>
      <patternFill patternType="solid">
        <fgColor rgb="FFF4CCCC"/>
        <bgColor rgb="FFEAD1DC"/>
      </patternFill>
    </fill>
    <fill>
      <patternFill patternType="solid">
        <fgColor rgb="FFB7E1CD"/>
        <bgColor rgb="FFD0E0E3"/>
      </patternFill>
    </fill>
    <fill>
      <patternFill patternType="solid">
        <fgColor rgb="FFEFEFEF"/>
        <bgColor rgb="FFE8EAED"/>
      </patternFill>
    </fill>
    <fill>
      <patternFill patternType="solid">
        <fgColor rgb="FFEAD1DC"/>
        <bgColor rgb="FFF4CCCC"/>
      </patternFill>
    </fill>
    <fill>
      <patternFill patternType="solid">
        <fgColor rgb="FFF9CB9C"/>
        <bgColor rgb="FFF4CCCC"/>
      </patternFill>
    </fill>
    <fill>
      <patternFill patternType="solid">
        <fgColor rgb="FFDDDDDD"/>
        <bgColor rgb="FFD0E0E3"/>
      </patternFill>
    </fill>
    <fill>
      <patternFill patternType="solid">
        <fgColor rgb="FFFDEEEA"/>
        <bgColor rgb="FFFEF6E0"/>
      </patternFill>
    </fill>
    <fill>
      <patternFill patternType="solid">
        <fgColor rgb="FFFEF6E0"/>
        <bgColor rgb="FFFFFDE7"/>
      </patternFill>
    </fill>
    <fill>
      <patternFill patternType="solid">
        <fgColor rgb="FFEAF6EE"/>
        <bgColor rgb="FFEFEFEF"/>
      </patternFill>
    </fill>
    <fill>
      <patternFill patternType="solid">
        <fgColor rgb="FFFFFDE7"/>
        <bgColor rgb="FFFEF6E0"/>
      </patternFill>
    </fill>
  </fills>
  <borders count="2">
    <border>
      <left/>
      <right/>
      <top/>
      <bottom/>
      <diagonal/>
    </border>
    <border>
      <left style="thin">
        <color rgb="FFD0D5DB"/>
      </left>
      <right style="thin">
        <color rgb="FFD0D5DB"/>
      </right>
      <top style="thin">
        <color rgb="FFD0D5DB"/>
      </top>
      <bottom style="thin">
        <color rgb="FFD0D5DB"/>
      </bottom>
      <diagonal/>
    </border>
  </borders>
  <cellStyleXfs count="1">
    <xf numFmtId="0" fontId="0" fillId="0" borderId="0"/>
  </cellStyleXfs>
  <cellXfs count="61">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1" applyAlignment="1" pivotButton="0" quotePrefix="0" xfId="0">
      <alignment horizontal="center" vertical="center" wrapText="1"/>
    </xf>
    <xf numFmtId="0" fontId="5" fillId="0" borderId="1" pivotButton="0" quotePrefix="0" xfId="0"/>
    <xf numFmtId="0" fontId="6" fillId="0" borderId="1" applyAlignment="1" pivotButton="0" quotePrefix="0" xfId="0">
      <alignment horizontal="center"/>
    </xf>
    <xf numFmtId="0" fontId="6" fillId="0" borderId="1" pivotButton="0" quotePrefix="0" xfId="0"/>
    <xf numFmtId="0" fontId="5" fillId="0" borderId="1" applyAlignment="1" pivotButton="0" quotePrefix="0" xfId="0">
      <alignment horizontal="center"/>
    </xf>
    <xf numFmtId="164" fontId="5" fillId="0" borderId="1" applyAlignment="1" pivotButton="0" quotePrefix="0" xfId="0">
      <alignment horizontal="center"/>
    </xf>
    <xf numFmtId="9" fontId="5" fillId="0" borderId="1" applyAlignment="1" pivotButton="0" quotePrefix="0" xfId="0">
      <alignment horizontal="center"/>
    </xf>
    <xf numFmtId="164" fontId="6" fillId="0" borderId="1" applyAlignment="1" pivotButton="0" quotePrefix="0" xfId="0">
      <alignment horizontal="center"/>
    </xf>
    <xf numFmtId="165" fontId="6" fillId="0" borderId="1" applyAlignment="1" pivotButton="0" quotePrefix="0" xfId="0">
      <alignment horizontal="center"/>
    </xf>
    <xf numFmtId="0" fontId="7" fillId="3" borderId="1" pivotButton="0" quotePrefix="0" xfId="0"/>
    <xf numFmtId="165" fontId="5" fillId="0" borderId="1" applyAlignment="1" pivotButton="0" quotePrefix="0" xfId="0">
      <alignment horizontal="center"/>
    </xf>
    <xf numFmtId="0" fontId="8" fillId="4" borderId="1" pivotButton="0" quotePrefix="0" xfId="0"/>
    <xf numFmtId="0" fontId="9" fillId="5" borderId="1" pivotButton="0" quotePrefix="0" xfId="0"/>
    <xf numFmtId="0" fontId="10" fillId="6" borderId="1" pivotButton="0" quotePrefix="0" xfId="0"/>
    <xf numFmtId="0" fontId="11" fillId="7" borderId="1" pivotButton="0" quotePrefix="0" xfId="0"/>
    <xf numFmtId="0" fontId="12" fillId="8" borderId="1" pivotButton="0" quotePrefix="0" xfId="0"/>
    <xf numFmtId="0" fontId="13" fillId="9" borderId="1" pivotButton="0" quotePrefix="0" xfId="0"/>
    <xf numFmtId="0" fontId="14" fillId="10" borderId="1" pivotButton="0" quotePrefix="0" xfId="0"/>
    <xf numFmtId="0" fontId="15" fillId="11" borderId="1" pivotButton="0" quotePrefix="0" xfId="0"/>
    <xf numFmtId="0" fontId="16" fillId="12" borderId="1" pivotButton="0" quotePrefix="0" xfId="0"/>
    <xf numFmtId="0" fontId="17" fillId="13" borderId="1" pivotButton="0" quotePrefix="0" xfId="0"/>
    <xf numFmtId="0" fontId="18" fillId="14" borderId="1" pivotButton="0" quotePrefix="0" xfId="0"/>
    <xf numFmtId="0" fontId="19" fillId="15" borderId="1" pivotButton="0" quotePrefix="0" xfId="0"/>
    <xf numFmtId="0" fontId="0" fillId="0" borderId="1" pivotButton="0" quotePrefix="0" xfId="0"/>
    <xf numFmtId="1" fontId="6" fillId="0" borderId="1" applyAlignment="1" pivotButton="0" quotePrefix="0" xfId="0">
      <alignment horizontal="center"/>
    </xf>
    <xf numFmtId="9" fontId="6" fillId="0" borderId="1" applyAlignment="1" pivotButton="0" quotePrefix="0" xfId="0">
      <alignment horizontal="center"/>
    </xf>
    <xf numFmtId="0" fontId="20" fillId="16" borderId="1" pivotButton="0" quotePrefix="0" xfId="0"/>
    <xf numFmtId="1" fontId="5" fillId="0" borderId="1" applyAlignment="1" pivotButton="0" quotePrefix="0" xfId="0">
      <alignment horizontal="center"/>
    </xf>
    <xf numFmtId="0" fontId="20" fillId="13" borderId="1" pivotButton="0" quotePrefix="0" xfId="0"/>
    <xf numFmtId="0" fontId="21" fillId="17" borderId="1" pivotButton="0" quotePrefix="0" xfId="0"/>
    <xf numFmtId="0" fontId="22" fillId="18" borderId="1" pivotButton="0" quotePrefix="0" xfId="0"/>
    <xf numFmtId="0" fontId="23" fillId="19" borderId="1" pivotButton="0" quotePrefix="0" xfId="0"/>
    <xf numFmtId="0" fontId="24" fillId="0" borderId="0" pivotButton="0" quotePrefix="0" xfId="0"/>
    <xf numFmtId="0" fontId="4" fillId="2" borderId="1" applyAlignment="1" pivotButton="0" quotePrefix="0" xfId="0">
      <alignment vertical="center" wrapText="1"/>
    </xf>
    <xf numFmtId="0" fontId="6" fillId="0" borderId="1" applyAlignment="1" pivotButton="0" quotePrefix="0" xfId="0">
      <alignment vertical="top"/>
    </xf>
    <xf numFmtId="0" fontId="5" fillId="0" borderId="1" applyAlignment="1" pivotButton="0" quotePrefix="0" xfId="0">
      <alignment horizontal="center" vertical="top"/>
    </xf>
    <xf numFmtId="0" fontId="5" fillId="0" borderId="1" applyAlignment="1" pivotButton="0" quotePrefix="0" xfId="0">
      <alignment vertical="top"/>
    </xf>
    <xf numFmtId="0" fontId="15" fillId="11" borderId="1" applyAlignment="1" pivotButton="0" quotePrefix="0" xfId="0">
      <alignment horizontal="center" vertical="top"/>
    </xf>
    <xf numFmtId="0" fontId="25" fillId="19" borderId="1" applyAlignment="1" pivotButton="0" quotePrefix="0" xfId="0">
      <alignment vertical="top"/>
    </xf>
    <xf numFmtId="164" fontId="5" fillId="0" borderId="1" applyAlignment="1" pivotButton="0" quotePrefix="0" xfId="0">
      <alignment horizontal="center" vertical="top"/>
    </xf>
    <xf numFmtId="0" fontId="5" fillId="20" borderId="1" applyAlignment="1" pivotButton="0" quotePrefix="0" xfId="0">
      <alignment vertical="top"/>
    </xf>
    <xf numFmtId="0" fontId="5" fillId="20" borderId="1" applyAlignment="1" pivotButton="0" quotePrefix="0" xfId="0">
      <alignment horizontal="center" vertical="top"/>
    </xf>
    <xf numFmtId="166" fontId="5" fillId="20" borderId="1" applyAlignment="1" pivotButton="0" quotePrefix="0" xfId="0">
      <alignment vertical="top"/>
    </xf>
    <xf numFmtId="9" fontId="5" fillId="20" borderId="1" applyAlignment="1" pivotButton="0" quotePrefix="0" xfId="0">
      <alignment vertical="top"/>
    </xf>
    <xf numFmtId="0" fontId="5" fillId="0" borderId="1" applyAlignment="1" pivotButton="0" quotePrefix="0" xfId="0">
      <alignment vertical="top" wrapText="1"/>
    </xf>
    <xf numFmtId="0" fontId="5" fillId="20" borderId="1" applyAlignment="1" pivotButton="0" quotePrefix="0" xfId="0">
      <alignment vertical="top" wrapText="1"/>
    </xf>
    <xf numFmtId="0" fontId="26" fillId="18" borderId="1" applyAlignment="1" pivotButton="0" quotePrefix="0" xfId="0">
      <alignment vertical="top"/>
    </xf>
    <xf numFmtId="0" fontId="27" fillId="17" borderId="1" applyAlignment="1" pivotButton="0" quotePrefix="0" xfId="0">
      <alignment vertical="top"/>
    </xf>
    <xf numFmtId="0" fontId="14" fillId="10" borderId="1" applyAlignment="1" pivotButton="0" quotePrefix="0" xfId="0">
      <alignment horizontal="center" vertical="top"/>
    </xf>
    <xf numFmtId="0" fontId="8" fillId="4" borderId="1" applyAlignment="1" pivotButton="0" quotePrefix="0" xfId="0">
      <alignment horizontal="center" vertical="top"/>
    </xf>
    <xf numFmtId="0" fontId="6" fillId="0" borderId="1" applyAlignment="1" pivotButton="0" quotePrefix="0" xfId="0">
      <alignment horizontal="center" vertical="top"/>
    </xf>
    <xf numFmtId="0" fontId="22" fillId="18" borderId="1" applyAlignment="1" pivotButton="0" quotePrefix="0" xfId="0">
      <alignment horizontal="center" vertical="top"/>
    </xf>
    <xf numFmtId="0" fontId="22" fillId="18" borderId="1" applyAlignment="1" pivotButton="0" quotePrefix="0" xfId="0">
      <alignment vertical="top" wrapText="1"/>
    </xf>
    <xf numFmtId="0" fontId="6" fillId="0" borderId="0" pivotButton="0" quotePrefix="0" xfId="0"/>
    <xf numFmtId="0" fontId="5" fillId="0" borderId="0" pivotButton="0" quotePrefix="0" xfId="0"/>
    <xf numFmtId="0" fontId="0" fillId="0" borderId="0" pivotButton="0" quotePrefix="0" xfId="0"/>
    <xf numFmtId="0" fontId="28" fillId="0" borderId="0" applyAlignment="1" pivotButton="0" quotePrefix="0" xfId="0">
      <alignment vertical="top" wrapText="1"/>
    </xf>
  </cellXfs>
  <cellStyles count="1">
    <cellStyle name="Normal" xfId="0" builtinId="0"/>
  </cellStyles>
  <dxfs count="44">
    <dxf>
      <font>
        <name val="Arial"/>
        <charset val="1"/>
        <b val="1"/>
        <color rgb="FF666666"/>
        <sz val="10"/>
      </font>
      <fill>
        <patternFill>
          <bgColor rgb="FFDDDDDD"/>
        </patternFill>
      </fill>
    </dxf>
    <dxf>
      <font>
        <name val="Arial"/>
        <charset val="1"/>
        <b val="1"/>
        <color rgb="FF994C00"/>
        <sz val="10"/>
      </font>
      <fill>
        <patternFill>
          <bgColor rgb="FFF9CB9C"/>
        </patternFill>
      </fill>
    </dxf>
    <dxf>
      <font>
        <name val="Arial"/>
        <charset val="1"/>
        <b val="1"/>
        <color rgb="FF741B47"/>
        <sz val="10"/>
      </font>
      <fill>
        <patternFill>
          <bgColor rgb="FFEAD1DC"/>
        </patternFill>
      </fill>
    </dxf>
    <dxf>
      <font>
        <name val="Arial"/>
        <charset val="1"/>
        <b val="1"/>
        <color rgb="FF999999"/>
        <sz val="10"/>
      </font>
      <fill>
        <patternFill>
          <bgColor rgb="FFEFEFEF"/>
        </patternFill>
      </fill>
    </dxf>
    <dxf>
      <font>
        <name val="Arial"/>
        <charset val="1"/>
        <b val="1"/>
        <color rgb="FF0B5345"/>
        <sz val="10"/>
      </font>
      <fill>
        <patternFill>
          <bgColor rgb="FFB7E1CD"/>
        </patternFill>
      </fill>
    </dxf>
    <dxf>
      <font>
        <name val="Arial"/>
        <charset val="1"/>
        <b val="1"/>
        <color rgb="FF990000"/>
        <sz val="10"/>
      </font>
      <fill>
        <patternFill>
          <bgColor rgb="FFF4CCCC"/>
        </patternFill>
      </fill>
    </dxf>
    <dxf>
      <font>
        <name val="Arial"/>
        <charset val="1"/>
        <b val="1"/>
        <color rgb="FF274E13"/>
        <sz val="10"/>
      </font>
      <fill>
        <patternFill>
          <bgColor rgb="FFD9EAD3"/>
        </patternFill>
      </fill>
    </dxf>
    <dxf>
      <font>
        <name val="Arial"/>
        <charset val="1"/>
        <b val="1"/>
        <color rgb="FF8A5300"/>
        <sz val="10"/>
      </font>
      <fill>
        <patternFill>
          <bgColor rgb="FFFFE0B2"/>
        </patternFill>
      </fill>
    </dxf>
    <dxf>
      <font>
        <name val="Arial"/>
        <charset val="1"/>
        <b val="1"/>
        <color rgb="FF0C5460"/>
        <sz val="10"/>
      </font>
      <fill>
        <patternFill>
          <bgColor rgb="FFD0E0E3"/>
        </patternFill>
      </fill>
    </dxf>
    <dxf>
      <font>
        <name val="Arial"/>
        <charset val="1"/>
        <b val="1"/>
        <color rgb="FF3D1F87"/>
        <sz val="10"/>
      </font>
      <fill>
        <patternFill>
          <bgColor rgb="FFD9D2E9"/>
        </patternFill>
      </fill>
    </dxf>
    <dxf>
      <font>
        <name val="Arial"/>
        <charset val="1"/>
        <b val="1"/>
        <color rgb="FF1155CC"/>
        <sz val="10"/>
      </font>
      <fill>
        <patternFill>
          <bgColor rgb="FFCFE2F3"/>
        </patternFill>
      </fill>
    </dxf>
    <dxf>
      <font>
        <name val="Arial"/>
        <charset val="1"/>
        <b val="1"/>
        <color rgb="FF783F04"/>
        <sz val="10"/>
      </font>
      <fill>
        <patternFill>
          <bgColor rgb="FFFCE5CD"/>
        </patternFill>
      </fill>
    </dxf>
    <dxf>
      <font>
        <name val="Arial"/>
        <charset val="1"/>
        <b val="1"/>
        <color rgb="FF7F6000"/>
        <sz val="10"/>
      </font>
      <fill>
        <patternFill>
          <bgColor rgb="FFFFF2CC"/>
        </patternFill>
      </fill>
    </dxf>
    <dxf>
      <font>
        <name val="Arial"/>
        <charset val="1"/>
        <b val="1"/>
        <color rgb="FF3C4043"/>
        <sz val="10"/>
      </font>
      <fill>
        <patternFill>
          <bgColor rgb="FFE8EAED"/>
        </patternFill>
      </fill>
    </dxf>
    <dxf>
      <font>
        <name val="Arial"/>
        <charset val="1"/>
        <b val="1"/>
        <color rgb="FF666666"/>
        <sz val="10"/>
      </font>
      <fill>
        <patternFill>
          <bgColor rgb="FFDDDDDD"/>
        </patternFill>
      </fill>
    </dxf>
    <dxf>
      <font>
        <name val="Arial"/>
        <charset val="1"/>
        <b val="1"/>
        <color rgb="FF994C00"/>
        <sz val="10"/>
      </font>
      <fill>
        <patternFill>
          <bgColor rgb="FFF9CB9C"/>
        </patternFill>
      </fill>
    </dxf>
    <dxf>
      <font>
        <name val="Arial"/>
        <charset val="1"/>
        <b val="1"/>
        <color rgb="FF741B47"/>
        <sz val="10"/>
      </font>
      <fill>
        <patternFill>
          <bgColor rgb="FFEAD1DC"/>
        </patternFill>
      </fill>
    </dxf>
    <dxf>
      <font>
        <name val="Arial"/>
        <charset val="1"/>
        <b val="1"/>
        <color rgb="FF999999"/>
        <sz val="10"/>
      </font>
      <fill>
        <patternFill>
          <bgColor rgb="FFEFEFEF"/>
        </patternFill>
      </fill>
    </dxf>
    <dxf>
      <font>
        <name val="Arial"/>
        <charset val="1"/>
        <b val="1"/>
        <color rgb="FF0B5345"/>
        <sz val="10"/>
      </font>
      <fill>
        <patternFill>
          <bgColor rgb="FFB7E1CD"/>
        </patternFill>
      </fill>
    </dxf>
    <dxf>
      <font>
        <name val="Arial"/>
        <charset val="1"/>
        <b val="1"/>
        <color rgb="FF990000"/>
        <sz val="10"/>
      </font>
      <fill>
        <patternFill>
          <bgColor rgb="FFF4CCCC"/>
        </patternFill>
      </fill>
    </dxf>
    <dxf>
      <font>
        <name val="Arial"/>
        <charset val="1"/>
        <b val="1"/>
        <color rgb="FF274E13"/>
        <sz val="10"/>
      </font>
      <fill>
        <patternFill>
          <bgColor rgb="FFD9EAD3"/>
        </patternFill>
      </fill>
    </dxf>
    <dxf>
      <font>
        <name val="Arial"/>
        <charset val="1"/>
        <b val="1"/>
        <color rgb="FF8A5300"/>
        <sz val="10"/>
      </font>
      <fill>
        <patternFill>
          <bgColor rgb="FFFFE0B2"/>
        </patternFill>
      </fill>
    </dxf>
    <dxf>
      <font>
        <name val="Arial"/>
        <charset val="1"/>
        <b val="1"/>
        <color rgb="FF0C5460"/>
        <sz val="10"/>
      </font>
      <fill>
        <patternFill>
          <bgColor rgb="FFD0E0E3"/>
        </patternFill>
      </fill>
    </dxf>
    <dxf>
      <font>
        <name val="Arial"/>
        <charset val="1"/>
        <b val="1"/>
        <color rgb="FF3D1F87"/>
        <sz val="10"/>
      </font>
      <fill>
        <patternFill>
          <bgColor rgb="FFD9D2E9"/>
        </patternFill>
      </fill>
    </dxf>
    <dxf>
      <font>
        <name val="Arial"/>
        <charset val="1"/>
        <b val="1"/>
        <color rgb="FF1155CC"/>
        <sz val="10"/>
      </font>
      <fill>
        <patternFill>
          <bgColor rgb="FFCFE2F3"/>
        </patternFill>
      </fill>
    </dxf>
    <dxf>
      <font>
        <name val="Arial"/>
        <charset val="1"/>
        <b val="1"/>
        <color rgb="FF783F04"/>
        <sz val="10"/>
      </font>
      <fill>
        <patternFill>
          <bgColor rgb="FFFCE5CD"/>
        </patternFill>
      </fill>
    </dxf>
    <dxf>
      <font>
        <name val="Arial"/>
        <charset val="1"/>
        <b val="1"/>
        <color rgb="FF7F6000"/>
        <sz val="10"/>
      </font>
      <fill>
        <patternFill>
          <bgColor rgb="FFFFF2CC"/>
        </patternFill>
      </fill>
    </dxf>
    <dxf>
      <font>
        <name val="Arial"/>
        <charset val="1"/>
        <b val="1"/>
        <color rgb="FF3C4043"/>
        <sz val="10"/>
      </font>
      <fill>
        <patternFill>
          <bgColor rgb="FFE8EAED"/>
        </patternFill>
      </fill>
    </dxf>
    <dxf>
      <font>
        <name val="Arial"/>
        <charset val="1"/>
        <b val="1"/>
        <color rgb="FF666666"/>
        <sz val="10"/>
      </font>
      <fill>
        <patternFill>
          <bgColor rgb="FFDDDDDD"/>
        </patternFill>
      </fill>
    </dxf>
    <dxf>
      <font>
        <name val="Arial"/>
        <charset val="1"/>
        <b val="1"/>
        <color rgb="FF994C00"/>
        <sz val="10"/>
      </font>
      <fill>
        <patternFill>
          <bgColor rgb="FFF9CB9C"/>
        </patternFill>
      </fill>
    </dxf>
    <dxf>
      <font>
        <name val="Arial"/>
        <charset val="1"/>
        <b val="1"/>
        <color rgb="FF741B47"/>
        <sz val="10"/>
      </font>
      <fill>
        <patternFill>
          <bgColor rgb="FFEAD1DC"/>
        </patternFill>
      </fill>
    </dxf>
    <dxf>
      <font>
        <name val="Arial"/>
        <charset val="1"/>
        <b val="1"/>
        <color rgb="FF999999"/>
        <sz val="10"/>
      </font>
      <fill>
        <patternFill>
          <bgColor rgb="FFEFEFEF"/>
        </patternFill>
      </fill>
    </dxf>
    <dxf>
      <font>
        <name val="Arial"/>
        <charset val="1"/>
        <b val="1"/>
        <color rgb="FF0B5345"/>
        <sz val="10"/>
      </font>
      <fill>
        <patternFill>
          <bgColor rgb="FFB7E1CD"/>
        </patternFill>
      </fill>
    </dxf>
    <dxf>
      <font>
        <name val="Arial"/>
        <charset val="1"/>
        <b val="1"/>
        <color rgb="FF990000"/>
        <sz val="10"/>
      </font>
      <fill>
        <patternFill>
          <bgColor rgb="FFF4CCCC"/>
        </patternFill>
      </fill>
    </dxf>
    <dxf>
      <font>
        <name val="Arial"/>
        <charset val="1"/>
        <b val="1"/>
        <color rgb="FF274E13"/>
        <sz val="10"/>
      </font>
      <fill>
        <patternFill>
          <bgColor rgb="FFD9EAD3"/>
        </patternFill>
      </fill>
    </dxf>
    <dxf>
      <font>
        <name val="Arial"/>
        <charset val="1"/>
        <b val="1"/>
        <color rgb="FF8A5300"/>
        <sz val="10"/>
      </font>
      <fill>
        <patternFill>
          <bgColor rgb="FFFFE0B2"/>
        </patternFill>
      </fill>
    </dxf>
    <dxf>
      <font>
        <name val="Arial"/>
        <charset val="1"/>
        <b val="1"/>
        <color rgb="FF0C5460"/>
        <sz val="10"/>
      </font>
      <fill>
        <patternFill>
          <bgColor rgb="FFD0E0E3"/>
        </patternFill>
      </fill>
    </dxf>
    <dxf>
      <font>
        <name val="Arial"/>
        <charset val="1"/>
        <b val="1"/>
        <color rgb="FF3D1F87"/>
        <sz val="10"/>
      </font>
      <fill>
        <patternFill>
          <bgColor rgb="FFD9D2E9"/>
        </patternFill>
      </fill>
    </dxf>
    <dxf>
      <font>
        <name val="Arial"/>
        <charset val="1"/>
        <b val="1"/>
        <color rgb="FF1155CC"/>
        <sz val="10"/>
      </font>
      <fill>
        <patternFill>
          <bgColor rgb="FFCFE2F3"/>
        </patternFill>
      </fill>
    </dxf>
    <dxf>
      <font>
        <name val="Arial"/>
        <charset val="1"/>
        <b val="1"/>
        <color rgb="FF783F04"/>
        <sz val="10"/>
      </font>
      <fill>
        <patternFill>
          <bgColor rgb="FFFCE5CD"/>
        </patternFill>
      </fill>
    </dxf>
    <dxf>
      <font>
        <name val="Arial"/>
        <charset val="1"/>
        <b val="1"/>
        <color rgb="FF7F6000"/>
        <sz val="10"/>
      </font>
      <fill>
        <patternFill>
          <bgColor rgb="FFFFF2CC"/>
        </patternFill>
      </fill>
    </dxf>
    <dxf>
      <font>
        <name val="Arial"/>
        <charset val="1"/>
        <b val="1"/>
        <color rgb="FF3C4043"/>
        <sz val="10"/>
      </font>
      <fill>
        <patternFill>
          <bgColor rgb="FFE8EAED"/>
        </patternFill>
      </fill>
    </dxf>
    <dxf>
      <font>
        <name val="Arial"/>
        <charset val="1"/>
        <color rgb="FF9AA0A6"/>
        <sz val="10"/>
      </font>
    </dxf>
    <dxf>
      <fill>
        <patternFill>
          <bgColor rgb="FFB7E1CD"/>
        </patternFill>
      </fill>
    </dxf>
  </dxfs>
  <tableStyles count="0" defaultTableStyle="TableStyleMedium2" defaultPivotStyle="PivotStyleLight16"/>
  <colors>
    <indexedColors>
      <rgbColor rgb="FF000000"/>
      <rgbColor rgb="FFFFFFFF"/>
      <rgbColor rgb="FFFF0000"/>
      <rgbColor rgb="FF00FF00"/>
      <rgbColor rgb="FF0000FF"/>
      <rgbColor rgb="FFFCE5CD"/>
      <rgbColor rgb="FFFF00FF"/>
      <rgbColor rgb="FF00FFFF"/>
      <rgbColor rgb="FF990000"/>
      <rgbColor rgb="FF1F6B3F"/>
      <rgbColor rgb="FF000080"/>
      <rgbColor rgb="FF7F6000"/>
      <rgbColor rgb="FF800080"/>
      <rgbColor rgb="FF0C5460"/>
      <rgbColor rgb="FFD0D5DB"/>
      <rgbColor rgb="FF7A5B0F"/>
      <rgbColor rgb="FF9AA0A6"/>
      <rgbColor rgb="FF783F04"/>
      <rgbColor rgb="FFFFFDE7"/>
      <rgbColor rgb="FFEAF6EE"/>
      <rgbColor rgb="FF741B47"/>
      <rgbColor rgb="FFDDDDDD"/>
      <rgbColor rgb="FF1155CC"/>
      <rgbColor rgb="FFD9D2E9"/>
      <rgbColor rgb="FF000080"/>
      <rgbColor rgb="FFFF00FF"/>
      <rgbColor rgb="FFFEF6E0"/>
      <rgbColor rgb="FF00FFFF"/>
      <rgbColor rgb="FF800080"/>
      <rgbColor rgb="FF8A5300"/>
      <rgbColor rgb="FF008080"/>
      <rgbColor rgb="FF0000FF"/>
      <rgbColor rgb="FF00CCFF"/>
      <rgbColor rgb="FFCFE2F3"/>
      <rgbColor rgb="FFD9EAD3"/>
      <rgbColor rgb="FFFFF2CC"/>
      <rgbColor rgb="FFB7E1CD"/>
      <rgbColor rgb="FFF4CCCC"/>
      <rgbColor rgb="FFEAD1DC"/>
      <rgbColor rgb="FFF9CB9C"/>
      <rgbColor rgb="FF3366FF"/>
      <rgbColor rgb="FFEFEFEF"/>
      <rgbColor rgb="FFD0E0E3"/>
      <rgbColor rgb="FFFFE0B2"/>
      <rgbColor rgb="FFE8EAED"/>
      <rgbColor rgb="FFFDEEEA"/>
      <rgbColor rgb="FF666666"/>
      <rgbColor rgb="FF999999"/>
      <rgbColor rgb="FF2B3A55"/>
      <rgbColor rgb="FF339966"/>
      <rgbColor rgb="FF0B5345"/>
      <rgbColor rgb="FF274E13"/>
      <rgbColor rgb="FF8A3A24"/>
      <rgbColor rgb="FF994C00"/>
      <rgbColor rgb="FF3D1F87"/>
      <rgbColor rgb="FF3C404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54"/>
  <sheetViews>
    <sheetView zoomScaleNormal="100" workbookViewId="0">
      <pane ySplit="3" topLeftCell="A30" activePane="bottomLeft" state="frozen"/>
      <selection pane="bottomLeft" activeCell="A1" sqref="A1"/>
    </sheetView>
  </sheetViews>
  <sheetFormatPr baseColWidth="8" defaultColWidth="8.6640625" defaultRowHeight="14.4"/>
  <cols>
    <col width="24" customWidth="1" style="59" min="1" max="1"/>
    <col width="12" customWidth="1" style="59" min="2" max="4"/>
    <col width="3" customWidth="1" style="59" min="5" max="5"/>
    <col width="8" customWidth="1" style="59" min="6" max="6"/>
    <col width="27" customWidth="1" style="59" min="7" max="7"/>
    <col width="8" customWidth="1" style="59" min="8" max="8"/>
    <col width="9" customWidth="1" style="59" min="9" max="9"/>
    <col width="10" customWidth="1" style="59" min="10" max="10"/>
    <col width="9" customWidth="1" style="59" min="11" max="12"/>
  </cols>
  <sheetData>
    <row r="1" ht="22.8" customHeight="1" s="59">
      <c r="A1" s="1" t="inlineStr">
        <is>
          <t>BACKLOG DASHBOARD</t>
        </is>
      </c>
    </row>
    <row r="2">
      <c r="A2" s="2" t="inlineStr">
        <is>
          <t>Every figure below is a live formula over the Backlog sheet — change a Status there and this updates.</t>
        </is>
      </c>
    </row>
    <row r="4">
      <c r="A4" s="3" t="inlineStr">
        <is>
          <t>OVERALL</t>
        </is>
      </c>
      <c r="F4" s="3" t="inlineStr">
        <is>
          <t>BY EPIC</t>
        </is>
      </c>
    </row>
    <row r="5" ht="25.5" customHeight="1" s="59">
      <c r="A5" s="4" t="inlineStr">
        <is>
          <t>Metric</t>
        </is>
      </c>
      <c r="B5" s="4" t="inlineStr">
        <is>
          <t>Value</t>
        </is>
      </c>
      <c r="F5" s="4" t="inlineStr">
        <is>
          <t>Epic</t>
        </is>
      </c>
      <c r="G5" s="4" t="inlineStr">
        <is>
          <t>Name</t>
        </is>
      </c>
      <c r="H5" s="4" t="inlineStr">
        <is>
          <t>Phase</t>
        </is>
      </c>
      <c r="I5" s="4" t="inlineStr">
        <is>
          <t>Stories</t>
        </is>
      </c>
      <c r="J5" s="4" t="inlineStr">
        <is>
          <t>Est. days</t>
        </is>
      </c>
      <c r="K5" s="4" t="inlineStr">
        <is>
          <t>Closed</t>
        </is>
      </c>
      <c r="L5" s="4" t="inlineStr">
        <is>
          <t>% Done</t>
        </is>
      </c>
    </row>
    <row r="6">
      <c r="A6" s="5" t="inlineStr">
        <is>
          <t>Total stories</t>
        </is>
      </c>
      <c r="B6" s="6">
        <f>COUNTA(Backlog!$A$5:$A$195)</f>
        <v/>
      </c>
      <c r="F6" s="7" t="inlineStr">
        <is>
          <t>E00</t>
        </is>
      </c>
      <c r="G6" s="5" t="inlineStr">
        <is>
          <t>FOUNDATION</t>
        </is>
      </c>
      <c r="H6" s="8" t="inlineStr">
        <is>
          <t>0</t>
        </is>
      </c>
      <c r="I6" s="8">
        <f>COUNTIF(Backlog!$B$5:$B$195,$F6)</f>
        <v/>
      </c>
      <c r="J6" s="9">
        <f>SUMIF(Backlog!$B$5:$B$195,$F6,Backlog!$J$5:$J$195)</f>
        <v/>
      </c>
      <c r="K6" s="8">
        <f>COUNTIFS(Backlog!$B$5:$B$195,$F6,Backlog!$E$5:$E$195,"Closed")</f>
        <v/>
      </c>
      <c r="L6" s="10">
        <f>IFERROR($K6/$I6,0)</f>
        <v/>
      </c>
    </row>
    <row r="7">
      <c r="A7" s="5" t="inlineStr">
        <is>
          <t>Total estimated days</t>
        </is>
      </c>
      <c r="B7" s="11">
        <f>SUM(Backlog!$J$5:$J$195)</f>
        <v/>
      </c>
      <c r="F7" s="7" t="inlineStr">
        <is>
          <t>E01</t>
        </is>
      </c>
      <c r="G7" s="5" t="inlineStr">
        <is>
          <t>PERSISTENCE &amp; DATA LAYER</t>
        </is>
      </c>
      <c r="H7" s="8" t="inlineStr">
        <is>
          <t>1</t>
        </is>
      </c>
      <c r="I7" s="8">
        <f>COUNTIF(Backlog!$B$5:$B$195,$F7)</f>
        <v/>
      </c>
      <c r="J7" s="9">
        <f>SUMIF(Backlog!$B$5:$B$195,$F7,Backlog!$J$5:$J$195)</f>
        <v/>
      </c>
      <c r="K7" s="8">
        <f>COUNTIFS(Backlog!$B$5:$B$195,$F7,Backlog!$E$5:$E$195,"Closed")</f>
        <v/>
      </c>
      <c r="L7" s="10">
        <f>IFERROR($K7/$I7,0)</f>
        <v/>
      </c>
    </row>
    <row r="8">
      <c r="A8" s="5" t="inlineStr">
        <is>
          <t>Closed</t>
        </is>
      </c>
      <c r="B8" s="6">
        <f>COUNTIF(Backlog!$E$5:$E$195,"Closed")</f>
        <v/>
      </c>
      <c r="F8" s="7" t="inlineStr">
        <is>
          <t>E02</t>
        </is>
      </c>
      <c r="G8" s="5" t="inlineStr">
        <is>
          <t>BROKER INTEGRATION</t>
        </is>
      </c>
      <c r="H8" s="8" t="inlineStr">
        <is>
          <t>1</t>
        </is>
      </c>
      <c r="I8" s="8">
        <f>COUNTIF(Backlog!$B$5:$B$195,$F8)</f>
        <v/>
      </c>
      <c r="J8" s="9">
        <f>SUMIF(Backlog!$B$5:$B$195,$F8,Backlog!$J$5:$J$195)</f>
        <v/>
      </c>
      <c r="K8" s="8">
        <f>COUNTIFS(Backlog!$B$5:$B$195,$F8,Backlog!$E$5:$E$195,"Closed")</f>
        <v/>
      </c>
      <c r="L8" s="10">
        <f>IFERROR($K8/$I8,0)</f>
        <v/>
      </c>
    </row>
    <row r="9">
      <c r="A9" s="5" t="inlineStr">
        <is>
          <t>In flight (Active→QA)</t>
        </is>
      </c>
      <c r="B9" s="6">
        <f>SUMPRODUCT(COUNTIF(Backlog!$E$5:$E$195,{"Active","Development In-Progress","Development Completed","QA In-Progress","QA-Success"}))</f>
        <v/>
      </c>
      <c r="F9" s="7" t="inlineStr">
        <is>
          <t>E03</t>
        </is>
      </c>
      <c r="G9" s="5" t="inlineStr">
        <is>
          <t>HISTORICAL DATA</t>
        </is>
      </c>
      <c r="H9" s="8" t="inlineStr">
        <is>
          <t>1</t>
        </is>
      </c>
      <c r="I9" s="8">
        <f>COUNTIF(Backlog!$B$5:$B$195,$F9)</f>
        <v/>
      </c>
      <c r="J9" s="9">
        <f>SUMIF(Backlog!$B$5:$B$195,$F9,Backlog!$J$5:$J$195)</f>
        <v/>
      </c>
      <c r="K9" s="8">
        <f>COUNTIFS(Backlog!$B$5:$B$195,$F9,Backlog!$E$5:$E$195,"Closed")</f>
        <v/>
      </c>
      <c r="L9" s="10">
        <f>IFERROR($K9/$I9,0)</f>
        <v/>
      </c>
    </row>
    <row r="10">
      <c r="A10" s="5" t="inlineStr">
        <is>
          <t>Not started (New)</t>
        </is>
      </c>
      <c r="B10" s="6">
        <f>COUNTIF(Backlog!$E$5:$E$195,"New")</f>
        <v/>
      </c>
      <c r="F10" s="7" t="inlineStr">
        <is>
          <t>E04</t>
        </is>
      </c>
      <c r="G10" s="5" t="inlineStr">
        <is>
          <t>INDIA HAZARD LISTS</t>
        </is>
      </c>
      <c r="H10" s="8" t="inlineStr">
        <is>
          <t>1</t>
        </is>
      </c>
      <c r="I10" s="8">
        <f>COUNTIF(Backlog!$B$5:$B$195,$F10)</f>
        <v/>
      </c>
      <c r="J10" s="9">
        <f>SUMIF(Backlog!$B$5:$B$195,$F10,Backlog!$J$5:$J$195)</f>
        <v/>
      </c>
      <c r="K10" s="8">
        <f>COUNTIFS(Backlog!$B$5:$B$195,$F10,Backlog!$E$5:$E$195,"Closed")</f>
        <v/>
      </c>
      <c r="L10" s="10">
        <f>IFERROR($K10/$I10,0)</f>
        <v/>
      </c>
    </row>
    <row r="11">
      <c r="A11" s="5" t="inlineStr">
        <is>
          <t>Blocked / On Hold</t>
        </is>
      </c>
      <c r="B11" s="6">
        <f>COUNTIF(Backlog!$E$5:$E$195,"Blocked")+COUNTIF(Backlog!$E$5:$E$195,"On Hold")</f>
        <v/>
      </c>
      <c r="F11" s="7" t="inlineStr">
        <is>
          <t>E05</t>
        </is>
      </c>
      <c r="G11" s="5" t="inlineStr">
        <is>
          <t>MARKET DATA INGESTION</t>
        </is>
      </c>
      <c r="H11" s="8" t="inlineStr">
        <is>
          <t>1</t>
        </is>
      </c>
      <c r="I11" s="8">
        <f>COUNTIF(Backlog!$B$5:$B$195,$F11)</f>
        <v/>
      </c>
      <c r="J11" s="9">
        <f>SUMIF(Backlog!$B$5:$B$195,$F11,Backlog!$J$5:$J$195)</f>
        <v/>
      </c>
      <c r="K11" s="8">
        <f>COUNTIFS(Backlog!$B$5:$B$195,$F11,Backlog!$E$5:$E$195,"Closed")</f>
        <v/>
      </c>
      <c r="L11" s="10">
        <f>IFERROR($K11/$I11,0)</f>
        <v/>
      </c>
    </row>
    <row r="12">
      <c r="A12" s="5" t="inlineStr">
        <is>
          <t>% Complete</t>
        </is>
      </c>
      <c r="B12" s="12">
        <f>IFERROR(COUNTIF(Backlog!$E$5:$E$195,"Closed")/COUNTA(Backlog!$A$5:$A$195),0)</f>
        <v/>
      </c>
      <c r="F12" s="7" t="inlineStr">
        <is>
          <t>E06</t>
        </is>
      </c>
      <c r="G12" s="5" t="inlineStr">
        <is>
          <t>TECHNICAL ANALYSIS ENGINE</t>
        </is>
      </c>
      <c r="H12" s="8" t="inlineStr">
        <is>
          <t>2</t>
        </is>
      </c>
      <c r="I12" s="8">
        <f>COUNTIF(Backlog!$B$5:$B$195,$F12)</f>
        <v/>
      </c>
      <c r="J12" s="9">
        <f>SUMIF(Backlog!$B$5:$B$195,$F12,Backlog!$J$5:$J$195)</f>
        <v/>
      </c>
      <c r="K12" s="8">
        <f>COUNTIFS(Backlog!$B$5:$B$195,$F12,Backlog!$E$5:$E$195,"Closed")</f>
        <v/>
      </c>
      <c r="L12" s="10">
        <f>IFERROR($K12/$I12,0)</f>
        <v/>
      </c>
    </row>
    <row r="13">
      <c r="A13" s="5" t="inlineStr">
        <is>
          <t>Days closed</t>
        </is>
      </c>
      <c r="B13" s="11">
        <f>SUMIF(Backlog!$E$5:$E$195,"Closed",Backlog!$J$5:$J$195)</f>
        <v/>
      </c>
      <c r="F13" s="7" t="inlineStr">
        <is>
          <t>E07</t>
        </is>
      </c>
      <c r="G13" s="5" t="inlineStr">
        <is>
          <t>UNIVERSE &amp; SCORING</t>
        </is>
      </c>
      <c r="H13" s="8" t="inlineStr">
        <is>
          <t>2</t>
        </is>
      </c>
      <c r="I13" s="8">
        <f>COUNTIF(Backlog!$B$5:$B$195,$F13)</f>
        <v/>
      </c>
      <c r="J13" s="9">
        <f>SUMIF(Backlog!$B$5:$B$195,$F13,Backlog!$J$5:$J$195)</f>
        <v/>
      </c>
      <c r="K13" s="8">
        <f>COUNTIFS(Backlog!$B$5:$B$195,$F13,Backlog!$E$5:$E$195,"Closed")</f>
        <v/>
      </c>
      <c r="L13" s="10">
        <f>IFERROR($K13/$I13,0)</f>
        <v/>
      </c>
    </row>
    <row r="14">
      <c r="A14" s="5" t="inlineStr">
        <is>
          <t>Days remaining</t>
        </is>
      </c>
      <c r="B14" s="11">
        <f>SUM(Backlog!$J$5:$J$195)-SUMIF(Backlog!$E$5:$E$195,"Closed",Backlog!$J$5:$J$195)</f>
        <v/>
      </c>
      <c r="F14" s="7" t="inlineStr">
        <is>
          <t>E08</t>
        </is>
      </c>
      <c r="G14" s="5" t="inlineStr">
        <is>
          <t>NEWS INTELLIGENCE</t>
        </is>
      </c>
      <c r="H14" s="8" t="inlineStr">
        <is>
          <t>3</t>
        </is>
      </c>
      <c r="I14" s="8">
        <f>COUNTIF(Backlog!$B$5:$B$195,$F14)</f>
        <v/>
      </c>
      <c r="J14" s="9">
        <f>SUMIF(Backlog!$B$5:$B$195,$F14,Backlog!$J$5:$J$195)</f>
        <v/>
      </c>
      <c r="K14" s="8">
        <f>COUNTIFS(Backlog!$B$5:$B$195,$F14,Backlog!$E$5:$E$195,"Closed")</f>
        <v/>
      </c>
      <c r="L14" s="10">
        <f>IFERROR($K14/$I14,0)</f>
        <v/>
      </c>
    </row>
    <row r="15">
      <c r="F15" s="7" t="inlineStr">
        <is>
          <t>E09</t>
        </is>
      </c>
      <c r="G15" s="5" t="inlineStr">
        <is>
          <t>MACRO CONTEXT</t>
        </is>
      </c>
      <c r="H15" s="8" t="inlineStr">
        <is>
          <t>3</t>
        </is>
      </c>
      <c r="I15" s="8">
        <f>COUNTIF(Backlog!$B$5:$B$195,$F15)</f>
        <v/>
      </c>
      <c r="J15" s="9">
        <f>SUMIF(Backlog!$B$5:$B$195,$F15,Backlog!$J$5:$J$195)</f>
        <v/>
      </c>
      <c r="K15" s="8">
        <f>COUNTIFS(Backlog!$B$5:$B$195,$F15,Backlog!$E$5:$E$195,"Closed")</f>
        <v/>
      </c>
      <c r="L15" s="10">
        <f>IFERROR($K15/$I15,0)</f>
        <v/>
      </c>
    </row>
    <row r="16">
      <c r="A16" s="3" t="inlineStr">
        <is>
          <t>BY STATUS</t>
        </is>
      </c>
      <c r="F16" s="7" t="inlineStr">
        <is>
          <t>E10</t>
        </is>
      </c>
      <c r="G16" s="5" t="inlineStr">
        <is>
          <t>AI LAYER</t>
        </is>
      </c>
      <c r="H16" s="8" t="inlineStr">
        <is>
          <t>3</t>
        </is>
      </c>
      <c r="I16" s="8">
        <f>COUNTIF(Backlog!$B$5:$B$195,$F16)</f>
        <v/>
      </c>
      <c r="J16" s="9">
        <f>SUMIF(Backlog!$B$5:$B$195,$F16,Backlog!$J$5:$J$195)</f>
        <v/>
      </c>
      <c r="K16" s="8">
        <f>COUNTIFS(Backlog!$B$5:$B$195,$F16,Backlog!$E$5:$E$195,"Closed")</f>
        <v/>
      </c>
      <c r="L16" s="10">
        <f>IFERROR($K16/$I16,0)</f>
        <v/>
      </c>
    </row>
    <row r="17" ht="25.5" customHeight="1" s="59">
      <c r="A17" s="4" t="inlineStr">
        <is>
          <t>Status</t>
        </is>
      </c>
      <c r="B17" s="4" t="inlineStr">
        <is>
          <t>Stories</t>
        </is>
      </c>
      <c r="C17" s="4" t="inlineStr">
        <is>
          <t>% of total</t>
        </is>
      </c>
      <c r="D17" s="4" t="inlineStr">
        <is>
          <t>Est. days</t>
        </is>
      </c>
      <c r="F17" s="7" t="inlineStr">
        <is>
          <t>E11</t>
        </is>
      </c>
      <c r="G17" s="5" t="inlineStr">
        <is>
          <t>PRE-MARKET ENGINE</t>
        </is>
      </c>
      <c r="H17" s="8" t="inlineStr">
        <is>
          <t>3</t>
        </is>
      </c>
      <c r="I17" s="8">
        <f>COUNTIF(Backlog!$B$5:$B$195,$F17)</f>
        <v/>
      </c>
      <c r="J17" s="9">
        <f>SUMIF(Backlog!$B$5:$B$195,$F17,Backlog!$J$5:$J$195)</f>
        <v/>
      </c>
      <c r="K17" s="8">
        <f>COUNTIFS(Backlog!$B$5:$B$195,$F17,Backlog!$E$5:$E$195,"Closed")</f>
        <v/>
      </c>
      <c r="L17" s="10">
        <f>IFERROR($K17/$I17,0)</f>
        <v/>
      </c>
    </row>
    <row r="18">
      <c r="A18" s="13" t="inlineStr">
        <is>
          <t>New</t>
        </is>
      </c>
      <c r="B18" s="8">
        <f>COUNTIF(Backlog!$E$5:$E$195,$A18)</f>
        <v/>
      </c>
      <c r="C18" s="14">
        <f>IFERROR($B18/COUNTA(Backlog!$A$5:$A$195),0)</f>
        <v/>
      </c>
      <c r="D18" s="9">
        <f>SUMIF(Backlog!$E$5:$E$195,$A18,Backlog!$J$5:$J$195)</f>
        <v/>
      </c>
      <c r="F18" s="7" t="inlineStr">
        <is>
          <t>E12</t>
        </is>
      </c>
      <c r="G18" s="5" t="inlineStr">
        <is>
          <t>STRATEGY ENGINE</t>
        </is>
      </c>
      <c r="H18" s="8" t="inlineStr">
        <is>
          <t>5</t>
        </is>
      </c>
      <c r="I18" s="8">
        <f>COUNTIF(Backlog!$B$5:$B$195,$F18)</f>
        <v/>
      </c>
      <c r="J18" s="9">
        <f>SUMIF(Backlog!$B$5:$B$195,$F18,Backlog!$J$5:$J$195)</f>
        <v/>
      </c>
      <c r="K18" s="8">
        <f>COUNTIFS(Backlog!$B$5:$B$195,$F18,Backlog!$E$5:$E$195,"Closed")</f>
        <v/>
      </c>
      <c r="L18" s="10">
        <f>IFERROR($K18/$I18,0)</f>
        <v/>
      </c>
    </row>
    <row r="19">
      <c r="A19" s="15" t="inlineStr">
        <is>
          <t>Business Review</t>
        </is>
      </c>
      <c r="B19" s="8">
        <f>COUNTIF(Backlog!$E$5:$E$195,$A19)</f>
        <v/>
      </c>
      <c r="C19" s="14">
        <f>IFERROR($B19/COUNTA(Backlog!$A$5:$A$195),0)</f>
        <v/>
      </c>
      <c r="D19" s="9">
        <f>SUMIF(Backlog!$E$5:$E$195,$A19,Backlog!$J$5:$J$195)</f>
        <v/>
      </c>
      <c r="F19" s="7" t="inlineStr">
        <is>
          <t>E13</t>
        </is>
      </c>
      <c r="G19" s="5" t="inlineStr">
        <is>
          <t>SIGNAL ENGINE</t>
        </is>
      </c>
      <c r="H19" s="8" t="inlineStr">
        <is>
          <t>4</t>
        </is>
      </c>
      <c r="I19" s="8">
        <f>COUNTIF(Backlog!$B$5:$B$195,$F19)</f>
        <v/>
      </c>
      <c r="J19" s="9">
        <f>SUMIF(Backlog!$B$5:$B$195,$F19,Backlog!$J$5:$J$195)</f>
        <v/>
      </c>
      <c r="K19" s="8">
        <f>COUNTIFS(Backlog!$B$5:$B$195,$F19,Backlog!$E$5:$E$195,"Closed")</f>
        <v/>
      </c>
      <c r="L19" s="10">
        <f>IFERROR($K19/$I19,0)</f>
        <v/>
      </c>
    </row>
    <row r="20">
      <c r="A20" s="16" t="inlineStr">
        <is>
          <t>Business Approved</t>
        </is>
      </c>
      <c r="B20" s="8">
        <f>COUNTIF(Backlog!$E$5:$E$195,$A20)</f>
        <v/>
      </c>
      <c r="C20" s="14">
        <f>IFERROR($B20/COUNTA(Backlog!$A$5:$A$195),0)</f>
        <v/>
      </c>
      <c r="D20" s="9">
        <f>SUMIF(Backlog!$E$5:$E$195,$A20,Backlog!$J$5:$J$195)</f>
        <v/>
      </c>
      <c r="F20" s="7" t="inlineStr">
        <is>
          <t>E14</t>
        </is>
      </c>
      <c r="G20" s="5" t="inlineStr">
        <is>
          <t>RISK ENGINE</t>
        </is>
      </c>
      <c r="H20" s="8" t="inlineStr">
        <is>
          <t>5</t>
        </is>
      </c>
      <c r="I20" s="8">
        <f>COUNTIF(Backlog!$B$5:$B$195,$F20)</f>
        <v/>
      </c>
      <c r="J20" s="9">
        <f>SUMIF(Backlog!$B$5:$B$195,$F20,Backlog!$J$5:$J$195)</f>
        <v/>
      </c>
      <c r="K20" s="8">
        <f>COUNTIFS(Backlog!$B$5:$B$195,$F20,Backlog!$E$5:$E$195,"Closed")</f>
        <v/>
      </c>
      <c r="L20" s="10">
        <f>IFERROR($K20/$I20,0)</f>
        <v/>
      </c>
    </row>
    <row r="21">
      <c r="A21" s="17" t="inlineStr">
        <is>
          <t>Active</t>
        </is>
      </c>
      <c r="B21" s="8">
        <f>COUNTIF(Backlog!$E$5:$E$195,$A21)</f>
        <v/>
      </c>
      <c r="C21" s="14">
        <f>IFERROR($B21/COUNTA(Backlog!$A$5:$A$195),0)</f>
        <v/>
      </c>
      <c r="D21" s="9">
        <f>SUMIF(Backlog!$E$5:$E$195,$A21,Backlog!$J$5:$J$195)</f>
        <v/>
      </c>
      <c r="F21" s="7" t="inlineStr">
        <is>
          <t>E15</t>
        </is>
      </c>
      <c r="G21" s="5" t="inlineStr">
        <is>
          <t>EXECUTION &amp; POSITIONS</t>
        </is>
      </c>
      <c r="H21" s="8" t="inlineStr">
        <is>
          <t>5</t>
        </is>
      </c>
      <c r="I21" s="8">
        <f>COUNTIF(Backlog!$B$5:$B$195,$F21)</f>
        <v/>
      </c>
      <c r="J21" s="9">
        <f>SUMIF(Backlog!$B$5:$B$195,$F21,Backlog!$J$5:$J$195)</f>
        <v/>
      </c>
      <c r="K21" s="8">
        <f>COUNTIFS(Backlog!$B$5:$B$195,$F21,Backlog!$E$5:$E$195,"Closed")</f>
        <v/>
      </c>
      <c r="L21" s="10">
        <f>IFERROR($K21/$I21,0)</f>
        <v/>
      </c>
    </row>
    <row r="22">
      <c r="A22" s="18" t="inlineStr">
        <is>
          <t>Development In-Progress</t>
        </is>
      </c>
      <c r="B22" s="8">
        <f>COUNTIF(Backlog!$E$5:$E$195,$A22)</f>
        <v/>
      </c>
      <c r="C22" s="14">
        <f>IFERROR($B22/COUNTA(Backlog!$A$5:$A$195),0)</f>
        <v/>
      </c>
      <c r="D22" s="9">
        <f>SUMIF(Backlog!$E$5:$E$195,$A22,Backlog!$J$5:$J$195)</f>
        <v/>
      </c>
      <c r="F22" s="7" t="inlineStr">
        <is>
          <t>E16</t>
        </is>
      </c>
      <c r="G22" s="5" t="inlineStr">
        <is>
          <t>AUTONOMY &amp; APPROVAL</t>
        </is>
      </c>
      <c r="H22" s="8" t="inlineStr">
        <is>
          <t>5</t>
        </is>
      </c>
      <c r="I22" s="8">
        <f>COUNTIF(Backlog!$B$5:$B$195,$F22)</f>
        <v/>
      </c>
      <c r="J22" s="9">
        <f>SUMIF(Backlog!$B$5:$B$195,$F22,Backlog!$J$5:$J$195)</f>
        <v/>
      </c>
      <c r="K22" s="8">
        <f>COUNTIFS(Backlog!$B$5:$B$195,$F22,Backlog!$E$5:$E$195,"Closed")</f>
        <v/>
      </c>
      <c r="L22" s="10">
        <f>IFERROR($K22/$I22,0)</f>
        <v/>
      </c>
    </row>
    <row r="23">
      <c r="A23" s="19" t="inlineStr">
        <is>
          <t>Development Completed</t>
        </is>
      </c>
      <c r="B23" s="8">
        <f>COUNTIF(Backlog!$E$5:$E$195,$A23)</f>
        <v/>
      </c>
      <c r="C23" s="14">
        <f>IFERROR($B23/COUNTA(Backlog!$A$5:$A$195),0)</f>
        <v/>
      </c>
      <c r="D23" s="9">
        <f>SUMIF(Backlog!$E$5:$E$195,$A23,Backlog!$J$5:$J$195)</f>
        <v/>
      </c>
      <c r="F23" s="7" t="inlineStr">
        <is>
          <t>E17</t>
        </is>
      </c>
      <c r="G23" s="5" t="inlineStr">
        <is>
          <t>DASHBOARD UI</t>
        </is>
      </c>
      <c r="H23" s="8" t="inlineStr">
        <is>
          <t>4/6</t>
        </is>
      </c>
      <c r="I23" s="8">
        <f>COUNTIF(Backlog!$B$5:$B$195,$F23)</f>
        <v/>
      </c>
      <c r="J23" s="9">
        <f>SUMIF(Backlog!$B$5:$B$195,$F23,Backlog!$J$5:$J$195)</f>
        <v/>
      </c>
      <c r="K23" s="8">
        <f>COUNTIFS(Backlog!$B$5:$B$195,$F23,Backlog!$E$5:$E$195,"Closed")</f>
        <v/>
      </c>
      <c r="L23" s="10">
        <f>IFERROR($K23/$I23,0)</f>
        <v/>
      </c>
    </row>
    <row r="24">
      <c r="A24" s="20" t="inlineStr">
        <is>
          <t>QA In-Progress</t>
        </is>
      </c>
      <c r="B24" s="8">
        <f>COUNTIF(Backlog!$E$5:$E$195,$A24)</f>
        <v/>
      </c>
      <c r="C24" s="14">
        <f>IFERROR($B24/COUNTA(Backlog!$A$5:$A$195),0)</f>
        <v/>
      </c>
      <c r="D24" s="9">
        <f>SUMIF(Backlog!$E$5:$E$195,$A24,Backlog!$J$5:$J$195)</f>
        <v/>
      </c>
      <c r="F24" s="7" t="inlineStr">
        <is>
          <t>E18</t>
        </is>
      </c>
      <c r="G24" s="5" t="inlineStr">
        <is>
          <t>ADMIN UI</t>
        </is>
      </c>
      <c r="H24" s="8" t="inlineStr">
        <is>
          <t>6</t>
        </is>
      </c>
      <c r="I24" s="8">
        <f>COUNTIF(Backlog!$B$5:$B$195,$F24)</f>
        <v/>
      </c>
      <c r="J24" s="9">
        <f>SUMIF(Backlog!$B$5:$B$195,$F24,Backlog!$J$5:$J$195)</f>
        <v/>
      </c>
      <c r="K24" s="8">
        <f>COUNTIFS(Backlog!$B$5:$B$195,$F24,Backlog!$E$5:$E$195,"Closed")</f>
        <v/>
      </c>
      <c r="L24" s="10">
        <f>IFERROR($K24/$I24,0)</f>
        <v/>
      </c>
    </row>
    <row r="25">
      <c r="A25" s="21" t="inlineStr">
        <is>
          <t>QA-Success</t>
        </is>
      </c>
      <c r="B25" s="8">
        <f>COUNTIF(Backlog!$E$5:$E$195,$A25)</f>
        <v/>
      </c>
      <c r="C25" s="14">
        <f>IFERROR($B25/COUNTA(Backlog!$A$5:$A$195),0)</f>
        <v/>
      </c>
      <c r="D25" s="9">
        <f>SUMIF(Backlog!$E$5:$E$195,$A25,Backlog!$J$5:$J$195)</f>
        <v/>
      </c>
      <c r="F25" s="7" t="inlineStr">
        <is>
          <t>E19</t>
        </is>
      </c>
      <c r="G25" s="5" t="inlineStr">
        <is>
          <t>NOTIFICATIONS</t>
        </is>
      </c>
      <c r="H25" s="8" t="inlineStr">
        <is>
          <t>3/4</t>
        </is>
      </c>
      <c r="I25" s="8">
        <f>COUNTIF(Backlog!$B$5:$B$195,$F25)</f>
        <v/>
      </c>
      <c r="J25" s="9">
        <f>SUMIF(Backlog!$B$5:$B$195,$F25,Backlog!$J$5:$J$195)</f>
        <v/>
      </c>
      <c r="K25" s="8">
        <f>COUNTIFS(Backlog!$B$5:$B$195,$F25,Backlog!$E$5:$E$195,"Closed")</f>
        <v/>
      </c>
      <c r="L25" s="10">
        <f>IFERROR($K25/$I25,0)</f>
        <v/>
      </c>
    </row>
    <row r="26">
      <c r="A26" s="22" t="inlineStr">
        <is>
          <t>QA-Fail</t>
        </is>
      </c>
      <c r="B26" s="8">
        <f>COUNTIF(Backlog!$E$5:$E$195,$A26)</f>
        <v/>
      </c>
      <c r="C26" s="14">
        <f>IFERROR($B26/COUNTA(Backlog!$A$5:$A$195),0)</f>
        <v/>
      </c>
      <c r="D26" s="9">
        <f>SUMIF(Backlog!$E$5:$E$195,$A26,Backlog!$J$5:$J$195)</f>
        <v/>
      </c>
      <c r="F26" s="7" t="inlineStr">
        <is>
          <t>E20</t>
        </is>
      </c>
      <c r="G26" s="5" t="inlineStr">
        <is>
          <t>OBSERVABILITY</t>
        </is>
      </c>
      <c r="H26" s="8" t="inlineStr">
        <is>
          <t>6</t>
        </is>
      </c>
      <c r="I26" s="8">
        <f>COUNTIF(Backlog!$B$5:$B$195,$F26)</f>
        <v/>
      </c>
      <c r="J26" s="9">
        <f>SUMIF(Backlog!$B$5:$B$195,$F26,Backlog!$J$5:$J$195)</f>
        <v/>
      </c>
      <c r="K26" s="8">
        <f>COUNTIFS(Backlog!$B$5:$B$195,$F26,Backlog!$E$5:$E$195,"Closed")</f>
        <v/>
      </c>
      <c r="L26" s="10">
        <f>IFERROR($K26/$I26,0)</f>
        <v/>
      </c>
    </row>
    <row r="27">
      <c r="A27" s="23" t="inlineStr">
        <is>
          <t>Closed</t>
        </is>
      </c>
      <c r="B27" s="8">
        <f>COUNTIF(Backlog!$E$5:$E$195,$A27)</f>
        <v/>
      </c>
      <c r="C27" s="14">
        <f>IFERROR($B27/COUNTA(Backlog!$A$5:$A$195),0)</f>
        <v/>
      </c>
      <c r="D27" s="9">
        <f>SUMIF(Backlog!$E$5:$E$195,$A27,Backlog!$J$5:$J$195)</f>
        <v/>
      </c>
      <c r="F27" s="7" t="inlineStr">
        <is>
          <t>E21</t>
        </is>
      </c>
      <c r="G27" s="5" t="inlineStr">
        <is>
          <t>COMPLIANCE &amp; TAX</t>
        </is>
      </c>
      <c r="H27" s="8" t="inlineStr">
        <is>
          <t>6</t>
        </is>
      </c>
      <c r="I27" s="8">
        <f>COUNTIF(Backlog!$B$5:$B$195,$F27)</f>
        <v/>
      </c>
      <c r="J27" s="9">
        <f>SUMIF(Backlog!$B$5:$B$195,$F27,Backlog!$J$5:$J$195)</f>
        <v/>
      </c>
      <c r="K27" s="8">
        <f>COUNTIFS(Backlog!$B$5:$B$195,$F27,Backlog!$E$5:$E$195,"Closed")</f>
        <v/>
      </c>
      <c r="L27" s="10">
        <f>IFERROR($K27/$I27,0)</f>
        <v/>
      </c>
    </row>
    <row r="28">
      <c r="A28" s="24" t="inlineStr">
        <is>
          <t>Removed</t>
        </is>
      </c>
      <c r="B28" s="8">
        <f>COUNTIF(Backlog!$E$5:$E$195,$A28)</f>
        <v/>
      </c>
      <c r="C28" s="14">
        <f>IFERROR($B28/COUNTA(Backlog!$A$5:$A$195),0)</f>
        <v/>
      </c>
      <c r="D28" s="9">
        <f>SUMIF(Backlog!$E$5:$E$195,$A28,Backlog!$J$5:$J$195)</f>
        <v/>
      </c>
      <c r="F28" s="7" t="inlineStr">
        <is>
          <t>E22</t>
        </is>
      </c>
      <c r="G28" s="5" t="inlineStr">
        <is>
          <t>TESTING &amp; VALIDATION</t>
        </is>
      </c>
      <c r="H28" s="8" t="inlineStr">
        <is>
          <t>7</t>
        </is>
      </c>
      <c r="I28" s="8">
        <f>COUNTIF(Backlog!$B$5:$B$195,$F28)</f>
        <v/>
      </c>
      <c r="J28" s="9">
        <f>SUMIF(Backlog!$B$5:$B$195,$F28,Backlog!$J$5:$J$195)</f>
        <v/>
      </c>
      <c r="K28" s="8">
        <f>COUNTIFS(Backlog!$B$5:$B$195,$F28,Backlog!$E$5:$E$195,"Closed")</f>
        <v/>
      </c>
      <c r="L28" s="10">
        <f>IFERROR($K28/$I28,0)</f>
        <v/>
      </c>
    </row>
    <row r="29">
      <c r="A29" s="25" t="inlineStr">
        <is>
          <t>Moved to Backlog</t>
        </is>
      </c>
      <c r="B29" s="8">
        <f>COUNTIF(Backlog!$E$5:$E$195,$A29)</f>
        <v/>
      </c>
      <c r="C29" s="14">
        <f>IFERROR($B29/COUNTA(Backlog!$A$5:$A$195),0)</f>
        <v/>
      </c>
      <c r="D29" s="9">
        <f>SUMIF(Backlog!$E$5:$E$195,$A29,Backlog!$J$5:$J$195)</f>
        <v/>
      </c>
      <c r="F29" s="7" t="inlineStr">
        <is>
          <t>E23</t>
        </is>
      </c>
      <c r="G29" s="5" t="inlineStr">
        <is>
          <t>DEPLOYMENT &amp; OPS</t>
        </is>
      </c>
      <c r="H29" s="8" t="inlineStr">
        <is>
          <t>7/8</t>
        </is>
      </c>
      <c r="I29" s="8">
        <f>COUNTIF(Backlog!$B$5:$B$195,$F29)</f>
        <v/>
      </c>
      <c r="J29" s="9">
        <f>SUMIF(Backlog!$B$5:$B$195,$F29,Backlog!$J$5:$J$195)</f>
        <v/>
      </c>
      <c r="K29" s="8">
        <f>COUNTIFS(Backlog!$B$5:$B$195,$F29,Backlog!$E$5:$E$195,"Closed")</f>
        <v/>
      </c>
      <c r="L29" s="10">
        <f>IFERROR($K29/$I29,0)</f>
        <v/>
      </c>
    </row>
    <row r="30">
      <c r="A30" s="26" t="inlineStr">
        <is>
          <t>Blocked</t>
        </is>
      </c>
      <c r="B30" s="8">
        <f>COUNTIF(Backlog!$E$5:$E$195,$A30)</f>
        <v/>
      </c>
      <c r="C30" s="14">
        <f>IFERROR($B30/COUNTA(Backlog!$A$5:$A$195),0)</f>
        <v/>
      </c>
      <c r="D30" s="9">
        <f>SUMIF(Backlog!$E$5:$E$195,$A30,Backlog!$J$5:$J$195)</f>
        <v/>
      </c>
      <c r="F30" s="7" t="inlineStr">
        <is>
          <t>TOTAL</t>
        </is>
      </c>
      <c r="G30" s="27" t="n"/>
      <c r="H30" s="27" t="n"/>
      <c r="I30" s="28">
        <f>SUM(I6:I29)</f>
        <v/>
      </c>
      <c r="J30" s="11">
        <f>SUM(J6:J29)</f>
        <v/>
      </c>
      <c r="K30" s="28">
        <f>SUM(K6:K29)</f>
        <v/>
      </c>
      <c r="L30" s="29">
        <f>IFERROR(K30/I30,0)</f>
        <v/>
      </c>
    </row>
    <row r="31">
      <c r="A31" s="30" t="inlineStr">
        <is>
          <t>On Hold</t>
        </is>
      </c>
      <c r="B31" s="8">
        <f>COUNTIF(Backlog!$E$5:$E$195,$A31)</f>
        <v/>
      </c>
      <c r="C31" s="14">
        <f>IFERROR($B31/COUNTA(Backlog!$A$5:$A$195),0)</f>
        <v/>
      </c>
      <c r="D31" s="9">
        <f>SUMIF(Backlog!$E$5:$E$195,$A31,Backlog!$J$5:$J$195)</f>
        <v/>
      </c>
    </row>
    <row r="32">
      <c r="A32" s="7" t="inlineStr">
        <is>
          <t>TOTAL</t>
        </is>
      </c>
      <c r="B32" s="28">
        <f>SUM(B18:B31)</f>
        <v/>
      </c>
      <c r="C32" s="12">
        <f>SUM(C18:C31)</f>
        <v/>
      </c>
      <c r="D32" s="11">
        <f>SUM(D18:D31)</f>
        <v/>
      </c>
    </row>
    <row r="34">
      <c r="A34" s="3" t="inlineStr">
        <is>
          <t>BY PRIORITY</t>
        </is>
      </c>
    </row>
    <row r="35" ht="25.5" customHeight="1" s="59">
      <c r="A35" s="4" t="inlineStr">
        <is>
          <t>Priority</t>
        </is>
      </c>
      <c r="B35" s="4" t="inlineStr">
        <is>
          <t>Stories</t>
        </is>
      </c>
      <c r="C35" s="4" t="inlineStr">
        <is>
          <t>Est. days</t>
        </is>
      </c>
      <c r="D35" s="4" t="inlineStr">
        <is>
          <t>Closed</t>
        </is>
      </c>
    </row>
    <row r="36">
      <c r="A36" s="22" t="inlineStr">
        <is>
          <t>P0</t>
        </is>
      </c>
      <c r="B36" s="31">
        <f>COUNTIF(Backlog!$F$5:$F$195,$A36)</f>
        <v/>
      </c>
      <c r="C36" s="9">
        <f>SUMIF(Backlog!$F$5:$F$195,$A36,Backlog!$J$5:$J$195)</f>
        <v/>
      </c>
      <c r="D36" s="31">
        <f>COUNTIFS(Backlog!$F$5:$F$195,$A36,Backlog!$E$5:$E$195,"Closed")</f>
        <v/>
      </c>
    </row>
    <row r="37">
      <c r="A37" s="15" t="inlineStr">
        <is>
          <t>P1</t>
        </is>
      </c>
      <c r="B37" s="31">
        <f>COUNTIF(Backlog!$F$5:$F$195,$A37)</f>
        <v/>
      </c>
      <c r="C37" s="9">
        <f>SUMIF(Backlog!$F$5:$F$195,$A37,Backlog!$J$5:$J$195)</f>
        <v/>
      </c>
      <c r="D37" s="31">
        <f>COUNTIFS(Backlog!$F$5:$F$195,$A37,Backlog!$E$5:$E$195,"Closed")</f>
        <v/>
      </c>
    </row>
    <row r="38">
      <c r="A38" s="21" t="inlineStr">
        <is>
          <t>P2</t>
        </is>
      </c>
      <c r="B38" s="31">
        <f>COUNTIF(Backlog!$F$5:$F$195,$A38)</f>
        <v/>
      </c>
      <c r="C38" s="9">
        <f>SUMIF(Backlog!$F$5:$F$195,$A38,Backlog!$J$5:$J$195)</f>
        <v/>
      </c>
      <c r="D38" s="31">
        <f>COUNTIFS(Backlog!$F$5:$F$195,$A38,Backlog!$E$5:$E$195,"Closed")</f>
        <v/>
      </c>
    </row>
    <row r="39">
      <c r="A39" s="32" t="inlineStr">
        <is>
          <t>P3</t>
        </is>
      </c>
      <c r="B39" s="31">
        <f>COUNTIF(Backlog!$F$5:$F$195,$A39)</f>
        <v/>
      </c>
      <c r="C39" s="9">
        <f>SUMIF(Backlog!$F$5:$F$195,$A39,Backlog!$J$5:$J$195)</f>
        <v/>
      </c>
      <c r="D39" s="31">
        <f>COUNTIFS(Backlog!$F$5:$F$195,$A39,Backlog!$E$5:$E$195,"Closed")</f>
        <v/>
      </c>
    </row>
    <row r="41">
      <c r="A41" s="3" t="inlineStr">
        <is>
          <t>BY RISK</t>
        </is>
      </c>
    </row>
    <row r="42" ht="25.5" customHeight="1" s="59">
      <c r="A42" s="4" t="inlineStr">
        <is>
          <t>Risk</t>
        </is>
      </c>
      <c r="B42" s="4" t="inlineStr">
        <is>
          <t>Stories</t>
        </is>
      </c>
      <c r="C42" s="4" t="inlineStr">
        <is>
          <t>Est. days</t>
        </is>
      </c>
      <c r="D42" s="4" t="inlineStr">
        <is>
          <t>Closed</t>
        </is>
      </c>
    </row>
    <row r="43">
      <c r="A43" s="33" t="inlineStr">
        <is>
          <t>Safety-critical</t>
        </is>
      </c>
      <c r="B43" s="31">
        <f>COUNTIF(Backlog!$H$5:$H$195,$A43)</f>
        <v/>
      </c>
      <c r="C43" s="9">
        <f>SUMIF(Backlog!$H$5:$H$195,$A43,Backlog!$J$5:$J$195)</f>
        <v/>
      </c>
      <c r="D43" s="31">
        <f>COUNTIFS(Backlog!$H$5:$H$195,$A43,Backlog!$E$5:$E$195,"Closed")</f>
        <v/>
      </c>
    </row>
    <row r="44">
      <c r="A44" s="34" t="inlineStr">
        <is>
          <t>Correctness-critical</t>
        </is>
      </c>
      <c r="B44" s="31">
        <f>COUNTIF(Backlog!$H$5:$H$195,$A44)</f>
        <v/>
      </c>
      <c r="C44" s="9">
        <f>SUMIF(Backlog!$H$5:$H$195,$A44,Backlog!$J$5:$J$195)</f>
        <v/>
      </c>
      <c r="D44" s="31">
        <f>COUNTIFS(Backlog!$H$5:$H$195,$A44,Backlog!$E$5:$E$195,"Closed")</f>
        <v/>
      </c>
    </row>
    <row r="45">
      <c r="A45" s="35" t="inlineStr">
        <is>
          <t>Low</t>
        </is>
      </c>
      <c r="B45" s="31">
        <f>COUNTIF(Backlog!$H$5:$H$195,$A45)</f>
        <v/>
      </c>
      <c r="C45" s="9">
        <f>SUMIF(Backlog!$H$5:$H$195,$A45,Backlog!$J$5:$J$195)</f>
        <v/>
      </c>
      <c r="D45" s="31">
        <f>COUNTIFS(Backlog!$H$5:$H$195,$A45,Backlog!$E$5:$E$195,"Closed")</f>
        <v/>
      </c>
    </row>
    <row r="47">
      <c r="A47" s="3" t="inlineStr">
        <is>
          <t>BY TYPE</t>
        </is>
      </c>
    </row>
    <row r="48" ht="25.5" customHeight="1" s="59">
      <c r="A48" s="4" t="inlineStr">
        <is>
          <t>Type</t>
        </is>
      </c>
      <c r="B48" s="4" t="inlineStr">
        <is>
          <t>Stories</t>
        </is>
      </c>
      <c r="C48" s="4" t="inlineStr">
        <is>
          <t>Est. days</t>
        </is>
      </c>
      <c r="D48" s="4" t="inlineStr">
        <is>
          <t>Closed</t>
        </is>
      </c>
    </row>
    <row r="49">
      <c r="A49" s="7" t="inlineStr">
        <is>
          <t>FEAT</t>
        </is>
      </c>
      <c r="B49" s="31">
        <f>COUNTIF(Backlog!$I$5:$I$195,$A49)</f>
        <v/>
      </c>
      <c r="C49" s="9">
        <f>SUMIF(Backlog!$I$5:$I$195,$A49,Backlog!$J$5:$J$195)</f>
        <v/>
      </c>
      <c r="D49" s="31">
        <f>COUNTIFS(Backlog!$I$5:$I$195,$A49,Backlog!$E$5:$E$195,"Closed")</f>
        <v/>
      </c>
    </row>
    <row r="50">
      <c r="A50" s="7" t="inlineStr">
        <is>
          <t>INFRA</t>
        </is>
      </c>
      <c r="B50" s="31">
        <f>COUNTIF(Backlog!$I$5:$I$195,$A50)</f>
        <v/>
      </c>
      <c r="C50" s="9">
        <f>SUMIF(Backlog!$I$5:$I$195,$A50,Backlog!$J$5:$J$195)</f>
        <v/>
      </c>
      <c r="D50" s="31">
        <f>COUNTIFS(Backlog!$I$5:$I$195,$A50,Backlog!$E$5:$E$195,"Closed")</f>
        <v/>
      </c>
    </row>
    <row r="51">
      <c r="A51" s="7" t="inlineStr">
        <is>
          <t>SEC</t>
        </is>
      </c>
      <c r="B51" s="31">
        <f>COUNTIF(Backlog!$I$5:$I$195,$A51)</f>
        <v/>
      </c>
      <c r="C51" s="9">
        <f>SUMIF(Backlog!$I$5:$I$195,$A51,Backlog!$J$5:$J$195)</f>
        <v/>
      </c>
      <c r="D51" s="31">
        <f>COUNTIFS(Backlog!$I$5:$I$195,$A51,Backlog!$E$5:$E$195,"Closed")</f>
        <v/>
      </c>
    </row>
    <row r="52">
      <c r="A52" s="7" t="inlineStr">
        <is>
          <t>TEST</t>
        </is>
      </c>
      <c r="B52" s="31">
        <f>COUNTIF(Backlog!$I$5:$I$195,$A52)</f>
        <v/>
      </c>
      <c r="C52" s="9">
        <f>SUMIF(Backlog!$I$5:$I$195,$A52,Backlog!$J$5:$J$195)</f>
        <v/>
      </c>
      <c r="D52" s="31">
        <f>COUNTIFS(Backlog!$I$5:$I$195,$A52,Backlog!$E$5:$E$195,"Closed")</f>
        <v/>
      </c>
    </row>
    <row r="53">
      <c r="A53" s="7" t="inlineStr">
        <is>
          <t>OPS</t>
        </is>
      </c>
      <c r="B53" s="31">
        <f>COUNTIF(Backlog!$I$5:$I$195,$A53)</f>
        <v/>
      </c>
      <c r="C53" s="9">
        <f>SUMIF(Backlog!$I$5:$I$195,$A53,Backlog!$J$5:$J$195)</f>
        <v/>
      </c>
      <c r="D53" s="31">
        <f>COUNTIFS(Backlog!$I$5:$I$195,$A53,Backlog!$E$5:$E$195,"Closed")</f>
        <v/>
      </c>
    </row>
    <row r="54">
      <c r="A54" s="7" t="inlineStr">
        <is>
          <t>DOC</t>
        </is>
      </c>
      <c r="B54" s="31">
        <f>COUNTIF(Backlog!$I$5:$I$195,$A54)</f>
        <v/>
      </c>
      <c r="C54" s="9">
        <f>SUMIF(Backlog!$I$5:$I$195,$A54,Backlog!$J$5:$J$195)</f>
        <v/>
      </c>
      <c r="D54" s="31">
        <f>COUNTIFS(Backlog!$I$5:$I$195,$A54,Backlog!$E$5:$E$195,"Closed")</f>
        <v/>
      </c>
    </row>
  </sheetData>
  <conditionalFormatting sqref="L6:L29">
    <cfRule type="expression" priority="2" dxfId="43">
      <formula>$L6=1</formula>
    </cfRule>
  </conditionalFormatting>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W195"/>
  <sheetViews>
    <sheetView zoomScaleNormal="100" workbookViewId="0">
      <pane xSplit="4" ySplit="4" topLeftCell="E182" activePane="bottomRight" state="frozen"/>
      <selection pane="topRight" activeCell="E1" sqref="E1"/>
      <selection pane="bottomLeft" activeCell="A5" sqref="A5"/>
      <selection pane="bottomRight" activeCell="A1" sqref="A1"/>
    </sheetView>
  </sheetViews>
  <sheetFormatPr baseColWidth="8" defaultColWidth="8.6640625" defaultRowHeight="14.4"/>
  <cols>
    <col width="11" customWidth="1" style="59" min="1" max="1"/>
    <col width="7" customWidth="1" style="59" min="2" max="2"/>
    <col width="26" customWidth="1" style="59" min="3" max="3"/>
    <col width="42" customWidth="1" style="59" min="4" max="4"/>
    <col width="23" customWidth="1" style="59" min="5" max="5"/>
    <col width="9" customWidth="1" style="59" min="6" max="6"/>
    <col width="7" customWidth="1" style="59" min="7" max="7"/>
    <col width="20" customWidth="1" style="59" min="8" max="8"/>
    <col width="8" customWidth="1" style="59" min="9" max="9"/>
    <col width="9" customWidth="1" style="59" min="10" max="10"/>
    <col width="20" customWidth="1" style="59" min="11" max="11"/>
    <col width="13" customWidth="1" style="59" min="12" max="12"/>
    <col width="12" customWidth="1" style="59" min="13" max="13"/>
    <col width="8" customWidth="1" style="59" min="14" max="14"/>
    <col width="12" customWidth="1" style="59" min="15" max="16"/>
    <col width="11" customWidth="1" style="59" min="17" max="17"/>
    <col width="10" customWidth="1" style="59" min="18" max="18"/>
    <col width="55" customWidth="1" style="59" min="19" max="19"/>
    <col width="60" customWidth="1" style="59" min="20" max="20"/>
    <col width="50" customWidth="1" style="59" min="21" max="21"/>
    <col width="40" customWidth="1" style="59" min="22" max="22"/>
    <col width="30" customWidth="1" style="59" min="23" max="23"/>
  </cols>
  <sheetData>
    <row r="1" ht="17.4" customHeight="1" s="59">
      <c r="A1" s="36" t="inlineStr">
        <is>
          <t>DEVELOPMENT BACKLOG — User Stories &amp; Tasks</t>
        </is>
      </c>
    </row>
    <row r="2">
      <c r="A2" s="2" t="inlineStr">
        <is>
          <t>Source: BACKLOG.md · 189 stories across 24 epics · Set Status from the dropdown in column E. Yellow-tinted columns (M–Q, W) are yours to fill in. Tasks/Acceptance are wrapped — widen a row or click a cell to read the full text.</t>
        </is>
      </c>
    </row>
    <row r="4" ht="30" customHeight="1" s="59">
      <c r="A4" s="37" t="inlineStr">
        <is>
          <t>Story ID</t>
        </is>
      </c>
      <c r="B4" s="37" t="inlineStr">
        <is>
          <t>Epic</t>
        </is>
      </c>
      <c r="C4" s="37" t="inlineStr">
        <is>
          <t>Epic Name</t>
        </is>
      </c>
      <c r="D4" s="37" t="inlineStr">
        <is>
          <t>Story Title</t>
        </is>
      </c>
      <c r="E4" s="37" t="inlineStr">
        <is>
          <t>Status</t>
        </is>
      </c>
      <c r="F4" s="37" t="inlineStr">
        <is>
          <t>Priority</t>
        </is>
      </c>
      <c r="G4" s="37" t="inlineStr">
        <is>
          <t>Phase</t>
        </is>
      </c>
      <c r="H4" s="37" t="inlineStr">
        <is>
          <t>Risk</t>
        </is>
      </c>
      <c r="I4" s="37" t="inlineStr">
        <is>
          <t>Type</t>
        </is>
      </c>
      <c r="J4" s="37" t="inlineStr">
        <is>
          <t>Est. Days</t>
        </is>
      </c>
      <c r="K4" s="37" t="inlineStr">
        <is>
          <t>Dependencies</t>
        </is>
      </c>
      <c r="L4" s="37" t="inlineStr">
        <is>
          <t>Blocked By</t>
        </is>
      </c>
      <c r="M4" s="37" t="inlineStr">
        <is>
          <t>Owner</t>
        </is>
      </c>
      <c r="N4" s="37" t="inlineStr">
        <is>
          <t>Sprint</t>
        </is>
      </c>
      <c r="O4" s="37" t="inlineStr">
        <is>
          <t>Start Date</t>
        </is>
      </c>
      <c r="P4" s="37" t="inlineStr">
        <is>
          <t>Target Date</t>
        </is>
      </c>
      <c r="Q4" s="37" t="inlineStr">
        <is>
          <t>% Complete</t>
        </is>
      </c>
      <c r="R4" s="37" t="inlineStr">
        <is>
          <t>Task Count</t>
        </is>
      </c>
      <c r="S4" s="37" t="inlineStr">
        <is>
          <t>User Story</t>
        </is>
      </c>
      <c r="T4" s="37" t="inlineStr">
        <is>
          <t>Tasks</t>
        </is>
      </c>
      <c r="U4" s="37" t="inlineStr">
        <is>
          <t>Acceptance Criteria</t>
        </is>
      </c>
      <c r="V4" s="37" t="inlineStr">
        <is>
          <t>Notes</t>
        </is>
      </c>
      <c r="W4" s="37" t="inlineStr">
        <is>
          <t>Comments</t>
        </is>
      </c>
    </row>
    <row r="5" ht="30" customHeight="1" s="59">
      <c r="A5" s="38" t="inlineStr">
        <is>
          <t>E00-S01</t>
        </is>
      </c>
      <c r="B5" s="39" t="inlineStr">
        <is>
          <t>E00</t>
        </is>
      </c>
      <c r="C5" s="40" t="inlineStr">
        <is>
          <t>FOUNDATION</t>
        </is>
      </c>
      <c r="D5" s="40" t="inlineStr">
        <is>
          <t>Project scaffold, packaging, tooling</t>
        </is>
      </c>
      <c r="E5" s="40" t="inlineStr">
        <is>
          <t>Closed</t>
        </is>
      </c>
      <c r="F5" s="41" t="inlineStr">
        <is>
          <t>P0</t>
        </is>
      </c>
      <c r="G5" s="39" t="inlineStr">
        <is>
          <t>0</t>
        </is>
      </c>
      <c r="H5" s="42" t="inlineStr">
        <is>
          <t>Low</t>
        </is>
      </c>
      <c r="I5" s="39" t="inlineStr">
        <is>
          <t>INFRA</t>
        </is>
      </c>
      <c r="J5" s="43" t="n"/>
      <c r="K5" s="40" t="n"/>
      <c r="L5" s="40" t="n"/>
      <c r="M5" s="44" t="n"/>
      <c r="N5" s="45" t="n"/>
      <c r="O5" s="46" t="n"/>
      <c r="P5" s="46" t="n"/>
      <c r="Q5" s="47" t="n"/>
      <c r="R5" s="39" t="n">
        <v>0</v>
      </c>
      <c r="S5" s="48" t="n"/>
      <c r="T5" s="48" t="n"/>
      <c r="U5" s="48" t="n"/>
      <c r="V5" s="48" t="n"/>
      <c r="W5" s="49" t="n"/>
    </row>
    <row r="6" ht="30" customHeight="1" s="59">
      <c r="A6" s="38" t="inlineStr">
        <is>
          <t>E00-S02</t>
        </is>
      </c>
      <c r="B6" s="39" t="inlineStr">
        <is>
          <t>E00</t>
        </is>
      </c>
      <c r="C6" s="40" t="inlineStr">
        <is>
          <t>FOUNDATION</t>
        </is>
      </c>
      <c r="D6" s="40" t="inlineStr">
        <is>
          <t>Domain models with Decimal money and tz-aware UTC</t>
        </is>
      </c>
      <c r="E6" s="40" t="inlineStr">
        <is>
          <t>Closed</t>
        </is>
      </c>
      <c r="F6" s="41" t="inlineStr">
        <is>
          <t>P0</t>
        </is>
      </c>
      <c r="G6" s="39" t="inlineStr">
        <is>
          <t>0</t>
        </is>
      </c>
      <c r="H6" s="50" t="inlineStr">
        <is>
          <t>Correctness-critical</t>
        </is>
      </c>
      <c r="I6" s="39" t="inlineStr">
        <is>
          <t>INFRA</t>
        </is>
      </c>
      <c r="J6" s="43" t="n"/>
      <c r="K6" s="40" t="n"/>
      <c r="L6" s="40" t="n"/>
      <c r="M6" s="44" t="n"/>
      <c r="N6" s="45" t="n"/>
      <c r="O6" s="46" t="n"/>
      <c r="P6" s="46" t="n"/>
      <c r="Q6" s="47" t="n"/>
      <c r="R6" s="39" t="n">
        <v>0</v>
      </c>
      <c r="S6" s="48" t="n"/>
      <c r="T6" s="48" t="n"/>
      <c r="U6" s="48" t="n"/>
      <c r="V6" s="48" t="n"/>
      <c r="W6" s="49" t="n"/>
    </row>
    <row r="7" ht="30" customHeight="1" s="59">
      <c r="A7" s="38" t="inlineStr">
        <is>
          <t>E00-S03</t>
        </is>
      </c>
      <c r="B7" s="39" t="inlineStr">
        <is>
          <t>E00</t>
        </is>
      </c>
      <c r="C7" s="40" t="inlineStr">
        <is>
          <t>FOUNDATION</t>
        </is>
      </c>
      <c r="D7" s="40" t="inlineStr">
        <is>
          <t>Config validation with hard bounds in code</t>
        </is>
      </c>
      <c r="E7" s="40" t="inlineStr">
        <is>
          <t>Closed</t>
        </is>
      </c>
      <c r="F7" s="41" t="inlineStr">
        <is>
          <t>P0</t>
        </is>
      </c>
      <c r="G7" s="39" t="inlineStr">
        <is>
          <t>0</t>
        </is>
      </c>
      <c r="H7" s="51" t="inlineStr">
        <is>
          <t>Safety-critical</t>
        </is>
      </c>
      <c r="I7" s="39" t="inlineStr">
        <is>
          <t>INFRA</t>
        </is>
      </c>
      <c r="J7" s="43" t="n"/>
      <c r="K7" s="40" t="n"/>
      <c r="L7" s="40" t="n"/>
      <c r="M7" s="44" t="n"/>
      <c r="N7" s="45" t="n"/>
      <c r="O7" s="46" t="n"/>
      <c r="P7" s="46" t="n"/>
      <c r="Q7" s="47" t="n"/>
      <c r="R7" s="39" t="n">
        <v>0</v>
      </c>
      <c r="S7" s="48" t="n"/>
      <c r="T7" s="48" t="n"/>
      <c r="U7" s="48" t="n"/>
      <c r="V7" s="48" t="n"/>
      <c r="W7" s="49" t="n"/>
    </row>
    <row r="8" ht="30" customHeight="1" s="59">
      <c r="A8" s="38" t="inlineStr">
        <is>
          <t>E00-S04</t>
        </is>
      </c>
      <c r="B8" s="39" t="inlineStr">
        <is>
          <t>E00</t>
        </is>
      </c>
      <c r="C8" s="40" t="inlineStr">
        <is>
          <t>FOUNDATION</t>
        </is>
      </c>
      <c r="D8" s="40" t="inlineStr">
        <is>
          <t>Secrets handling that cannot render</t>
        </is>
      </c>
      <c r="E8" s="40" t="inlineStr">
        <is>
          <t>Closed</t>
        </is>
      </c>
      <c r="F8" s="41" t="inlineStr">
        <is>
          <t>P0</t>
        </is>
      </c>
      <c r="G8" s="39" t="inlineStr">
        <is>
          <t>0</t>
        </is>
      </c>
      <c r="H8" s="51" t="inlineStr">
        <is>
          <t>Safety-critical</t>
        </is>
      </c>
      <c r="I8" s="39" t="inlineStr">
        <is>
          <t>INFRA</t>
        </is>
      </c>
      <c r="J8" s="43" t="n"/>
      <c r="K8" s="40" t="n"/>
      <c r="L8" s="40" t="n"/>
      <c r="M8" s="44" t="n"/>
      <c r="N8" s="45" t="n"/>
      <c r="O8" s="46" t="n"/>
      <c r="P8" s="46" t="n"/>
      <c r="Q8" s="47" t="n"/>
      <c r="R8" s="39" t="n">
        <v>0</v>
      </c>
      <c r="S8" s="48" t="n"/>
      <c r="T8" s="48" t="n"/>
      <c r="U8" s="48" t="n"/>
      <c r="V8" s="48" t="n"/>
      <c r="W8" s="49" t="n"/>
    </row>
    <row r="9" ht="30" customHeight="1" s="59">
      <c r="A9" s="38" t="inlineStr">
        <is>
          <t>E00-S05</t>
        </is>
      </c>
      <c r="B9" s="39" t="inlineStr">
        <is>
          <t>E00</t>
        </is>
      </c>
      <c r="C9" s="40" t="inlineStr">
        <is>
          <t>FOUNDATION</t>
        </is>
      </c>
      <c r="D9" s="40" t="inlineStr">
        <is>
          <t>Structured logging with mandatory redaction</t>
        </is>
      </c>
      <c r="E9" s="40" t="inlineStr">
        <is>
          <t>Closed</t>
        </is>
      </c>
      <c r="F9" s="41" t="inlineStr">
        <is>
          <t>P0</t>
        </is>
      </c>
      <c r="G9" s="39" t="inlineStr">
        <is>
          <t>0</t>
        </is>
      </c>
      <c r="H9" s="51" t="inlineStr">
        <is>
          <t>Safety-critical</t>
        </is>
      </c>
      <c r="I9" s="39" t="inlineStr">
        <is>
          <t>INFRA</t>
        </is>
      </c>
      <c r="J9" s="43" t="n"/>
      <c r="K9" s="40" t="n"/>
      <c r="L9" s="40" t="n"/>
      <c r="M9" s="44" t="n"/>
      <c r="N9" s="45" t="n"/>
      <c r="O9" s="46" t="n"/>
      <c r="P9" s="46" t="n"/>
      <c r="Q9" s="47" t="n"/>
      <c r="R9" s="39" t="n">
        <v>0</v>
      </c>
      <c r="S9" s="48" t="n"/>
      <c r="T9" s="48" t="n"/>
      <c r="U9" s="48" t="n"/>
      <c r="V9" s="48" t="n"/>
      <c r="W9" s="49" t="n"/>
    </row>
    <row r="10" ht="30" customHeight="1" s="59">
      <c r="A10" s="38" t="inlineStr">
        <is>
          <t>E00-S06</t>
        </is>
      </c>
      <c r="B10" s="39" t="inlineStr">
        <is>
          <t>E00</t>
        </is>
      </c>
      <c r="C10" s="40" t="inlineStr">
        <is>
          <t>FOUNDATION</t>
        </is>
      </c>
      <c r="D10" s="40" t="inlineStr">
        <is>
          <t>NSE calendar with per-stock square-off</t>
        </is>
      </c>
      <c r="E10" s="40" t="inlineStr">
        <is>
          <t>Closed</t>
        </is>
      </c>
      <c r="F10" s="41" t="inlineStr">
        <is>
          <t>P0</t>
        </is>
      </c>
      <c r="G10" s="39" t="inlineStr">
        <is>
          <t>0</t>
        </is>
      </c>
      <c r="H10" s="51" t="inlineStr">
        <is>
          <t>Safety-critical</t>
        </is>
      </c>
      <c r="I10" s="39" t="inlineStr">
        <is>
          <t>INFRA</t>
        </is>
      </c>
      <c r="J10" s="43" t="n"/>
      <c r="K10" s="40" t="n"/>
      <c r="L10" s="40" t="n"/>
      <c r="M10" s="44" t="n"/>
      <c r="N10" s="45" t="n"/>
      <c r="O10" s="46" t="n"/>
      <c r="P10" s="46" t="n"/>
      <c r="Q10" s="47" t="n"/>
      <c r="R10" s="39" t="n">
        <v>0</v>
      </c>
      <c r="S10" s="48" t="n"/>
      <c r="T10" s="48" t="n"/>
      <c r="U10" s="48" t="n"/>
      <c r="V10" s="48" t="n"/>
      <c r="W10" s="49" t="n"/>
    </row>
    <row r="11" ht="30" customHeight="1" s="59">
      <c r="A11" s="38" t="inlineStr">
        <is>
          <t>E00-S07</t>
        </is>
      </c>
      <c r="B11" s="39" t="inlineStr">
        <is>
          <t>E00</t>
        </is>
      </c>
      <c r="C11" s="40" t="inlineStr">
        <is>
          <t>FOUNDATION</t>
        </is>
      </c>
      <c r="D11" s="40" t="inlineStr">
        <is>
          <t>Broker protocol, read-only vs trading split</t>
        </is>
      </c>
      <c r="E11" s="40" t="inlineStr">
        <is>
          <t>Closed</t>
        </is>
      </c>
      <c r="F11" s="41" t="inlineStr">
        <is>
          <t>P0</t>
        </is>
      </c>
      <c r="G11" s="39" t="inlineStr">
        <is>
          <t>0</t>
        </is>
      </c>
      <c r="H11" s="51" t="inlineStr">
        <is>
          <t>Safety-critical</t>
        </is>
      </c>
      <c r="I11" s="39" t="inlineStr">
        <is>
          <t>INFRA</t>
        </is>
      </c>
      <c r="J11" s="43" t="n"/>
      <c r="K11" s="40" t="n"/>
      <c r="L11" s="40" t="n"/>
      <c r="M11" s="44" t="n"/>
      <c r="N11" s="45" t="n"/>
      <c r="O11" s="46" t="n"/>
      <c r="P11" s="46" t="n"/>
      <c r="Q11" s="47" t="n"/>
      <c r="R11" s="39" t="n">
        <v>0</v>
      </c>
      <c r="S11" s="48" t="n"/>
      <c r="T11" s="48" t="n"/>
      <c r="U11" s="48" t="n"/>
      <c r="V11" s="48" t="n"/>
      <c r="W11" s="49" t="n"/>
    </row>
    <row r="12" ht="30" customHeight="1" s="59">
      <c r="A12" s="38" t="inlineStr">
        <is>
          <t>E00-S08</t>
        </is>
      </c>
      <c r="B12" s="39" t="inlineStr">
        <is>
          <t>E00</t>
        </is>
      </c>
      <c r="C12" s="40" t="inlineStr">
        <is>
          <t>FOUNDATION</t>
        </is>
      </c>
      <c r="D12" s="40" t="inlineStr">
        <is>
          <t>Strategy DSL with vetted primitive registry</t>
        </is>
      </c>
      <c r="E12" s="40" t="inlineStr">
        <is>
          <t>Closed</t>
        </is>
      </c>
      <c r="F12" s="41" t="inlineStr">
        <is>
          <t>P0</t>
        </is>
      </c>
      <c r="G12" s="39" t="inlineStr">
        <is>
          <t>0</t>
        </is>
      </c>
      <c r="H12" s="51" t="inlineStr">
        <is>
          <t>Safety-critical</t>
        </is>
      </c>
      <c r="I12" s="39" t="inlineStr">
        <is>
          <t>INFRA</t>
        </is>
      </c>
      <c r="J12" s="43" t="n"/>
      <c r="K12" s="40" t="n"/>
      <c r="L12" s="40" t="n"/>
      <c r="M12" s="44" t="n"/>
      <c r="N12" s="45" t="n"/>
      <c r="O12" s="46" t="n"/>
      <c r="P12" s="46" t="n"/>
      <c r="Q12" s="47" t="n"/>
      <c r="R12" s="39" t="n">
        <v>0</v>
      </c>
      <c r="S12" s="48" t="n"/>
      <c r="T12" s="48" t="n"/>
      <c r="U12" s="48" t="n"/>
      <c r="V12" s="48" t="n"/>
      <c r="W12" s="49" t="n"/>
    </row>
    <row r="13" ht="30" customHeight="1" s="59">
      <c r="A13" s="38" t="inlineStr">
        <is>
          <t>E00-S09</t>
        </is>
      </c>
      <c r="B13" s="39" t="inlineStr">
        <is>
          <t>E00</t>
        </is>
      </c>
      <c r="C13" s="40" t="inlineStr">
        <is>
          <t>FOUNDATION</t>
        </is>
      </c>
      <c r="D13" s="40" t="inlineStr">
        <is>
          <t>Docker topology with network segmentation</t>
        </is>
      </c>
      <c r="E13" s="40" t="inlineStr">
        <is>
          <t>Closed</t>
        </is>
      </c>
      <c r="F13" s="41" t="inlineStr">
        <is>
          <t>P0</t>
        </is>
      </c>
      <c r="G13" s="39" t="inlineStr">
        <is>
          <t>0</t>
        </is>
      </c>
      <c r="H13" s="50" t="inlineStr">
        <is>
          <t>Correctness-critical</t>
        </is>
      </c>
      <c r="I13" s="39" t="inlineStr">
        <is>
          <t>INFRA</t>
        </is>
      </c>
      <c r="J13" s="43" t="n"/>
      <c r="K13" s="40" t="n"/>
      <c r="L13" s="40" t="n"/>
      <c r="M13" s="44" t="n"/>
      <c r="N13" s="45" t="n"/>
      <c r="O13" s="46" t="n"/>
      <c r="P13" s="46" t="n"/>
      <c r="Q13" s="47" t="n"/>
      <c r="R13" s="39" t="n">
        <v>0</v>
      </c>
      <c r="S13" s="48" t="n"/>
      <c r="T13" s="48" t="n"/>
      <c r="U13" s="48" t="n"/>
      <c r="V13" s="48" t="inlineStr">
        <is>
          <t>written, not run</t>
        </is>
      </c>
      <c r="W13" s="49" t="n"/>
    </row>
    <row r="14" ht="30" customHeight="1" s="59">
      <c r="A14" s="38" t="inlineStr">
        <is>
          <t>E00-S10</t>
        </is>
      </c>
      <c r="B14" s="39" t="inlineStr">
        <is>
          <t>E00</t>
        </is>
      </c>
      <c r="C14" s="40" t="inlineStr">
        <is>
          <t>FOUNDATION</t>
        </is>
      </c>
      <c r="D14" s="40" t="inlineStr">
        <is>
          <t>Pre-flight doctor script</t>
        </is>
      </c>
      <c r="E14" s="40" t="inlineStr">
        <is>
          <t>Closed</t>
        </is>
      </c>
      <c r="F14" s="41" t="inlineStr">
        <is>
          <t>P0</t>
        </is>
      </c>
      <c r="G14" s="39" t="inlineStr">
        <is>
          <t>0</t>
        </is>
      </c>
      <c r="H14" s="42" t="inlineStr">
        <is>
          <t>Low</t>
        </is>
      </c>
      <c r="I14" s="39" t="inlineStr">
        <is>
          <t>INFRA</t>
        </is>
      </c>
      <c r="J14" s="43" t="n"/>
      <c r="K14" s="40" t="n"/>
      <c r="L14" s="40" t="n"/>
      <c r="M14" s="44" t="n"/>
      <c r="N14" s="45" t="n"/>
      <c r="O14" s="46" t="n"/>
      <c r="P14" s="46" t="n"/>
      <c r="Q14" s="47" t="n"/>
      <c r="R14" s="39" t="n">
        <v>0</v>
      </c>
      <c r="S14" s="48" t="n"/>
      <c r="T14" s="48" t="n"/>
      <c r="U14" s="48" t="n"/>
      <c r="V14" s="48" t="n"/>
      <c r="W14" s="49" t="n"/>
    </row>
    <row r="15" ht="30" customHeight="1" s="59">
      <c r="A15" s="38" t="inlineStr">
        <is>
          <t>E01-S01</t>
        </is>
      </c>
      <c r="B15" s="39" t="inlineStr">
        <is>
          <t>E01</t>
        </is>
      </c>
      <c r="C15" s="40" t="inlineStr">
        <is>
          <t>PERSISTENCE &amp; DATA LAYER</t>
        </is>
      </c>
      <c r="D15" s="40" t="inlineStr">
        <is>
          <t>Database schema and migrations</t>
        </is>
      </c>
      <c r="E15" s="40" t="inlineStr">
        <is>
          <t>Closed</t>
        </is>
      </c>
      <c r="F15" s="41" t="inlineStr">
        <is>
          <t>P0</t>
        </is>
      </c>
      <c r="G15" s="39" t="inlineStr">
        <is>
          <t>1</t>
        </is>
      </c>
      <c r="H15" s="50" t="inlineStr">
        <is>
          <t>Correctness-critical</t>
        </is>
      </c>
      <c r="I15" s="39" t="inlineStr">
        <is>
          <t>INFRA</t>
        </is>
      </c>
      <c r="J15" s="43" t="n">
        <v>2</v>
      </c>
      <c r="K15" s="40" t="inlineStr">
        <is>
          <t>none</t>
        </is>
      </c>
      <c r="L15" s="40" t="n"/>
      <c r="M15" s="44" t="n"/>
      <c r="N15" s="45" t="n">
        <v>1</v>
      </c>
      <c r="O15" s="46" t="n"/>
      <c r="P15" s="46" t="n"/>
      <c r="Q15" s="47" t="n">
        <v>100</v>
      </c>
      <c r="R15" s="39" t="n">
        <v>9</v>
      </c>
      <c r="S15" s="48" t="inlineStr">
        <is>
          <t>As a developer, I want the full database schema defined as versioned migrations, so that schema changes are reviewable and reversible rather than applied by hand.</t>
        </is>
      </c>
      <c r="T15" s="48" t="inlineStr">
        <is>
          <t>1. Set up Alembic with async SQLAlchemy 2.0
2. SQLAlchemy models mirroring LOW_LEVEL_ARCHITECTURE §4.2
3. Migration: instruments, instrument_daily_status
4. Migration: ohlcv as a TimescaleDB hypertable
5. Migration: orders, positions, decision_log, trade_journal
6. Migration: daily_plan, plan_candidate
7. Migration: strategy, strategy_validation, strategy_trial, strategy_performance, shadow_signal
8. Compression policy on ohlcv (&gt;90 days)
9. `make migrate` target</t>
        </is>
      </c>
      <c r="U15" s="48" t="inlineStr">
        <is>
          <t>• `alembic upgrade head` then `downgrade base` runs clean on an empty DB
• Hypertables confirmed via `SELECT * FROM timescaledb_information.hypertables`
• `decision_log` and `strategy_trial` roles have INSERT but not UPDATE/DELETE</t>
        </is>
      </c>
      <c r="V15" s="48" t="inlineStr">
        <is>
          <t>CLOSED 7 Aug 2026. Schema, migrations and role grants complete; 38 integration tests assert every business rule against a real TimescaleDB.
DELIVERED: 15 tables in common/db/models.py; two migrations (core schema autogenerated, hypertables/view/grants hand-written); upgrade head -&gt; downgrade base -&gt; upgrade head verified clean.
DECISIONS TAKEN:
  - TimescaleDB DDL is VERSION-ADAPTIVE. The migration detects the installed version and emits columnstore DDL at &gt;=2.18 or legacy compression below it. Verified on BOTH 2.17.2 and 2.29.1, so the pin decision no longer blocks anything and can move either way later.
  - Role created NOLOGIN/password-less; operator grants LOGIN out of band. The spec's CREATE ROLE ... PASSWORD would have committed a credential.
  - v_eligible_today anchored to Asia/Kolkata, not CURRENT_DATE.
FOUR BUGS FOUND BY EXECUTION (all fixed, all now covered by tests):
  1. SQLAlchemy Enum(native_enum=False) defaults create_constraint=FALSE since 1.4 — the enum columns had NO validation at all. An invalid 'side' went straight in. Only the column length was accidentally guarding them.
  2. decision_log.id was NOT NULL with no sequence: SQLAlchemy attaches an implicit sequence only to a PRIMARY KEY, and this is not one. EVERY insert failed. Fixed with an explicit Identity().
  3. order_fills generated-column DDL in the spec was invalid PostgreSQL.
  4. Enum columns sized to an exact fit meant truncation errors fired before CHECK constraints, producing an error naming neither column nor expected value.
NOT a bug but worth knowing: autogenerate cannot render ORM attributes in postgresql_where; partial index predicates use sa.text().</t>
        </is>
      </c>
      <c r="W15" s="49" t="inlineStr">
        <is>
          <t>Open questions to settle inside this story (§17):
Q1 RESOLVED — pin is 2.17.2-pg16; upgrade decision is yours, recommended.
Q2 Retention of 1m bars — recommend keep forever; ~19M rows either way, storage is not the constraint, backtest depth is.
Q3 DB roles — recommend one app role now, split per-service at Phase 7.
Q4 Audit buffer location — recommend host mount (survives image rebuild).
Watch: TimescaleDB requires the partitioning column in every unique index; downgrade must drop policies before hypertables; test 'downgrade base' on every migration.</t>
        </is>
      </c>
    </row>
    <row r="16" ht="30" customHeight="1" s="59">
      <c r="A16" s="38" t="inlineStr">
        <is>
          <t>E01-S02</t>
        </is>
      </c>
      <c r="B16" s="39" t="inlineStr">
        <is>
          <t>E01</t>
        </is>
      </c>
      <c r="C16" s="40" t="inlineStr">
        <is>
          <t>PERSISTENCE &amp; DATA LAYER</t>
        </is>
      </c>
      <c r="D16" s="40" t="inlineStr">
        <is>
          <t>Repository layer</t>
        </is>
      </c>
      <c r="E16" s="40" t="inlineStr">
        <is>
          <t>Active</t>
        </is>
      </c>
      <c r="F16" s="41" t="inlineStr">
        <is>
          <t>P0</t>
        </is>
      </c>
      <c r="G16" s="39" t="inlineStr">
        <is>
          <t>1</t>
        </is>
      </c>
      <c r="H16" s="42" t="inlineStr">
        <is>
          <t>Low</t>
        </is>
      </c>
      <c r="I16" s="39" t="inlineStr">
        <is>
          <t>INFRA</t>
        </is>
      </c>
      <c r="J16" s="43" t="n">
        <v>2</v>
      </c>
      <c r="K16" s="40" t="inlineStr">
        <is>
          <t>E01-S01</t>
        </is>
      </c>
      <c r="L16" s="40" t="n"/>
      <c r="M16" s="44" t="n"/>
      <c r="N16" s="45" t="n">
        <v>1</v>
      </c>
      <c r="O16" s="46" t="n"/>
      <c r="P16" s="46" t="n"/>
      <c r="Q16" s="47" t="n"/>
      <c r="R16" s="39" t="n">
        <v>5</v>
      </c>
      <c r="S16" s="48" t="inlineStr">
        <is>
          <t>As a developer, I want data access behind repository interfaces, so that services never write raw SQL and can be tested against fakes.</t>
        </is>
      </c>
      <c r="T16" s="48" t="inlineStr">
        <is>
          <t>1. `Repository` protocol per aggregate (instruments, bars, orders, positions, plan, strategy)
2. Async session management with proper transaction boundaries
3. Bulk insert path for OHLCV (batched, not row-by-row)
4. Connection pooling configured
5. In-memory fakes for unit tests</t>
        </is>
      </c>
      <c r="U16" s="48" t="inlineStr">
        <is>
          <t>• No service module imports `sqlalchemy` directly
• Bulk insert of 100k bars completes in &lt; 10s</t>
        </is>
      </c>
      <c r="V16" s="48" t="inlineStr">
        <is>
          <t>SPRINT 1 — Day 4 (needs E01-S01 complete).
warm_up_batch() is the story's real risk. It is the workhorse of BP-2, the pre-market warm-up that has to finish inside a 45-minute window. A per-symbol loop issuing ~150 queries will miss the deadline; one query using WHERE symbol_id = ANY(...) with a window function will not. Write it as the batch form from the start.
Acceptance is measurable and must be measured in the test, not asserted: bulk insert of 100k bars in under 10s, and grep -r 'import sqlalchemy' src/algotrader/{ingest,signals,execution,premarket} must return nothing — no ORM leakage past the repository boundary.</t>
        </is>
      </c>
      <c r="W16" s="49" t="n"/>
    </row>
    <row r="17" ht="30" customHeight="1" s="59">
      <c r="A17" s="38" t="inlineStr">
        <is>
          <t>E01-S03</t>
        </is>
      </c>
      <c r="B17" s="39" t="inlineStr">
        <is>
          <t>E01</t>
        </is>
      </c>
      <c r="C17" s="40" t="inlineStr">
        <is>
          <t>PERSISTENCE &amp; DATA LAYER</t>
        </is>
      </c>
      <c r="D17" s="40" t="inlineStr">
        <is>
          <t>Redis client and keyspace helpers</t>
        </is>
      </c>
      <c r="E17" s="40" t="inlineStr">
        <is>
          <t>Active</t>
        </is>
      </c>
      <c r="F17" s="41" t="inlineStr">
        <is>
          <t>P0</t>
        </is>
      </c>
      <c r="G17" s="39" t="inlineStr">
        <is>
          <t>1</t>
        </is>
      </c>
      <c r="H17" s="50" t="inlineStr">
        <is>
          <t>Correctness-critical</t>
        </is>
      </c>
      <c r="I17" s="39" t="inlineStr">
        <is>
          <t>INFRA</t>
        </is>
      </c>
      <c r="J17" s="43" t="n">
        <v>1.5</v>
      </c>
      <c r="K17" s="40" t="inlineStr">
        <is>
          <t>none</t>
        </is>
      </c>
      <c r="L17" s="40" t="n"/>
      <c r="M17" s="44" t="n"/>
      <c r="N17" s="45" t="n">
        <v>1</v>
      </c>
      <c r="O17" s="46" t="n"/>
      <c r="P17" s="46" t="n"/>
      <c r="Q17" s="47" t="n"/>
      <c r="R17" s="39" t="n">
        <v>6</v>
      </c>
      <c r="S17" s="48" t="inlineStr">
        <is>
          <t>As a developer, I want typed helpers for the Redis keyspace, so that key naming cannot drift between services.</t>
        </is>
      </c>
      <c r="T17" s="48" t="inlineStr">
        <is>
          <t>1. Async Redis client with connection pooling and retry
2. Key builders for every pattern in LOW_LEVEL_ARCHITECTURE §4.3
3. Typed get/set for state hashes (Pydantic in, Pydantic out)
4. Distributed lock helper with mandatory TTL
5. Token bucket rate limiter
6. Sorted-set timer helper</t>
        </is>
      </c>
      <c r="U17" s="48" t="inlineStr">
        <is>
          <t>• Every key in the design doc has a builder function
• A lock without a TTL is impossible to create (TTL is a required arg)</t>
        </is>
      </c>
      <c r="V17" s="48" t="inlineStr">
        <is>
          <t>SPRINT 1 — Day 3. Independent of E01-S01, so it is the parallel track that makes the sprint fit; do not sequence it after the schema.
The lock helper signature IS the story: ttl_ms must be a REQUIRED argument with no default. A lock without a TTL survives the death of the process holding it and deadlocks slot allocation for the rest of the session. Making it mandatory means that failure cannot be introduced by omission. Acceptance: acquire_lock() without a TTL raises TypeError at the call site.</t>
        </is>
      </c>
      <c r="W17" s="49" t="n"/>
    </row>
    <row r="18" ht="30" customHeight="1" s="59">
      <c r="A18" s="38" t="inlineStr">
        <is>
          <t>E01-S04</t>
        </is>
      </c>
      <c r="B18" s="39" t="inlineStr">
        <is>
          <t>E01</t>
        </is>
      </c>
      <c r="C18" s="40" t="inlineStr">
        <is>
          <t>PERSISTENCE &amp; DATA LAYER</t>
        </is>
      </c>
      <c r="D18" s="40" t="inlineStr">
        <is>
          <t>Event stream abstraction</t>
        </is>
      </c>
      <c r="E18" s="40" t="inlineStr">
        <is>
          <t>Active</t>
        </is>
      </c>
      <c r="F18" s="41" t="inlineStr">
        <is>
          <t>P0</t>
        </is>
      </c>
      <c r="G18" s="39" t="inlineStr">
        <is>
          <t>1</t>
        </is>
      </c>
      <c r="H18" s="50" t="inlineStr">
        <is>
          <t>Correctness-critical</t>
        </is>
      </c>
      <c r="I18" s="39" t="inlineStr">
        <is>
          <t>INFRA</t>
        </is>
      </c>
      <c r="J18" s="43" t="n">
        <v>1.5</v>
      </c>
      <c r="K18" s="40" t="inlineStr">
        <is>
          <t>E01-S03</t>
        </is>
      </c>
      <c r="L18" s="40" t="n"/>
      <c r="M18" s="44" t="n"/>
      <c r="N18" s="45" t="n">
        <v>1</v>
      </c>
      <c r="O18" s="46" t="n"/>
      <c r="P18" s="46" t="n"/>
      <c r="Q18" s="47" t="n"/>
      <c r="R18" s="39" t="n">
        <v>6</v>
      </c>
      <c r="S18" s="48" t="inlineStr">
        <is>
          <t>As a developer, I want a typed wrapper over Redis Streams with consumer groups, so that no event is lost when a consumer restarts.</t>
        </is>
      </c>
      <c r="T18" s="48" t="inlineStr">
        <is>
          <t>1. `EventStream` publish/subscribe with Pydantic envelopes
2. Consumer group creation and management
3. Explicit acknowledgement
4. Pending-entry recovery on restart
5. Dead-letter handling after N failures
6. `schema_version` on every envelope</t>
        </is>
      </c>
      <c r="U18" s="48" t="inlineStr">
        <is>
          <t>• Kill a consumer mid-stream; on restart it processes the unacked backlog
• Messages published while a consumer is down are delivered on return</t>
        </is>
      </c>
      <c r="V18" s="48" t="inlineStr">
        <is>
          <t>SPRINT 1 — Day 5 (needs E01-S03).
CONFIRMED AGAINST OPS CONFIG: docker-compose runs redis-server with --maxmemory 2gb --maxmemory-policy noeviction. That makes the untrimmed-stream trap real rather than theoretical — an unbounded XADD will fill the 2GB ceiling and Redis will then REFUSE WRITES rather than evict. Therefore maxlen must be a required argument on EventStream.publish(), same pattern as the lock TTL in E01-S03. Acceptance: publish() without maxlen is a TypeError.
Second acceptance is the recovery integration test: publish 100, consume 50, kill the consumer, restart — the remaining 50 plus the unacked are processed, none lost, none duplicated beyond at-least-once.</t>
        </is>
      </c>
      <c r="W18" s="49" t="n"/>
    </row>
    <row r="19" ht="30" customHeight="1" s="59">
      <c r="A19" s="38" t="inlineStr">
        <is>
          <t>E01-S05</t>
        </is>
      </c>
      <c r="B19" s="39" t="inlineStr">
        <is>
          <t>E01</t>
        </is>
      </c>
      <c r="C19" s="40" t="inlineStr">
        <is>
          <t>PERSISTENCE &amp; DATA LAYER</t>
        </is>
      </c>
      <c r="D19" s="40" t="inlineStr">
        <is>
          <t>Audit log writer with hash chaining</t>
        </is>
      </c>
      <c r="E19" s="40" t="inlineStr">
        <is>
          <t>Moved to Backlog</t>
        </is>
      </c>
      <c r="F19" s="41" t="inlineStr">
        <is>
          <t>P0</t>
        </is>
      </c>
      <c r="G19" s="39" t="inlineStr">
        <is>
          <t>1</t>
        </is>
      </c>
      <c r="H19" s="51" t="inlineStr">
        <is>
          <t>Safety-critical</t>
        </is>
      </c>
      <c r="I19" s="39" t="inlineStr">
        <is>
          <t>SEC</t>
        </is>
      </c>
      <c r="J19" s="43" t="n">
        <v>1</v>
      </c>
      <c r="K19" s="40" t="inlineStr">
        <is>
          <t>E01-S01</t>
        </is>
      </c>
      <c r="L19" s="40" t="n"/>
      <c r="M19" s="44" t="n"/>
      <c r="N19" s="45" t="n">
        <v>2</v>
      </c>
      <c r="O19" s="46" t="n"/>
      <c r="P19" s="46" t="n"/>
      <c r="Q19" s="47" t="n"/>
      <c r="R19" s="39" t="n">
        <v>5</v>
      </c>
      <c r="S19" s="48" t="inlineStr">
        <is>
          <t>As an operator, I want every decision written to an append-only hash-chained log, so that tampering is detectable and I can substantiate any trade.</t>
        </is>
      </c>
      <c r="T19" s="48" t="inlineStr">
        <is>
          <t>1. `AuditWriter` — append-only, never updates
2. Hash chain: each row includes the previous row's hash
3. `correlation_id` on every entry
4. Chain verification utility
5. Buffer to disk if the DB is unavailable, replay on recovery</t>
        </is>
      </c>
      <c r="U19" s="48" t="inlineStr">
        <is>
          <t>• Modifying a historical row is detected by the verifier
• DB outage does not lose audit entries</t>
        </is>
      </c>
      <c r="V19" s="48" t="inlineStr">
        <is>
          <t>DEFERRED SPRINT 1 -&gt; SPRINT 2. This is the scope cut that makes Sprint 1 fit; see the Sprint Plan sheet for the capacity finding.
Why this story rather than compressing something else: it is the ONLY safety-critical (red) story in E01 and it carries the strictest Definition of Done — property-based test over generated event sequences, an explicit tamper test, an explicit DB-outage test, and a second read on a different day. Squeezing it into a Friday afternoon violates the working rule that a red story is never merged at the end of a session. Nothing in Sprint 2 depends on it, so the deferral costs nothing.
Still blocked on E01-S01 only. Pull into Sprint 2 at full 1-day estimate — do NOT compress it there either.</t>
        </is>
      </c>
      <c r="W19" s="49" t="n"/>
    </row>
    <row r="20" ht="30" customHeight="1" s="59">
      <c r="A20" s="38" t="inlineStr">
        <is>
          <t>E01-S06</t>
        </is>
      </c>
      <c r="B20" s="39" t="inlineStr">
        <is>
          <t>E01</t>
        </is>
      </c>
      <c r="C20" s="40" t="inlineStr">
        <is>
          <t>PERSISTENCE &amp; DATA LAYER</t>
        </is>
      </c>
      <c r="D20" s="40" t="inlineStr">
        <is>
          <t>Data retention and archival</t>
        </is>
      </c>
      <c r="E20" s="40" t="inlineStr">
        <is>
          <t>New</t>
        </is>
      </c>
      <c r="F20" s="52" t="inlineStr">
        <is>
          <t>P2</t>
        </is>
      </c>
      <c r="G20" s="39" t="inlineStr">
        <is>
          <t>6</t>
        </is>
      </c>
      <c r="H20" s="42" t="inlineStr">
        <is>
          <t>Low</t>
        </is>
      </c>
      <c r="I20" s="39" t="inlineStr">
        <is>
          <t>OPS</t>
        </is>
      </c>
      <c r="J20" s="43" t="n">
        <v>0.5</v>
      </c>
      <c r="K20" s="40" t="inlineStr">
        <is>
          <t>E01-S01</t>
        </is>
      </c>
      <c r="L20" s="40" t="n"/>
      <c r="M20" s="44" t="n"/>
      <c r="N20" s="45" t="n">
        <v>16</v>
      </c>
      <c r="O20" s="46" t="n"/>
      <c r="P20" s="46" t="n"/>
      <c r="Q20" s="47" t="n"/>
      <c r="R20" s="39" t="n">
        <v>3</v>
      </c>
      <c r="S20" s="48" t="inlineStr">
        <is>
          <t>As an operator, I want old tick data archived to Parquet, so that the database stays small without losing replay capability.</t>
        </is>
      </c>
      <c r="T20" s="48" t="inlineStr">
        <is>
          <t>1. Nightly job: ticks older than 24h → Parquet
2. Compression policy verification
3. Restore-from-archive utility</t>
        </is>
      </c>
      <c r="U20" s="48" t="n"/>
      <c r="V20" s="48" t="inlineStr">
        <is>
          <t>NOT SPRINT 1 — and correctly so. This sits inside E01 but is P2 / Phase 6, so it was never Sprint 1 work despite Sprint 1 originally being scoped as 'all of E01'. Leaving it New rather than marking it deferred, because it was never scheduled.
Pull it in when tick archival is actually needed by the replay harness (E22-S03, Sprint 16). Provisionally placed there.</t>
        </is>
      </c>
      <c r="W20" s="49" t="n"/>
    </row>
    <row r="21" ht="30" customHeight="1" s="59">
      <c r="A21" s="38" t="inlineStr">
        <is>
          <t>E01-S07</t>
        </is>
      </c>
      <c r="B21" s="39" t="inlineStr">
        <is>
          <t>E01</t>
        </is>
      </c>
      <c r="C21" s="40" t="inlineStr">
        <is>
          <t>PERSISTENCE &amp; DATA LAYER</t>
        </is>
      </c>
      <c r="D21" s="40" t="inlineStr">
        <is>
          <t>Datastore scaffolding and Alembic bootstrap</t>
        </is>
      </c>
      <c r="E21" s="40" t="inlineStr">
        <is>
          <t>Closed</t>
        </is>
      </c>
      <c r="F21" s="52" t="inlineStr">
        <is>
          <t>P0</t>
        </is>
      </c>
      <c r="G21" s="39" t="inlineStr">
        <is>
          <t>1</t>
        </is>
      </c>
      <c r="H21" s="42" t="inlineStr">
        <is>
          <t>Correctness-critical</t>
        </is>
      </c>
      <c r="I21" s="39" t="inlineStr">
        <is>
          <t>INFRA</t>
        </is>
      </c>
      <c r="J21" s="43" t="n">
        <v>1</v>
      </c>
      <c r="K21" s="40" t="inlineStr">
        <is>
          <t>none</t>
        </is>
      </c>
      <c r="L21" s="40" t="inlineStr">
        <is>
          <t>None</t>
        </is>
      </c>
      <c r="M21" s="44" t="inlineStr">
        <is>
          <t>None</t>
        </is>
      </c>
      <c r="N21" s="45" t="n">
        <v>1</v>
      </c>
      <c r="O21" s="46" t="inlineStr">
        <is>
          <t>None</t>
        </is>
      </c>
      <c r="P21" s="46" t="inlineStr">
        <is>
          <t>None</t>
        </is>
      </c>
      <c r="Q21" s="47" t="n">
        <v>100</v>
      </c>
      <c r="R21" s="39" t="n">
        <v>6</v>
      </c>
      <c r="S21" s="48" t="inlineStr">
        <is>
          <t>As a developer, I want the database/Redis configuration, the Alembic environment and the container test fixtures to exist, so that E01-S01 can start writing migrations instead of first building the ground they run on.</t>
        </is>
      </c>
      <c r="T21" s="48" t="inlineStr">
        <is>
          <t>1. DatabaseConfig + RedisConfig in common/config.py; database:/redis: sections in system.yaml
2. alembic.ini + migrations/env.py wired to load_config(), with the TimescaleDB chunk filter on autogenerate
3. common/db/base.py — DeclarativeBase + constraint naming convention
4. common/db/eventloop.py — Windows ProactorEventLoop fix for async psycopg
5. .env.example credential split; docker-compose DATABASE_URL/REDIS_URL injection; Makefile --env-file fix
6. tests/conftest.py container fixtures + 6 scaffold integration tests</t>
        </is>
      </c>
      <c r="U21" s="48" t="inlineStr">
        <is>
          <t>• `alembic upgrade head` runs (and fails with a helpful message when no password is configured)
• Container fixtures start TimescaleDB + Redis and SKIP rather than fail when Docker is down
• `doctor` reports which datastore config source is in effect
• Test container image is read from docker-compose so it cannot drift
• Full suite green</t>
        </is>
      </c>
      <c r="V21" s="48" t="inlineStr">
        <is>
          <t>CLOSED — completed 7 Aug 2026, ahead of E01-S01.
Added retrospectively: this work was NOT in the backlog, but E01-S01 task 1 assumed all of it existed. Recording it so the 2-day E01-S01 estimate is not silently carrying another day of work.
FOUR BLOCKERS FOUND BY EXECUTION, each of which would have stopped E01-S01 on day one:
  1. async psycopg refuses Windows' default ProactorEventLoop — `make migrate` failed outright with InterfaceError. Invisible on Linux/macOS, so CI would never have caught it.
  2. `make up` never passed compose an --env-file, so it failed even with a correct .env.
  3. GRAFANA_PASSWORD required by compose but missing from .env.example.
  4. `make` is not installed on this machine at all.
Result: 118 tests passing (112 + 6 new). See Code/SETUP.md.</t>
        </is>
      </c>
      <c r="W21" s="49" t="inlineStr">
        <is>
          <t>Verified empirically rather than from docs:
• TimescaleDB 2.17.2 has add_compression_policy only; 2.29.1 has BOTH that and add_columnstore_policy — so the pin upgrade is backward compatible. Registry says 2.29.1 is current (a web source claiming 2.20.2 was stale).
• TA-Lib resolved to a prebuilt Windows wheel (0.7.1) — NOT the install blocker it appeared to be.
• testcontainers: .postgres/.redis import paths are deprecated (use .community.*), and PostgresContainer defaults to driver='psycopg2' which this project does not install.</t>
        </is>
      </c>
    </row>
    <row r="22" ht="30" customHeight="1" s="59">
      <c r="A22" s="38" t="inlineStr">
        <is>
          <t>E01-S08</t>
        </is>
      </c>
      <c r="B22" s="39" t="inlineStr">
        <is>
          <t>E01</t>
        </is>
      </c>
      <c r="C22" s="40" t="inlineStr">
        <is>
          <t>PERSISTENCE &amp; DATA LAYER</t>
        </is>
      </c>
      <c r="D22" s="40" t="inlineStr">
        <is>
          <t>Clear lint debt so `make check` can gate merges</t>
        </is>
      </c>
      <c r="E22" s="40" t="inlineStr">
        <is>
          <t>Closed</t>
        </is>
      </c>
      <c r="F22" s="52" t="inlineStr">
        <is>
          <t>P1</t>
        </is>
      </c>
      <c r="G22" s="39" t="inlineStr">
        <is>
          <t>1</t>
        </is>
      </c>
      <c r="H22" s="42" t="inlineStr">
        <is>
          <t>Low</t>
        </is>
      </c>
      <c r="I22" s="39" t="inlineStr">
        <is>
          <t>INFRA</t>
        </is>
      </c>
      <c r="J22" s="43" t="n">
        <v>0.5</v>
      </c>
      <c r="K22" s="40" t="inlineStr">
        <is>
          <t>none</t>
        </is>
      </c>
      <c r="L22" s="40" t="inlineStr">
        <is>
          <t>None</t>
        </is>
      </c>
      <c r="M22" s="44" t="inlineStr">
        <is>
          <t>None</t>
        </is>
      </c>
      <c r="N22" s="45" t="n">
        <v>1</v>
      </c>
      <c r="O22" s="46" t="inlineStr">
        <is>
          <t>None</t>
        </is>
      </c>
      <c r="P22" s="46" t="inlineStr">
        <is>
          <t>None</t>
        </is>
      </c>
      <c r="Q22" s="47" t="n">
        <v>100</v>
      </c>
      <c r="R22" s="39" t="n">
        <v>4</v>
      </c>
      <c r="S22" s="48" t="inlineStr">
        <is>
          <t>As a developer, I want `make check` to exit 0 on a clean tree, so that it can be used as a merge gate for E01 instead of being a command everyone knows is already red.</t>
        </is>
      </c>
      <c r="T22" s="48" t="inlineStr">
        <is>
          <t>1. `ruff check --fix .` — clears 14 of 30 automatically
2. `ruff format .`
3. Fix the remainder by hand: line length, ambiguous Unicode in docstrings, unused noqa directives, one assert_raises_exception, one hardcoded-password-string (test fixture — confirm it is a false positive before silencing)
4. Confirm `make check` exits 0, then treat any future failure as a genuine regression</t>
        </is>
      </c>
      <c r="U22" s="48" t="inlineStr">
        <is>
          <t>• `ruff check .` reports no errors
• `ruff format --check .` reports no changes needed
• `make check` (lint + types + tests) exits 0
• No test is deleted or skipped to achieve the above</t>
        </is>
      </c>
      <c r="V22" s="48" t="inlineStr">
        <is>
          <t>CLOSED 7 Aug 2026. `make check` (lint + types + tests) now exits 0 — the merge gate works.
Was 28 ruff errors + 1 mypy error. Auto-fix cleared 12; the rest were fixed individually: an S105 false positive on an auth-method NAME, RUF012 needing ClassVar, RUF043 needing a raw regex, B017 blind pytest.raises(Exception) narrowed to ValidationError, __all__ sorted, one stale type: ignore removed.
CONFIG DECISION: RUF001/002/003 confusables are configured via allowed-confusables rather than mangled. En dashes, ≤/≥ and ₹ are deliberate typography throughout the docs; rewriting them to ASCII would make the documentation worse. Anything NOT on the allowlist is still flagged, so a Cyrillic homoglyph in an identifier is still caught.
Done FIRST rather than last (the story originally said 'before E01-S01 merges'): a green gate from day one benefits every story after it.</t>
        </is>
      </c>
      <c r="W22" s="49" t="inlineStr">
        <is>
          <t>Sequence before E01-S01 merges, not before it starts — the two are independent and this one needs no design decisions. Half a day is generous; most of it is one command.</t>
        </is>
      </c>
    </row>
    <row r="23" ht="30" customHeight="1" s="59">
      <c r="A23" s="38" t="inlineStr">
        <is>
          <t>E02-S01</t>
        </is>
      </c>
      <c r="B23" s="39" t="inlineStr">
        <is>
          <t>E02</t>
        </is>
      </c>
      <c r="C23" s="40" t="inlineStr">
        <is>
          <t>BROKER INTEGRATION</t>
        </is>
      </c>
      <c r="D23" s="40" t="inlineStr">
        <is>
          <t>Kite Connect authentication — redirect flow</t>
        </is>
      </c>
      <c r="E23" s="40" t="inlineStr">
        <is>
          <t>New</t>
        </is>
      </c>
      <c r="F23" s="41" t="inlineStr">
        <is>
          <t>P0</t>
        </is>
      </c>
      <c r="G23" s="39" t="inlineStr">
        <is>
          <t>1</t>
        </is>
      </c>
      <c r="H23" s="51" t="inlineStr">
        <is>
          <t>Safety-critical</t>
        </is>
      </c>
      <c r="I23" s="39" t="inlineStr">
        <is>
          <t>SEC</t>
        </is>
      </c>
      <c r="J23" s="43" t="n">
        <v>2</v>
      </c>
      <c r="K23" s="40" t="inlineStr">
        <is>
          <t>none</t>
        </is>
      </c>
      <c r="L23" s="40" t="n"/>
      <c r="M23" s="44" t="n"/>
      <c r="N23" s="45" t="n"/>
      <c r="O23" s="46" t="n"/>
      <c r="P23" s="46" t="n"/>
      <c r="Q23" s="47" t="n"/>
      <c r="R23" s="39" t="n">
        <v>7</v>
      </c>
      <c r="S23" s="48" t="inlineStr">
        <is>
          <t>As a trader, I want the daily Zerodha login to complete through a link I tap on my phone, so that the system has a valid session before pre-open without me sitting at a laptop.</t>
        </is>
      </c>
      <c r="T23" s="48" t="inlineStr">
        <is>
          <t>1. Generate the Kite login URL with `api_key`
2. Local callback endpoint receiving `request_token`
3. Exchange `request_token` + `api_secret` → `access_token`
4. Store token as `SecretString` in Redis with TTL to next pre-open
5. Send the login link via Telegram at the configured time
6. Confirm success back to Telegram
7. Alert loudly on failure — this blocks the trading day</t>
        </is>
      </c>
      <c r="U23" s="48" t="inlineStr">
        <is>
          <t>• Full flow completes from a phone in under 60 seconds
• Token never appears in any log
• Expired token is detected before the pre-market job starts</t>
        </is>
      </c>
      <c r="V23" s="48" t="n"/>
      <c r="W23" s="49" t="n"/>
    </row>
    <row r="24" ht="30" customHeight="1" s="59">
      <c r="A24" s="38" t="inlineStr">
        <is>
          <t>E02-S02</t>
        </is>
      </c>
      <c r="B24" s="39" t="inlineStr">
        <is>
          <t>E02</t>
        </is>
      </c>
      <c r="C24" s="40" t="inlineStr">
        <is>
          <t>BROKER INTEGRATION</t>
        </is>
      </c>
      <c r="D24" s="40" t="inlineStr">
        <is>
          <t>Session lifecycle and daily re-auth scheduling</t>
        </is>
      </c>
      <c r="E24" s="40" t="inlineStr">
        <is>
          <t>New</t>
        </is>
      </c>
      <c r="F24" s="41" t="inlineStr">
        <is>
          <t>P0</t>
        </is>
      </c>
      <c r="G24" s="39" t="inlineStr">
        <is>
          <t>1</t>
        </is>
      </c>
      <c r="H24" s="51" t="inlineStr">
        <is>
          <t>Safety-critical</t>
        </is>
      </c>
      <c r="I24" s="39" t="inlineStr">
        <is>
          <t>SEC</t>
        </is>
      </c>
      <c r="J24" s="43" t="n">
        <v>1</v>
      </c>
      <c r="K24" s="40" t="inlineStr">
        <is>
          <t>E02-S01</t>
        </is>
      </c>
      <c r="L24" s="40" t="n"/>
      <c r="M24" s="44" t="n"/>
      <c r="N24" s="45" t="n"/>
      <c r="O24" s="46" t="n"/>
      <c r="P24" s="46" t="n"/>
      <c r="Q24" s="47" t="n"/>
      <c r="R24" s="39" t="n">
        <v>5</v>
      </c>
      <c r="S24" s="48" t="inlineStr">
        <is>
          <t>As a compliance-conscious operator, I want sessions to expire and re-establish daily, so that the SEBI auto-logout requirement is met by design.</t>
        </is>
      </c>
      <c r="T24" s="48" t="inlineStr">
        <is>
          <t>1. Scheduled trigger at `broker.auth.daily_reauth_time`
2. Session validity check before every trading-day transition
3. Retry with backoff ×3, then halt the day
4. `auth.refreshed` / `auth.failed` events
5. Health gate integration — no valid session means no trading</t>
        </is>
      </c>
      <c r="U24" s="48" t="inlineStr">
        <is>
          <t>• 20 consecutive sessions authenticate successfully
• A failed auth prevents the session reaching `TRADING`</t>
        </is>
      </c>
      <c r="V24" s="48" t="n"/>
      <c r="W24" s="49" t="n"/>
    </row>
    <row r="25" ht="30" customHeight="1" s="59">
      <c r="A25" s="38" t="inlineStr">
        <is>
          <t>E02-S03</t>
        </is>
      </c>
      <c r="B25" s="39" t="inlineStr">
        <is>
          <t>E02</t>
        </is>
      </c>
      <c r="C25" s="40" t="inlineStr">
        <is>
          <t>BROKER INTEGRATION</t>
        </is>
      </c>
      <c r="D25" s="40" t="inlineStr">
        <is>
          <t>Read-only market data adapter</t>
        </is>
      </c>
      <c r="E25" s="40" t="inlineStr">
        <is>
          <t>New</t>
        </is>
      </c>
      <c r="F25" s="41" t="inlineStr">
        <is>
          <t>P0</t>
        </is>
      </c>
      <c r="G25" s="39" t="inlineStr">
        <is>
          <t>1</t>
        </is>
      </c>
      <c r="H25" s="50" t="inlineStr">
        <is>
          <t>Correctness-critical</t>
        </is>
      </c>
      <c r="I25" s="39" t="inlineStr">
        <is>
          <t>FEAT</t>
        </is>
      </c>
      <c r="J25" s="43" t="n">
        <v>1.5</v>
      </c>
      <c r="K25" s="40" t="inlineStr">
        <is>
          <t>E02-S01</t>
        </is>
      </c>
      <c r="L25" s="40" t="n"/>
      <c r="M25" s="44" t="n"/>
      <c r="N25" s="45" t="n"/>
      <c r="O25" s="46" t="n"/>
      <c r="P25" s="46" t="n"/>
      <c r="Q25" s="47" t="n"/>
      <c r="R25" s="39" t="n">
        <v>4</v>
      </c>
      <c r="S25" s="48" t="inlineStr">
        <is>
          <t>As a developer, I want a read-only Kite adapter, so that data services physically cannot place orders.</t>
        </is>
      </c>
      <c r="T25" s="48" t="inlineStr">
        <is>
          <t>1. Implement `MarketDataAdapter` for Kite
2. `fetch_instruments`, `fetch_historical`, quote endpoints
3. Apply `ReadOnlyGuard` so trading methods raise
4. Map Kite errors to the adapter's error taxonomy</t>
        </is>
      </c>
      <c r="U25" s="48" t="inlineStr">
        <is>
          <t>• Calling `place_order` on this adapter raises `PermissionError`
• Data endpoints work from a non-whitelisted IP (verifying the order-only scope)</t>
        </is>
      </c>
      <c r="V25" s="48" t="n"/>
      <c r="W25" s="49" t="n"/>
    </row>
    <row r="26" ht="30" customHeight="1" s="59">
      <c r="A26" s="38" t="inlineStr">
        <is>
          <t>E02-S04</t>
        </is>
      </c>
      <c r="B26" s="39" t="inlineStr">
        <is>
          <t>E02</t>
        </is>
      </c>
      <c r="C26" s="40" t="inlineStr">
        <is>
          <t>BROKER INTEGRATION</t>
        </is>
      </c>
      <c r="D26" s="40" t="inlineStr">
        <is>
          <t>Trading adapter with market protection</t>
        </is>
      </c>
      <c r="E26" s="40" t="inlineStr">
        <is>
          <t>New</t>
        </is>
      </c>
      <c r="F26" s="41" t="inlineStr">
        <is>
          <t>P0</t>
        </is>
      </c>
      <c r="G26" s="39" t="inlineStr">
        <is>
          <t>5</t>
        </is>
      </c>
      <c r="H26" s="51" t="inlineStr">
        <is>
          <t>Safety-critical</t>
        </is>
      </c>
      <c r="I26" s="39" t="inlineStr">
        <is>
          <t>FEAT</t>
        </is>
      </c>
      <c r="J26" s="43" t="n">
        <v>2</v>
      </c>
      <c r="K26" s="40" t="inlineStr">
        <is>
          <t>E02-S03, E14-S01</t>
        </is>
      </c>
      <c r="L26" s="40" t="n"/>
      <c r="M26" s="44" t="n"/>
      <c r="N26" s="45" t="n"/>
      <c r="O26" s="46" t="n"/>
      <c r="P26" s="46" t="n"/>
      <c r="Q26" s="47" t="n"/>
      <c r="R26" s="39" t="n">
        <v>7</v>
      </c>
      <c r="S26" s="48" t="inlineStr">
        <is>
          <t>As a trader, I want orders placed correctly with market protection attached, so that MARKET and SL-M orders are not rejected by the broker.</t>
        </is>
      </c>
      <c r="T26" s="48" t="inlineStr">
        <is>
          <t>1. Implement `TradingAdapter` for Kite
2. Attach `market_protection` on MARKET/SL-M
3. Attach Algo-ID per the confirmed mechanic (blocked on B1)
4. `place_order`, `modify_order`, `cancel_order`
5. `fetch_orderbook`, `fetch_positions`, `find_by_client_order_id`
6. Map broker errors → `OrderRejectedError` / `AmbiguousOrderError` / `RateLimitError`
7. Verify installed SDK exposes `market_protection`, fail startup if not</t>
        </is>
      </c>
      <c r="U26" s="48" t="inlineStr">
        <is>
          <t>• A MARKET order without protection is impossible to construct
• A timeout raises `AmbiguousOrderError`, never a silent retry</t>
        </is>
      </c>
      <c r="V26" s="48" t="n"/>
      <c r="W26" s="49" t="n"/>
    </row>
    <row r="27" ht="30" customHeight="1" s="59">
      <c r="A27" s="38" t="inlineStr">
        <is>
          <t>E02-S05</t>
        </is>
      </c>
      <c r="B27" s="39" t="inlineStr">
        <is>
          <t>E02</t>
        </is>
      </c>
      <c r="C27" s="40" t="inlineStr">
        <is>
          <t>BROKER INTEGRATION</t>
        </is>
      </c>
      <c r="D27" s="40" t="inlineStr">
        <is>
          <t>Order rate limiting</t>
        </is>
      </c>
      <c r="E27" s="40" t="inlineStr">
        <is>
          <t>New</t>
        </is>
      </c>
      <c r="F27" s="41" t="inlineStr">
        <is>
          <t>P0</t>
        </is>
      </c>
      <c r="G27" s="39" t="inlineStr">
        <is>
          <t>5</t>
        </is>
      </c>
      <c r="H27" s="51" t="inlineStr">
        <is>
          <t>Safety-critical</t>
        </is>
      </c>
      <c r="I27" s="39" t="inlineStr">
        <is>
          <t>SEC</t>
        </is>
      </c>
      <c r="J27" s="43" t="n">
        <v>1</v>
      </c>
      <c r="K27" s="40" t="inlineStr">
        <is>
          <t>E01-S03, E02-S04</t>
        </is>
      </c>
      <c r="L27" s="40" t="n"/>
      <c r="M27" s="44" t="n"/>
      <c r="N27" s="45" t="n"/>
      <c r="O27" s="46" t="n"/>
      <c r="P27" s="46" t="n"/>
      <c r="Q27" s="47" t="n"/>
      <c r="R27" s="39" t="n">
        <v>5</v>
      </c>
      <c r="S27" s="48" t="inlineStr">
        <is>
          <t>As a compliance-conscious operator, I want the order rate capped in the adapter, so that no caller can breach the limit regardless of its behaviour.</t>
        </is>
      </c>
      <c r="T27" s="48" t="inlineStr">
        <is>
          <t>1. Redis token bucket wrapping `place_order`
2. Separate bucket for data endpoints
3. Backpressure: queue with depth limit
4. Reject new signals rather than delay orders unboundedly
5. `orders_rate_limited_total` metric</t>
        </is>
      </c>
      <c r="U27" s="48" t="inlineStr">
        <is>
          <t>• A deliberate flood of 100 orders/sec results in ≤ 3/sec reaching the broker
• Queue depth beyond threshold rejects rather than buffers</t>
        </is>
      </c>
      <c r="V27" s="48" t="n"/>
      <c r="W27" s="49" t="n"/>
    </row>
    <row r="28" ht="30" customHeight="1" s="59">
      <c r="A28" s="38" t="inlineStr">
        <is>
          <t>E02-S06</t>
        </is>
      </c>
      <c r="B28" s="39" t="inlineStr">
        <is>
          <t>E02</t>
        </is>
      </c>
      <c r="C28" s="40" t="inlineStr">
        <is>
          <t>BROKER INTEGRATION</t>
        </is>
      </c>
      <c r="D28" s="40" t="inlineStr">
        <is>
          <t>Instrument master synchronisation</t>
        </is>
      </c>
      <c r="E28" s="40" t="inlineStr">
        <is>
          <t>New</t>
        </is>
      </c>
      <c r="F28" s="41" t="inlineStr">
        <is>
          <t>P0</t>
        </is>
      </c>
      <c r="G28" s="39" t="inlineStr">
        <is>
          <t>1</t>
        </is>
      </c>
      <c r="H28" s="50" t="inlineStr">
        <is>
          <t>Correctness-critical</t>
        </is>
      </c>
      <c r="I28" s="39" t="inlineStr">
        <is>
          <t>FEAT</t>
        </is>
      </c>
      <c r="J28" s="43" t="n">
        <v>1</v>
      </c>
      <c r="K28" s="40" t="inlineStr">
        <is>
          <t>E01-S02, E02-S03</t>
        </is>
      </c>
      <c r="L28" s="40" t="n"/>
      <c r="M28" s="44" t="n"/>
      <c r="N28" s="45" t="n"/>
      <c r="O28" s="46" t="n"/>
      <c r="P28" s="46" t="n"/>
      <c r="Q28" s="47" t="n"/>
      <c r="R28" s="39" t="n">
        <v>4</v>
      </c>
      <c r="S28" s="48" t="inlineStr">
        <is>
          <t>As a system, I need the current instrument master, so that symbols map to broker tokens, lot sizes and tick sizes correctly.</t>
        </is>
      </c>
      <c r="T28" s="48" t="inlineStr">
        <is>
          <t>1. Daily fetch of the instrument dump
2. Upsert into `instruments`
3. Detect and log symbol changes, delistings, new listings
4. Tick-size rounding helper verified against real instruments</t>
        </is>
      </c>
      <c r="U28" s="48" t="inlineStr">
        <is>
          <t>• A limit price is always snapped to a valid tick before submission</t>
        </is>
      </c>
      <c r="V28" s="48" t="n"/>
      <c r="W28" s="49" t="n"/>
    </row>
    <row r="29" ht="30" customHeight="1" s="59">
      <c r="A29" s="38" t="inlineStr">
        <is>
          <t>E02-S07</t>
        </is>
      </c>
      <c r="B29" s="39" t="inlineStr">
        <is>
          <t>E02</t>
        </is>
      </c>
      <c r="C29" s="40" t="inlineStr">
        <is>
          <t>BROKER INTEGRATION</t>
        </is>
      </c>
      <c r="D29" s="40" t="inlineStr">
        <is>
          <t>Live margin retrieval</t>
        </is>
      </c>
      <c r="E29" s="40" t="inlineStr">
        <is>
          <t>New</t>
        </is>
      </c>
      <c r="F29" s="41" t="inlineStr">
        <is>
          <t>P0</t>
        </is>
      </c>
      <c r="G29" s="39" t="inlineStr">
        <is>
          <t>5</t>
        </is>
      </c>
      <c r="H29" s="51" t="inlineStr">
        <is>
          <t>Safety-critical</t>
        </is>
      </c>
      <c r="I29" s="39" t="inlineStr">
        <is>
          <t>FEAT</t>
        </is>
      </c>
      <c r="J29" s="43" t="n">
        <v>0.5</v>
      </c>
      <c r="K29" s="40" t="inlineStr">
        <is>
          <t>E02-S04</t>
        </is>
      </c>
      <c r="L29" s="40" t="n"/>
      <c r="M29" s="44" t="n"/>
      <c r="N29" s="45" t="n"/>
      <c r="O29" s="46" t="n"/>
      <c r="P29" s="46" t="n"/>
      <c r="Q29" s="47" t="n"/>
      <c r="R29" s="39" t="n">
        <v>3</v>
      </c>
      <c r="S29" s="48" t="inlineStr">
        <is>
          <t>As a risk engine, I need real available margin from the broker, so that sizing never assumes leverage that SEBI peak-margin rules do not permit.</t>
        </is>
      </c>
      <c r="T29" s="48" t="inlineStr">
        <is>
          <t>1. `fetch_margins` returning `MarginSnapshot`
2. Cache with a short TTL (margin moves during the session)
3. Staleness guard — reject sizing on stale margin data</t>
        </is>
      </c>
      <c r="U29" s="48" t="inlineStr">
        <is>
          <t>• Sizing uses live margin, never a computed leverage multiple</t>
        </is>
      </c>
      <c r="V29" s="48" t="n"/>
      <c r="W29" s="49" t="n"/>
    </row>
    <row r="30" ht="30" customHeight="1" s="59">
      <c r="A30" s="38" t="inlineStr">
        <is>
          <t>E02-S08</t>
        </is>
      </c>
      <c r="B30" s="39" t="inlineStr">
        <is>
          <t>E02</t>
        </is>
      </c>
      <c r="C30" s="40" t="inlineStr">
        <is>
          <t>BROKER INTEGRATION</t>
        </is>
      </c>
      <c r="D30" s="40" t="inlineStr">
        <is>
          <t>Fallback broker adapter (Fyers)</t>
        </is>
      </c>
      <c r="E30" s="40" t="inlineStr">
        <is>
          <t>New</t>
        </is>
      </c>
      <c r="F30" s="52" t="inlineStr">
        <is>
          <t>P2</t>
        </is>
      </c>
      <c r="G30" s="39" t="inlineStr">
        <is>
          <t>2</t>
        </is>
      </c>
      <c r="H30" s="42" t="inlineStr">
        <is>
          <t>Low</t>
        </is>
      </c>
      <c r="I30" s="39" t="inlineStr">
        <is>
          <t>FEAT</t>
        </is>
      </c>
      <c r="J30" s="43" t="n">
        <v>2</v>
      </c>
      <c r="K30" s="40" t="inlineStr">
        <is>
          <t>E02-S03</t>
        </is>
      </c>
      <c r="L30" s="40" t="n"/>
      <c r="M30" s="44" t="n"/>
      <c r="N30" s="45" t="n"/>
      <c r="O30" s="46" t="n"/>
      <c r="P30" s="46" t="n"/>
      <c r="Q30" s="47" t="n"/>
      <c r="R30" s="39" t="n">
        <v>3</v>
      </c>
      <c r="S30" s="48" t="inlineStr">
        <is>
          <t>As an operator, I want a second data source, so that a Zerodha WebSocket outage at the open does not blind the system.</t>
        </is>
      </c>
      <c r="T30" s="48" t="inlineStr">
        <is>
          <t>1. Fyers auth and read-only adapter
2. Failover logic on primary feed staleness
3. Cross-source price divergence detection</t>
        </is>
      </c>
      <c r="U30" s="48" t="n"/>
      <c r="V30" s="48" t="n"/>
      <c r="W30" s="49" t="n"/>
    </row>
    <row r="31" ht="30" customHeight="1" s="59">
      <c r="A31" s="38" t="inlineStr">
        <is>
          <t>E02-S09</t>
        </is>
      </c>
      <c r="B31" s="39" t="inlineStr">
        <is>
          <t>E02</t>
        </is>
      </c>
      <c r="C31" s="40" t="inlineStr">
        <is>
          <t>BROKER INTEGRATION</t>
        </is>
      </c>
      <c r="D31" s="40" t="inlineStr">
        <is>
          <t>Broker error taxonomy handling</t>
        </is>
      </c>
      <c r="E31" s="40" t="inlineStr">
        <is>
          <t>New</t>
        </is>
      </c>
      <c r="F31" s="41" t="inlineStr">
        <is>
          <t>P0</t>
        </is>
      </c>
      <c r="G31" s="39" t="inlineStr">
        <is>
          <t>5</t>
        </is>
      </c>
      <c r="H31" s="51" t="inlineStr">
        <is>
          <t>Safety-critical</t>
        </is>
      </c>
      <c r="I31" s="39" t="inlineStr">
        <is>
          <t>FEAT</t>
        </is>
      </c>
      <c r="J31" s="43" t="n">
        <v>1</v>
      </c>
      <c r="K31" s="40" t="inlineStr">
        <is>
          <t>E02-S04</t>
        </is>
      </c>
      <c r="L31" s="40" t="n"/>
      <c r="M31" s="44" t="n"/>
      <c r="N31" s="45" t="n"/>
      <c r="O31" s="46" t="n"/>
      <c r="P31" s="46" t="n"/>
      <c r="Q31" s="47" t="n"/>
      <c r="R31" s="39" t="n">
        <v>5</v>
      </c>
      <c r="S31" s="48" t="inlineStr">
        <is>
          <t>As a system, I want every broker failure classified correctly, so that an ambiguous outcome never results in a duplicate order.</t>
        </is>
      </c>
      <c r="T31" s="48" t="inlineStr">
        <is>
          <t>1. Map every Kite error code to the taxonomy
2. `AmbiguousOrderError` → query-by-`client_order_id` recovery path
3. Never retry on `OrderRejectedError`
4. Exponential backoff on `RateLimitError`
5. Log every unmapped error code loudly for triage</t>
        </is>
      </c>
      <c r="U31" s="48" t="inlineStr">
        <is>
          <t>• Simulated timeout + reconnect produces exactly one position (chaos test)</t>
        </is>
      </c>
      <c r="V31" s="48" t="n"/>
      <c r="W31" s="49" t="n"/>
    </row>
    <row r="32" ht="30" customHeight="1" s="59">
      <c r="A32" s="38" t="inlineStr">
        <is>
          <t>E03-S01</t>
        </is>
      </c>
      <c r="B32" s="39" t="inlineStr">
        <is>
          <t>E03</t>
        </is>
      </c>
      <c r="C32" s="40" t="inlineStr">
        <is>
          <t>HISTORICAL DATA</t>
        </is>
      </c>
      <c r="D32" s="40" t="inlineStr">
        <is>
          <t>NSE bhavcopy fetcher and archiver</t>
        </is>
      </c>
      <c r="E32" s="40" t="inlineStr">
        <is>
          <t>New</t>
        </is>
      </c>
      <c r="F32" s="41" t="inlineStr">
        <is>
          <t>P0</t>
        </is>
      </c>
      <c r="G32" s="39" t="inlineStr">
        <is>
          <t>1</t>
        </is>
      </c>
      <c r="H32" s="50" t="inlineStr">
        <is>
          <t>Correctness-critical</t>
        </is>
      </c>
      <c r="I32" s="39" t="inlineStr">
        <is>
          <t>FEAT</t>
        </is>
      </c>
      <c r="J32" s="43" t="n">
        <v>1.5</v>
      </c>
      <c r="K32" s="40" t="inlineStr">
        <is>
          <t>E01-S02</t>
        </is>
      </c>
      <c r="L32" s="40" t="n"/>
      <c r="M32" s="44" t="n"/>
      <c r="N32" s="45" t="n"/>
      <c r="O32" s="46" t="n"/>
      <c r="P32" s="46" t="n"/>
      <c r="Q32" s="47" t="n"/>
      <c r="R32" s="39" t="n">
        <v>6</v>
      </c>
      <c r="S32" s="48" t="inlineStr">
        <is>
          <t>As a system, I need daily EOD data stored locally, so that pre-market analysis does not depend on a rate-limited API every morning.</t>
        </is>
      </c>
      <c r="T32" s="48" t="inlineStr">
        <is>
          <t>1. Download bhavcopy for a given date
2. Parse and normalise to the `Bar` model
3. Idempotent upsert (re-running a date is safe)
4. Backfill utility for a date range
5. Handle holidays and missing files gracefully
6. Schedule at 05:30</t>
        </is>
      </c>
      <c r="U32" s="48" t="inlineStr">
        <is>
          <t>• Backfilling 2 years completes and is re-runnable without duplicates</t>
        </is>
      </c>
      <c r="V32" s="48" t="n"/>
      <c r="W32" s="49" t="n"/>
    </row>
    <row r="33" ht="30" customHeight="1" s="59">
      <c r="A33" s="38" t="inlineStr">
        <is>
          <t>E03-S02</t>
        </is>
      </c>
      <c r="B33" s="39" t="inlineStr">
        <is>
          <t>E03</t>
        </is>
      </c>
      <c r="C33" s="40" t="inlineStr">
        <is>
          <t>HISTORICAL DATA</t>
        </is>
      </c>
      <c r="D33" s="40" t="inlineStr">
        <is>
          <t>Corporate action adjustment</t>
        </is>
      </c>
      <c r="E33" s="40" t="inlineStr">
        <is>
          <t>New</t>
        </is>
      </c>
      <c r="F33" s="41" t="inlineStr">
        <is>
          <t>P0</t>
        </is>
      </c>
      <c r="G33" s="39" t="inlineStr">
        <is>
          <t>1</t>
        </is>
      </c>
      <c r="H33" s="51" t="inlineStr">
        <is>
          <t>Safety-critical</t>
        </is>
      </c>
      <c r="I33" s="39" t="inlineStr">
        <is>
          <t>FEAT</t>
        </is>
      </c>
      <c r="J33" s="43" t="n">
        <v>2</v>
      </c>
      <c r="K33" s="40" t="inlineStr">
        <is>
          <t>E03-S01</t>
        </is>
      </c>
      <c r="L33" s="40" t="n"/>
      <c r="M33" s="44" t="n"/>
      <c r="N33" s="45" t="n"/>
      <c r="O33" s="46" t="n"/>
      <c r="P33" s="46" t="n"/>
      <c r="Q33" s="47" t="n"/>
      <c r="R33" s="39" t="n">
        <v>5</v>
      </c>
      <c r="S33" s="48" t="inlineStr">
        <is>
          <t>As an analyst, I want historical prices adjusted for splits and bonuses, so that moving averages do not show phantom breakouts.</t>
        </is>
      </c>
      <c r="T33" s="48" t="inlineStr">
        <is>
          <t>1. Fetch corporate action data
2. Apply split/bonus adjustment factors to historical series
3. Mark `is_adjusted` on affected rows
4. Re-adjustment when a new action is announced
5. Verify against a known historical split</t>
        </is>
      </c>
      <c r="U33" s="48" t="inlineStr">
        <is>
          <t>• A known 1:5 split produces a continuous price series across the event
• 🔴 Unadjusted data can never reach the indicator engine</t>
        </is>
      </c>
      <c r="V33" s="48" t="n"/>
      <c r="W33" s="49" t="n"/>
    </row>
    <row r="34" ht="30" customHeight="1" s="59">
      <c r="A34" s="38" t="inlineStr">
        <is>
          <t>E03-S03</t>
        </is>
      </c>
      <c r="B34" s="39" t="inlineStr">
        <is>
          <t>E03</t>
        </is>
      </c>
      <c r="C34" s="40" t="inlineStr">
        <is>
          <t>HISTORICAL DATA</t>
        </is>
      </c>
      <c r="D34" s="40" t="inlineStr">
        <is>
          <t>Intraday history backfill</t>
        </is>
      </c>
      <c r="E34" s="40" t="inlineStr">
        <is>
          <t>New</t>
        </is>
      </c>
      <c r="F34" s="41" t="inlineStr">
        <is>
          <t>P0</t>
        </is>
      </c>
      <c r="G34" s="39" t="inlineStr">
        <is>
          <t>1</t>
        </is>
      </c>
      <c r="H34" s="50" t="inlineStr">
        <is>
          <t>Correctness-critical</t>
        </is>
      </c>
      <c r="I34" s="39" t="inlineStr">
        <is>
          <t>FEAT</t>
        </is>
      </c>
      <c r="J34" s="43" t="n">
        <v>1.5</v>
      </c>
      <c r="K34" s="40" t="inlineStr">
        <is>
          <t>E02-S03</t>
        </is>
      </c>
      <c r="L34" s="40" t="n"/>
      <c r="M34" s="44" t="n"/>
      <c r="N34" s="45" t="n"/>
      <c r="O34" s="46" t="n"/>
      <c r="P34" s="46" t="n"/>
      <c r="Q34" s="47" t="n"/>
      <c r="R34" s="39" t="n">
        <v>4</v>
      </c>
      <c r="S34" s="48" t="inlineStr">
        <is>
          <t>As a backtester, I need minute-level history, so that strategies can be validated on realistic intraday data.</t>
        </is>
      </c>
      <c r="T34" s="48" t="inlineStr">
        <is>
          <t>1. Paged historical fetch respecting rate limits
2. Backfill orchestration across the universe
3. Resume from interruption
4. Progress reporting (this takes hours)</t>
        </is>
      </c>
      <c r="U34" s="48" t="n"/>
      <c r="V34" s="48" t="n"/>
      <c r="W34" s="49" t="n"/>
    </row>
    <row r="35" ht="30" customHeight="1" s="59">
      <c r="A35" s="38" t="inlineStr">
        <is>
          <t>E03-S04</t>
        </is>
      </c>
      <c r="B35" s="39" t="inlineStr">
        <is>
          <t>E03</t>
        </is>
      </c>
      <c r="C35" s="40" t="inlineStr">
        <is>
          <t>HISTORICAL DATA</t>
        </is>
      </c>
      <c r="D35" s="40" t="inlineStr">
        <is>
          <t>Data quality validation</t>
        </is>
      </c>
      <c r="E35" s="40" t="inlineStr">
        <is>
          <t>New</t>
        </is>
      </c>
      <c r="F35" s="41" t="inlineStr">
        <is>
          <t>P0</t>
        </is>
      </c>
      <c r="G35" s="39" t="inlineStr">
        <is>
          <t>1</t>
        </is>
      </c>
      <c r="H35" s="50" t="inlineStr">
        <is>
          <t>Correctness-critical</t>
        </is>
      </c>
      <c r="I35" s="39" t="inlineStr">
        <is>
          <t>TEST</t>
        </is>
      </c>
      <c r="J35" s="43" t="n">
        <v>1.5</v>
      </c>
      <c r="K35" s="40" t="inlineStr">
        <is>
          <t>E03-S01</t>
        </is>
      </c>
      <c r="L35" s="40" t="n"/>
      <c r="M35" s="44" t="n"/>
      <c r="N35" s="45" t="n"/>
      <c r="O35" s="46" t="n"/>
      <c r="P35" s="46" t="n"/>
      <c r="Q35" s="47" t="n"/>
      <c r="R35" s="39" t="n">
        <v>5</v>
      </c>
      <c r="S35" s="48" t="inlineStr">
        <is>
          <t>As a developer, I want stored data validated, so that silent corruption is caught before it reaches analysis.</t>
        </is>
      </c>
      <c r="T35" s="48" t="inlineStr">
        <is>
          <t>1. Gap detection (missing sessions, missing bars within a session)
2. OHLC coherence check across the whole store
3. Volume sanity (zero-volume bars flagged)
4. Price continuity (unexplained jumps beyond circuit limits)
5. Report generated after every sync</t>
        </is>
      </c>
      <c r="U35" s="48" t="inlineStr">
        <is>
          <t>• A deliberately corrupted row is reported by the next validation run</t>
        </is>
      </c>
      <c r="V35" s="48" t="n"/>
      <c r="W35" s="49" t="n"/>
    </row>
    <row r="36" ht="30" customHeight="1" s="59">
      <c r="A36" s="38" t="inlineStr">
        <is>
          <t>E03-S05</t>
        </is>
      </c>
      <c r="B36" s="39" t="inlineStr">
        <is>
          <t>E03</t>
        </is>
      </c>
      <c r="C36" s="40" t="inlineStr">
        <is>
          <t>HISTORICAL DATA</t>
        </is>
      </c>
      <c r="D36" s="40" t="inlineStr">
        <is>
          <t>Multi-timeframe aggregation from stored data</t>
        </is>
      </c>
      <c r="E36" s="40" t="inlineStr">
        <is>
          <t>New</t>
        </is>
      </c>
      <c r="F36" s="41" t="inlineStr">
        <is>
          <t>P0</t>
        </is>
      </c>
      <c r="G36" s="39" t="inlineStr">
        <is>
          <t>2</t>
        </is>
      </c>
      <c r="H36" s="50" t="inlineStr">
        <is>
          <t>Correctness-critical</t>
        </is>
      </c>
      <c r="I36" s="39" t="inlineStr">
        <is>
          <t>FEAT</t>
        </is>
      </c>
      <c r="J36" s="43" t="n">
        <v>1</v>
      </c>
      <c r="K36" s="40" t="inlineStr">
        <is>
          <t>E03-S01</t>
        </is>
      </c>
      <c r="L36" s="40" t="n"/>
      <c r="M36" s="44" t="n"/>
      <c r="N36" s="45" t="n"/>
      <c r="O36" s="46" t="n"/>
      <c r="P36" s="46" t="n"/>
      <c r="Q36" s="47" t="n"/>
      <c r="R36" s="39" t="n">
        <v>3</v>
      </c>
      <c r="S36" s="48" t="inlineStr">
        <is>
          <t>As the pre-market job, I need higher timeframes derived from daily data, so that weekly and monthly analysis is available without separate downloads.</t>
        </is>
      </c>
      <c r="T36" s="48" t="inlineStr">
        <is>
          <t>1. Aggregate daily → weekly with correct session boundaries
2. Handle partial weeks at period edges
3. Verify aggregation against broker-supplied weekly bars</t>
        </is>
      </c>
      <c r="U36" s="48" t="n"/>
      <c r="V36" s="48" t="n"/>
      <c r="W36" s="49" t="n"/>
    </row>
    <row r="37" ht="30" customHeight="1" s="59">
      <c r="A37" s="38" t="inlineStr">
        <is>
          <t>E03-S06</t>
        </is>
      </c>
      <c r="B37" s="39" t="inlineStr">
        <is>
          <t>E03</t>
        </is>
      </c>
      <c r="C37" s="40" t="inlineStr">
        <is>
          <t>HISTORICAL DATA</t>
        </is>
      </c>
      <c r="D37" s="40" t="inlineStr">
        <is>
          <t>Tick archival to Parquet</t>
        </is>
      </c>
      <c r="E37" s="40" t="inlineStr">
        <is>
          <t>New</t>
        </is>
      </c>
      <c r="F37" s="52" t="inlineStr">
        <is>
          <t>P2</t>
        </is>
      </c>
      <c r="G37" s="39" t="inlineStr">
        <is>
          <t>6</t>
        </is>
      </c>
      <c r="H37" s="42" t="inlineStr">
        <is>
          <t>Low</t>
        </is>
      </c>
      <c r="I37" s="39" t="inlineStr">
        <is>
          <t>OPS</t>
        </is>
      </c>
      <c r="J37" s="43" t="n">
        <v>0.5</v>
      </c>
      <c r="K37" s="40" t="inlineStr">
        <is>
          <t>E05-S01</t>
        </is>
      </c>
      <c r="L37" s="40" t="n"/>
      <c r="M37" s="44" t="n"/>
      <c r="N37" s="45" t="n"/>
      <c r="O37" s="46" t="n"/>
      <c r="P37" s="46" t="n"/>
      <c r="Q37" s="47" t="n"/>
      <c r="R37" s="39" t="n">
        <v>0</v>
      </c>
      <c r="S37" s="48" t="inlineStr">
        <is>
          <t>As a developer, I want raw ticks archived, so that the replay harness can reproduce a session exactly.</t>
        </is>
      </c>
      <c r="T37" s="48" t="n"/>
      <c r="U37" s="48" t="n"/>
      <c r="V37" s="48" t="n"/>
      <c r="W37" s="49" t="n"/>
    </row>
    <row r="38" ht="30" customHeight="1" s="59">
      <c r="A38" s="38" t="inlineStr">
        <is>
          <t>E04-S01</t>
        </is>
      </c>
      <c r="B38" s="39" t="inlineStr">
        <is>
          <t>E04</t>
        </is>
      </c>
      <c r="C38" s="40" t="inlineStr">
        <is>
          <t>INDIA HAZARD LISTS</t>
        </is>
      </c>
      <c r="D38" s="40" t="inlineStr">
        <is>
          <t>ASM/GSM surveillance list fetcher</t>
        </is>
      </c>
      <c r="E38" s="40" t="inlineStr">
        <is>
          <t>New</t>
        </is>
      </c>
      <c r="F38" s="41" t="inlineStr">
        <is>
          <t>P0</t>
        </is>
      </c>
      <c r="G38" s="39" t="inlineStr">
        <is>
          <t>1</t>
        </is>
      </c>
      <c r="H38" s="51" t="inlineStr">
        <is>
          <t>Safety-critical</t>
        </is>
      </c>
      <c r="I38" s="39" t="inlineStr">
        <is>
          <t>FEAT</t>
        </is>
      </c>
      <c r="J38" s="43" t="n">
        <v>1</v>
      </c>
      <c r="K38" s="40" t="inlineStr">
        <is>
          <t>E01-S02</t>
        </is>
      </c>
      <c r="L38" s="40" t="n"/>
      <c r="M38" s="44" t="n"/>
      <c r="N38" s="45" t="n"/>
      <c r="O38" s="46" t="n"/>
      <c r="P38" s="46" t="n"/>
      <c r="Q38" s="47" t="n"/>
      <c r="R38" s="39" t="n">
        <v>5</v>
      </c>
      <c r="S38" s="48" t="inlineStr">
        <is>
          <t>As a risk-aware trader, I want surveillance-listed stocks excluded, so that I never trade a name carrying 100% margin or reduced circuit bands.</t>
        </is>
      </c>
      <c r="T38" s="48" t="inlineStr">
        <is>
          <t>1. Fetch ASM (short-term and long-term) lists
2. Fetch GSM list with stage
3. Upsert into `instrument_daily_status`
4. Alert on newly-added names currently held
5. Handle source-format changes without silent failure</t>
        </is>
      </c>
      <c r="U38" s="48" t="inlineStr">
        <is>
          <t>• A stock added to ASM overnight is excluded from today's universe
• 🔴 A fetch failure blocks the trading day rather than proceeding blind</t>
        </is>
      </c>
      <c r="V38" s="48" t="n"/>
      <c r="W38" s="49" t="n"/>
    </row>
    <row r="39" ht="30" customHeight="1" s="59">
      <c r="A39" s="38" t="inlineStr">
        <is>
          <t>E04-S02</t>
        </is>
      </c>
      <c r="B39" s="39" t="inlineStr">
        <is>
          <t>E04</t>
        </is>
      </c>
      <c r="C39" s="40" t="inlineStr">
        <is>
          <t>INDIA HAZARD LISTS</t>
        </is>
      </c>
      <c r="D39" s="40" t="inlineStr">
        <is>
          <t>T2T (Trade-to-Trade) list</t>
        </is>
      </c>
      <c r="E39" s="40" t="inlineStr">
        <is>
          <t>New</t>
        </is>
      </c>
      <c r="F39" s="41" t="inlineStr">
        <is>
          <t>P0</t>
        </is>
      </c>
      <c r="G39" s="39" t="inlineStr">
        <is>
          <t>1</t>
        </is>
      </c>
      <c r="H39" s="51" t="inlineStr">
        <is>
          <t>Safety-critical</t>
        </is>
      </c>
      <c r="I39" s="39" t="inlineStr">
        <is>
          <t>FEAT</t>
        </is>
      </c>
      <c r="J39" s="43" t="n">
        <v>0.5</v>
      </c>
      <c r="K39" s="40" t="inlineStr">
        <is>
          <t>E01-S02</t>
        </is>
      </c>
      <c r="L39" s="40" t="n"/>
      <c r="M39" s="44" t="n"/>
      <c r="N39" s="45" t="n"/>
      <c r="O39" s="46" t="n"/>
      <c r="P39" s="46" t="n"/>
      <c r="Q39" s="47" t="n"/>
      <c r="R39" s="39" t="n">
        <v>3</v>
      </c>
      <c r="S39" s="48" t="inlineStr">
        <is>
          <t>As a trader, I want T2T stocks excluded absolutely, so that I never place an intraday order that becomes an unintended delivery obligation.</t>
        </is>
      </c>
      <c r="T39" s="48" t="inlineStr">
        <is>
          <t>1. Fetch the T2T segment list
2. Mark `is_t2t` in daily status
3. Hard filter — not configurable (config validation already enforces this)</t>
        </is>
      </c>
      <c r="U39" s="48" t="inlineStr">
        <is>
          <t>• 🔴 No T2T symbol can reach the watchlist under any configuration</t>
        </is>
      </c>
      <c r="V39" s="48" t="n"/>
      <c r="W39" s="49" t="n"/>
    </row>
    <row r="40" ht="30" customHeight="1" s="59">
      <c r="A40" s="38" t="inlineStr">
        <is>
          <t>E04-S03</t>
        </is>
      </c>
      <c r="B40" s="39" t="inlineStr">
        <is>
          <t>E04</t>
        </is>
      </c>
      <c r="C40" s="40" t="inlineStr">
        <is>
          <t>INDIA HAZARD LISTS</t>
        </is>
      </c>
      <c r="D40" s="40" t="inlineStr">
        <is>
          <t>F&amp;O ban list</t>
        </is>
      </c>
      <c r="E40" s="40" t="inlineStr">
        <is>
          <t>New</t>
        </is>
      </c>
      <c r="F40" s="41" t="inlineStr">
        <is>
          <t>P0</t>
        </is>
      </c>
      <c r="G40" s="39" t="inlineStr">
        <is>
          <t>1</t>
        </is>
      </c>
      <c r="H40" s="51" t="inlineStr">
        <is>
          <t>Safety-critical</t>
        </is>
      </c>
      <c r="I40" s="39" t="inlineStr">
        <is>
          <t>FEAT</t>
        </is>
      </c>
      <c r="J40" s="43" t="n">
        <v>0.5</v>
      </c>
      <c r="K40" s="40" t="inlineStr">
        <is>
          <t>E01-S02</t>
        </is>
      </c>
      <c r="L40" s="40" t="n"/>
      <c r="M40" s="44" t="n"/>
      <c r="N40" s="45" t="n"/>
      <c r="O40" s="46" t="n"/>
      <c r="P40" s="46" t="n"/>
      <c r="Q40" s="47" t="n"/>
      <c r="R40" s="39" t="n">
        <v>3</v>
      </c>
      <c r="S40" s="48" t="inlineStr">
        <is>
          <t>As a trader, I want ban-period stocks flagged, so that I avoid a penalty of 1% of position value (min ₹5,000, max ₹1,00,000).</t>
        </is>
      </c>
      <c r="T40" s="48" t="inlineStr">
        <is>
          <t>1. Fetch the daily ban list
2. Mark `is_fno_ban`
3. Exclude from F&amp;O trading; flag (not exclude) for equity</t>
        </is>
      </c>
      <c r="U40" s="48" t="n"/>
      <c r="V40" s="48" t="n"/>
      <c r="W40" s="49" t="n"/>
    </row>
    <row r="41" ht="30" customHeight="1" s="59">
      <c r="A41" s="38" t="inlineStr">
        <is>
          <t>E04-S04</t>
        </is>
      </c>
      <c r="B41" s="39" t="inlineStr">
        <is>
          <t>E04</t>
        </is>
      </c>
      <c r="C41" s="40" t="inlineStr">
        <is>
          <t>INDIA HAZARD LISTS</t>
        </is>
      </c>
      <c r="D41" s="40" t="inlineStr">
        <is>
          <t>Circuit bands and price limits</t>
        </is>
      </c>
      <c r="E41" s="40" t="inlineStr">
        <is>
          <t>New</t>
        </is>
      </c>
      <c r="F41" s="41" t="inlineStr">
        <is>
          <t>P0</t>
        </is>
      </c>
      <c r="G41" s="39" t="inlineStr">
        <is>
          <t>1</t>
        </is>
      </c>
      <c r="H41" s="50" t="inlineStr">
        <is>
          <t>Correctness-critical</t>
        </is>
      </c>
      <c r="I41" s="39" t="inlineStr">
        <is>
          <t>FEAT</t>
        </is>
      </c>
      <c r="J41" s="43" t="n">
        <v>1</v>
      </c>
      <c r="K41" s="40" t="inlineStr">
        <is>
          <t>E01-S02</t>
        </is>
      </c>
      <c r="L41" s="40" t="n"/>
      <c r="M41" s="44" t="n"/>
      <c r="N41" s="45" t="n"/>
      <c r="O41" s="46" t="n"/>
      <c r="P41" s="46" t="n"/>
      <c r="Q41" s="47" t="n"/>
      <c r="R41" s="39" t="n">
        <v>4</v>
      </c>
      <c r="S41" s="48" t="inlineStr">
        <is>
          <t>As a trader, I want per-stock circuit bands known, so that narrow-band stocks are excluded and orders never target an unreachable price.</t>
        </is>
      </c>
      <c r="T41" s="48" t="inlineStr">
        <is>
          <t>1. Fetch band percentages per symbol
2. Compute upper/lower circuit prices from previous close
3. Filter by `min_circuit_band_pct`
4. Reject orders outside band at validation time</t>
        </is>
      </c>
      <c r="U41" s="48" t="n"/>
      <c r="V41" s="48" t="n"/>
      <c r="W41" s="49" t="n"/>
    </row>
    <row r="42" ht="30" customHeight="1" s="59">
      <c r="A42" s="38" t="inlineStr">
        <is>
          <t>E04-S05</t>
        </is>
      </c>
      <c r="B42" s="39" t="inlineStr">
        <is>
          <t>E04</t>
        </is>
      </c>
      <c r="C42" s="40" t="inlineStr">
        <is>
          <t>INDIA HAZARD LISTS</t>
        </is>
      </c>
      <c r="D42" s="40" t="inlineStr">
        <is>
          <t>CAS classification</t>
        </is>
      </c>
      <c r="E42" s="40" t="inlineStr">
        <is>
          <t>New</t>
        </is>
      </c>
      <c r="F42" s="41" t="inlineStr">
        <is>
          <t>P0</t>
        </is>
      </c>
      <c r="G42" s="39" t="inlineStr">
        <is>
          <t>1</t>
        </is>
      </c>
      <c r="H42" s="51" t="inlineStr">
        <is>
          <t>Safety-critical</t>
        </is>
      </c>
      <c r="I42" s="39" t="inlineStr">
        <is>
          <t>FEAT</t>
        </is>
      </c>
      <c r="J42" s="43" t="n">
        <v>1</v>
      </c>
      <c r="K42" s="40" t="inlineStr">
        <is>
          <t>E01-S02</t>
        </is>
      </c>
      <c r="L42" s="40" t="n"/>
      <c r="M42" s="44" t="n"/>
      <c r="N42" s="45" t="n"/>
      <c r="O42" s="46" t="n"/>
      <c r="P42" s="46" t="n"/>
      <c r="Q42" s="47" t="n"/>
      <c r="R42" s="39" t="n">
        <v>4</v>
      </c>
      <c r="S42" s="48" t="inlineStr">
        <is>
          <t>As a position manager, I need to know which stocks are in CAS scope, so that each position uses the correct square-off deadline.</t>
        </is>
      </c>
      <c r="T42" s="48" t="inlineStr">
        <is>
          <t>1. Determine CAS-scope (Category I / F&amp;O) symbols
2. Mark `is_cas_stock`
3. Wire into `MarketCalendar.squareoff_deadline`
4. Alert on classification changes</t>
        </is>
      </c>
      <c r="U42" s="48" t="inlineStr">
        <is>
          <t>• 🔴 A CAS stock's deadline is 15:10, a non-CAS stock's is 15:20, per position</t>
        </is>
      </c>
      <c r="V42" s="48" t="n"/>
      <c r="W42" s="49" t="n"/>
    </row>
    <row r="43" ht="30" customHeight="1" s="59">
      <c r="A43" s="38" t="inlineStr">
        <is>
          <t>E04-S06</t>
        </is>
      </c>
      <c r="B43" s="39" t="inlineStr">
        <is>
          <t>E04</t>
        </is>
      </c>
      <c r="C43" s="40" t="inlineStr">
        <is>
          <t>INDIA HAZARD LISTS</t>
        </is>
      </c>
      <c r="D43" s="40" t="inlineStr">
        <is>
          <t>Earnings and corporate action calendar</t>
        </is>
      </c>
      <c r="E43" s="40" t="inlineStr">
        <is>
          <t>New</t>
        </is>
      </c>
      <c r="F43" s="53" t="inlineStr">
        <is>
          <t>P1</t>
        </is>
      </c>
      <c r="G43" s="39" t="inlineStr">
        <is>
          <t>1</t>
        </is>
      </c>
      <c r="H43" s="50" t="inlineStr">
        <is>
          <t>Correctness-critical</t>
        </is>
      </c>
      <c r="I43" s="39" t="inlineStr">
        <is>
          <t>FEAT</t>
        </is>
      </c>
      <c r="J43" s="43" t="n">
        <v>1</v>
      </c>
      <c r="K43" s="40" t="inlineStr">
        <is>
          <t>E01-S02</t>
        </is>
      </c>
      <c r="L43" s="40" t="n"/>
      <c r="M43" s="44" t="n"/>
      <c r="N43" s="45" t="n"/>
      <c r="O43" s="46" t="n"/>
      <c r="P43" s="46" t="n"/>
      <c r="Q43" s="47" t="n"/>
      <c r="R43" s="39" t="n">
        <v>4</v>
      </c>
      <c r="S43" s="48" t="inlineStr">
        <is>
          <t>As a trader, I want earnings-day stocks excluded, so that a technical thesis is not invalidated by a binary event.</t>
        </is>
      </c>
      <c r="T43" s="48" t="inlineStr">
        <is>
          <t>1. Fetch results calendar
2. Fetch dividend/split/bonus announcements
3. Mark `has_earnings_today`
4. Configurable exclusion window (before/after)</t>
        </is>
      </c>
      <c r="U43" s="48" t="n"/>
      <c r="V43" s="48" t="n"/>
      <c r="W43" s="49" t="n"/>
    </row>
    <row r="44" ht="30" customHeight="1" s="59">
      <c r="A44" s="38" t="inlineStr">
        <is>
          <t>E04-S07</t>
        </is>
      </c>
      <c r="B44" s="39" t="inlineStr">
        <is>
          <t>E04</t>
        </is>
      </c>
      <c r="C44" s="40" t="inlineStr">
        <is>
          <t>INDIA HAZARD LISTS</t>
        </is>
      </c>
      <c r="D44" s="40" t="inlineStr">
        <is>
          <t>NSE holiday calendar — complete it</t>
        </is>
      </c>
      <c r="E44" s="40" t="inlineStr">
        <is>
          <t>New</t>
        </is>
      </c>
      <c r="F44" s="41" t="inlineStr">
        <is>
          <t>P0</t>
        </is>
      </c>
      <c r="G44" s="39" t="inlineStr">
        <is>
          <t>1</t>
        </is>
      </c>
      <c r="H44" s="51" t="inlineStr">
        <is>
          <t>Safety-critical</t>
        </is>
      </c>
      <c r="I44" s="39" t="inlineStr">
        <is>
          <t>OPS</t>
        </is>
      </c>
      <c r="J44" s="43" t="n">
        <v>1</v>
      </c>
      <c r="K44" s="40" t="inlineStr">
        <is>
          <t>none · **carried debt**</t>
        </is>
      </c>
      <c r="L44" s="40" t="n"/>
      <c r="M44" s="44" t="n"/>
      <c r="N44" s="45" t="n"/>
      <c r="O44" s="46" t="n"/>
      <c r="P44" s="46" t="n"/>
      <c r="Q44" s="47" t="n"/>
      <c r="R44" s="39" t="n">
        <v>5</v>
      </c>
      <c r="S44" s="48" t="inlineStr">
        <is>
          <t>As a system, I need the complete NSE holiday list, so that I do not treat a market holiday as a trading day.</t>
        </is>
      </c>
      <c r="T44" s="48" t="inlineStr">
        <is>
          <t>1. Transcribe the full NSE holiday circular into `nse_holidays.yaml`
2. Set `verified_against_nse_circular: true`
3. Decide Diwali Muhurat session policy (default: stand down)
4. Annual refresh reminder documented in the runbook
5. Consider automated fetch with manual verification</t>
        </is>
      </c>
      <c r="U44" s="48" t="inlineStr">
        <is>
          <t>• 🔴 `make doctor` reports the calendar as verified
• Every holiday in the circular is excluded by `is_trading_day`</t>
        </is>
      </c>
      <c r="V44" s="48" t="n"/>
      <c r="W44" s="49" t="n"/>
    </row>
    <row r="45" ht="30" customHeight="1" s="59">
      <c r="A45" s="38" t="inlineStr">
        <is>
          <t>E05-S01</t>
        </is>
      </c>
      <c r="B45" s="39" t="inlineStr">
        <is>
          <t>E05</t>
        </is>
      </c>
      <c r="C45" s="40" t="inlineStr">
        <is>
          <t>MARKET DATA INGESTION</t>
        </is>
      </c>
      <c r="D45" s="40" t="inlineStr">
        <is>
          <t>WebSocket client with reconnection</t>
        </is>
      </c>
      <c r="E45" s="40" t="inlineStr">
        <is>
          <t>New</t>
        </is>
      </c>
      <c r="F45" s="41" t="inlineStr">
        <is>
          <t>P0</t>
        </is>
      </c>
      <c r="G45" s="39" t="inlineStr">
        <is>
          <t>1</t>
        </is>
      </c>
      <c r="H45" s="50" t="inlineStr">
        <is>
          <t>Correctness-critical</t>
        </is>
      </c>
      <c r="I45" s="39" t="inlineStr">
        <is>
          <t>FEAT</t>
        </is>
      </c>
      <c r="J45" s="43" t="n">
        <v>2</v>
      </c>
      <c r="K45" s="40" t="inlineStr">
        <is>
          <t>E02-S03</t>
        </is>
      </c>
      <c r="L45" s="40" t="n"/>
      <c r="M45" s="44" t="n"/>
      <c r="N45" s="45" t="n"/>
      <c r="O45" s="46" t="n"/>
      <c r="P45" s="46" t="n"/>
      <c r="Q45" s="47" t="n"/>
      <c r="R45" s="39" t="n">
        <v>6</v>
      </c>
      <c r="S45" s="48" t="inlineStr">
        <is>
          <t>As a system, I want a resilient tick stream, so that a dropped connection does not silently stop the market data flow.</t>
        </is>
      </c>
      <c r="T45" s="48" t="inlineStr">
        <is>
          <t>1. KiteTicker integration with async bridging
2. Subscribe/unsubscribe for the day's watchlist
3. Exponential backoff reconnection
4. On reconnect: mark indicator state STALE, do not resume silently
5. Heartbeat monitoring with staleness detection
6. Rebuild the in-progress bar from a REST snapshot after a gap</t>
        </is>
      </c>
      <c r="U45" s="48" t="inlineStr">
        <is>
          <t>• A 5-minute forced disconnect recovers and flags the gap
• 🟠 Indicators are marked stale rather than computing across the hole</t>
        </is>
      </c>
      <c r="V45" s="48" t="n"/>
      <c r="W45" s="49" t="n"/>
    </row>
    <row r="46" ht="30" customHeight="1" s="59">
      <c r="A46" s="38" t="inlineStr">
        <is>
          <t>E05-S02</t>
        </is>
      </c>
      <c r="B46" s="39" t="inlineStr">
        <is>
          <t>E05</t>
        </is>
      </c>
      <c r="C46" s="40" t="inlineStr">
        <is>
          <t>MARKET DATA INGESTION</t>
        </is>
      </c>
      <c r="D46" s="40" t="inlineStr">
        <is>
          <t>Tick validation</t>
        </is>
      </c>
      <c r="E46" s="40" t="inlineStr">
        <is>
          <t>New</t>
        </is>
      </c>
      <c r="F46" s="41" t="inlineStr">
        <is>
          <t>P0</t>
        </is>
      </c>
      <c r="G46" s="39" t="inlineStr">
        <is>
          <t>1</t>
        </is>
      </c>
      <c r="H46" s="50" t="inlineStr">
        <is>
          <t>Correctness-critical</t>
        </is>
      </c>
      <c r="I46" s="39" t="inlineStr">
        <is>
          <t>FEAT</t>
        </is>
      </c>
      <c r="J46" s="43" t="n">
        <v>1</v>
      </c>
      <c r="K46" s="40" t="inlineStr">
        <is>
          <t>E05-S01</t>
        </is>
      </c>
      <c r="L46" s="40" t="n"/>
      <c r="M46" s="44" t="n"/>
      <c r="N46" s="45" t="n"/>
      <c r="O46" s="46" t="n"/>
      <c r="P46" s="46" t="n"/>
      <c r="Q46" s="47" t="n"/>
      <c r="R46" s="39" t="n">
        <v>5</v>
      </c>
      <c r="S46" s="48" t="inlineStr">
        <is>
          <t>As a data pipeline, I want malformed ticks rejected at the edge, so that nothing downstream has to defend against them.</t>
        </is>
      </c>
      <c r="T46" s="48" t="inlineStr">
        <is>
          <t>1. Reject null/zero/negative price
2. Reject negative volume
3. Reject timestamp outside ±5s of local clock (broker clock skew)
4. Metric per rejection reason
5. Log rejections — a cluster indicates a feed problem</t>
        </is>
      </c>
      <c r="U46" s="48" t="n"/>
      <c r="V46" s="48" t="n"/>
      <c r="W46" s="49" t="n"/>
    </row>
    <row r="47" ht="30" customHeight="1" s="59">
      <c r="A47" s="38" t="inlineStr">
        <is>
          <t>E05-S03</t>
        </is>
      </c>
      <c r="B47" s="39" t="inlineStr">
        <is>
          <t>E05</t>
        </is>
      </c>
      <c r="C47" s="40" t="inlineStr">
        <is>
          <t>MARKET DATA INGESTION</t>
        </is>
      </c>
      <c r="D47" s="40" t="inlineStr">
        <is>
          <t>Deduplication</t>
        </is>
      </c>
      <c r="E47" s="40" t="inlineStr">
        <is>
          <t>New</t>
        </is>
      </c>
      <c r="F47" s="41" t="inlineStr">
        <is>
          <t>P0</t>
        </is>
      </c>
      <c r="G47" s="39" t="inlineStr">
        <is>
          <t>1</t>
        </is>
      </c>
      <c r="H47" s="50" t="inlineStr">
        <is>
          <t>Correctness-critical</t>
        </is>
      </c>
      <c r="I47" s="39" t="inlineStr">
        <is>
          <t>FEAT</t>
        </is>
      </c>
      <c r="J47" s="43" t="n">
        <v>0.5</v>
      </c>
      <c r="K47" s="40" t="inlineStr">
        <is>
          <t>E05-S02</t>
        </is>
      </c>
      <c r="L47" s="40" t="n"/>
      <c r="M47" s="44" t="n"/>
      <c r="N47" s="45" t="n"/>
      <c r="O47" s="46" t="n"/>
      <c r="P47" s="46" t="n"/>
      <c r="Q47" s="47" t="n"/>
      <c r="R47" s="39" t="n">
        <v>3</v>
      </c>
      <c r="S47" s="48" t="inlineStr">
        <is>
          <t>As a data pipeline, I want duplicate ticks dropped, so that WebSocket replay after a reconnect does not double-count volume.</t>
        </is>
      </c>
      <c r="T47" s="48" t="inlineStr">
        <is>
          <t>1. Bounded LRU per symbol on (symbol, exchange_ts, ltp, volume)
2. Size-capped to bound memory
3. Metric for duplicates dropped</t>
        </is>
      </c>
      <c r="U47" s="48" t="n"/>
      <c r="V47" s="48" t="n"/>
      <c r="W47" s="49" t="n"/>
    </row>
    <row r="48" ht="30" customHeight="1" s="59">
      <c r="A48" s="38" t="inlineStr">
        <is>
          <t>E05-S04</t>
        </is>
      </c>
      <c r="B48" s="39" t="inlineStr">
        <is>
          <t>E05</t>
        </is>
      </c>
      <c r="C48" s="40" t="inlineStr">
        <is>
          <t>MARKET DATA INGESTION</t>
        </is>
      </c>
      <c r="D48" s="40" t="inlineStr">
        <is>
          <t>Outlier filtering</t>
        </is>
      </c>
      <c r="E48" s="40" t="inlineStr">
        <is>
          <t>New</t>
        </is>
      </c>
      <c r="F48" s="41" t="inlineStr">
        <is>
          <t>P0</t>
        </is>
      </c>
      <c r="G48" s="39" t="inlineStr">
        <is>
          <t>1</t>
        </is>
      </c>
      <c r="H48" s="51" t="inlineStr">
        <is>
          <t>Safety-critical</t>
        </is>
      </c>
      <c r="I48" s="39" t="inlineStr">
        <is>
          <t>FEAT</t>
        </is>
      </c>
      <c r="J48" s="43" t="n">
        <v>1</v>
      </c>
      <c r="K48" s="40" t="inlineStr">
        <is>
          <t>E05-S03</t>
        </is>
      </c>
      <c r="L48" s="40" t="n"/>
      <c r="M48" s="44" t="n"/>
      <c r="N48" s="45" t="n"/>
      <c r="O48" s="46" t="n"/>
      <c r="P48" s="46" t="n"/>
      <c r="Q48" s="47" t="n"/>
      <c r="R48" s="39" t="n">
        <v>4</v>
      </c>
      <c r="S48" s="48" t="inlineStr">
        <is>
          <t>As an analyst, I want bad prints rejected, so that one erroneous tick does not permanently corrupt an EMA.</t>
        </is>
      </c>
      <c r="T48" s="48" t="inlineStr">
        <is>
          <t>1. Reject if move exceeds `max(5 × ATR%, 2%)`
2. Cross-check against circuit limits — a price outside them is impossible
3. Log rather than silently drop
4. Alert on a cluster of rejections for one symbol</t>
        </is>
      </c>
      <c r="U48" s="48" t="inlineStr">
        <is>
          <t>• 🔴 A single injected bad print does not change any indicator value</t>
        </is>
      </c>
      <c r="V48" s="48" t="n"/>
      <c r="W48" s="49" t="n"/>
    </row>
    <row r="49" ht="30" customHeight="1" s="59">
      <c r="A49" s="38" t="inlineStr">
        <is>
          <t>E05-S05</t>
        </is>
      </c>
      <c r="B49" s="39" t="inlineStr">
        <is>
          <t>E05</t>
        </is>
      </c>
      <c r="C49" s="40" t="inlineStr">
        <is>
          <t>MARKET DATA INGESTION</t>
        </is>
      </c>
      <c r="D49" s="40" t="inlineStr">
        <is>
          <t>Normalisation</t>
        </is>
      </c>
      <c r="E49" s="40" t="inlineStr">
        <is>
          <t>New</t>
        </is>
      </c>
      <c r="F49" s="41" t="inlineStr">
        <is>
          <t>P0</t>
        </is>
      </c>
      <c r="G49" s="39" t="inlineStr">
        <is>
          <t>1</t>
        </is>
      </c>
      <c r="H49" s="50" t="inlineStr">
        <is>
          <t>Correctness-critical</t>
        </is>
      </c>
      <c r="I49" s="39" t="inlineStr">
        <is>
          <t>FEAT</t>
        </is>
      </c>
      <c r="J49" s="43" t="n">
        <v>0.5</v>
      </c>
      <c r="K49" s="40" t="inlineStr">
        <is>
          <t>E05-S04</t>
        </is>
      </c>
      <c r="L49" s="40" t="n"/>
      <c r="M49" s="44" t="n"/>
      <c r="N49" s="45" t="n"/>
      <c r="O49" s="46" t="n"/>
      <c r="P49" s="46" t="n"/>
      <c r="Q49" s="47" t="n"/>
      <c r="R49" s="39" t="n">
        <v>3</v>
      </c>
      <c r="S49" s="48" t="inlineStr">
        <is>
          <t>As a developer, I want broker payloads converted to canonical types at the boundary, so that no broker-specific shape leaks downstream.</t>
        </is>
      </c>
      <c r="T49" s="48" t="inlineStr">
        <is>
          <t>1. Kite payload → `Tick` model
2. All timestamps → UTC
3. All prices → `Decimal`</t>
        </is>
      </c>
      <c r="U49" s="48" t="n"/>
      <c r="V49" s="48" t="n"/>
      <c r="W49" s="49" t="n"/>
    </row>
    <row r="50" ht="30" customHeight="1" s="59">
      <c r="A50" s="38" t="inlineStr">
        <is>
          <t>E05-S06</t>
        </is>
      </c>
      <c r="B50" s="39" t="inlineStr">
        <is>
          <t>E05</t>
        </is>
      </c>
      <c r="C50" s="40" t="inlineStr">
        <is>
          <t>MARKET DATA INGESTION</t>
        </is>
      </c>
      <c r="D50" s="40" t="inlineStr">
        <is>
          <t>Bar builder with session alignment</t>
        </is>
      </c>
      <c r="E50" s="40" t="inlineStr">
        <is>
          <t>New</t>
        </is>
      </c>
      <c r="F50" s="41" t="inlineStr">
        <is>
          <t>P0</t>
        </is>
      </c>
      <c r="G50" s="39" t="inlineStr">
        <is>
          <t>1</t>
        </is>
      </c>
      <c r="H50" s="51" t="inlineStr">
        <is>
          <t>Safety-critical</t>
        </is>
      </c>
      <c r="I50" s="39" t="inlineStr">
        <is>
          <t>FEAT</t>
        </is>
      </c>
      <c r="J50" s="43" t="n">
        <v>2</v>
      </c>
      <c r="K50" s="40" t="inlineStr">
        <is>
          <t>E05-S05</t>
        </is>
      </c>
      <c r="L50" s="40" t="n"/>
      <c r="M50" s="44" t="n"/>
      <c r="N50" s="45" t="n"/>
      <c r="O50" s="46" t="n"/>
      <c r="P50" s="46" t="n"/>
      <c r="Q50" s="47" t="n"/>
      <c r="R50" s="39" t="n">
        <v>5</v>
      </c>
      <c r="S50" s="48" t="inlineStr">
        <is>
          <t>As an analyst, I want bars aligned to the session start, so that a 15-minute bar runs 09:15–09:30 and indicators are not silently offset.</t>
        </is>
      </c>
      <c r="T50" s="48" t="inlineStr">
        <is>
          <t>1. In-progress bar per (symbol, timeframe)
2. Boundary detection via `MarketCalendar.bar_open_time`
3. Seal and publish on boundary crossing
4. Emit in-progress updates with `is_final=False`
5. Cascade 1m → 5m → 15m → 1h within the builder</t>
        </is>
      </c>
      <c r="U50" s="48" t="inlineStr">
        <is>
          <t>• 🔴 Bar boundaries match the calendar exactly across a full session
• Consumers can distinguish final from in-progress bars</t>
        </is>
      </c>
      <c r="V50" s="48" t="n"/>
      <c r="W50" s="49" t="n"/>
    </row>
    <row r="51" ht="30" customHeight="1" s="59">
      <c r="A51" s="38" t="inlineStr">
        <is>
          <t>E05-S07</t>
        </is>
      </c>
      <c r="B51" s="39" t="inlineStr">
        <is>
          <t>E05</t>
        </is>
      </c>
      <c r="C51" s="40" t="inlineStr">
        <is>
          <t>MARKET DATA INGESTION</t>
        </is>
      </c>
      <c r="D51" s="40" t="inlineStr">
        <is>
          <t>Synthetic bar handling</t>
        </is>
      </c>
      <c r="E51" s="40" t="inlineStr">
        <is>
          <t>New</t>
        </is>
      </c>
      <c r="F51" s="41" t="inlineStr">
        <is>
          <t>P0</t>
        </is>
      </c>
      <c r="G51" s="39" t="inlineStr">
        <is>
          <t>1</t>
        </is>
      </c>
      <c r="H51" s="50" t="inlineStr">
        <is>
          <t>Correctness-critical</t>
        </is>
      </c>
      <c r="I51" s="39" t="inlineStr">
        <is>
          <t>FEAT</t>
        </is>
      </c>
      <c r="J51" s="43" t="n">
        <v>0.5</v>
      </c>
      <c r="K51" s="40" t="inlineStr">
        <is>
          <t>E05-S06</t>
        </is>
      </c>
      <c r="L51" s="40" t="n"/>
      <c r="M51" s="44" t="n"/>
      <c r="N51" s="45" t="n"/>
      <c r="O51" s="46" t="n"/>
      <c r="P51" s="46" t="n"/>
      <c r="Q51" s="47" t="n"/>
      <c r="R51" s="39" t="n">
        <v>3</v>
      </c>
      <c r="S51" s="48" t="inlineStr">
        <is>
          <t>As an analyst, I want no-trade intervals marked, so that indicators do not treat a data gap as a price move.</t>
        </is>
      </c>
      <c r="T51" s="48" t="inlineStr">
        <is>
          <t>1. Carry-forward bar when no trades occur
2. Flag `synthetic=True`
3. Indicator engine skips or handles synthetics explicitly</t>
        </is>
      </c>
      <c r="U51" s="48" t="n"/>
      <c r="V51" s="48" t="n"/>
      <c r="W51" s="49" t="n"/>
    </row>
    <row r="52" ht="30" customHeight="1" s="59">
      <c r="A52" s="38" t="inlineStr">
        <is>
          <t>E05-S08</t>
        </is>
      </c>
      <c r="B52" s="39" t="inlineStr">
        <is>
          <t>E05</t>
        </is>
      </c>
      <c r="C52" s="40" t="inlineStr">
        <is>
          <t>MARKET DATA INGESTION</t>
        </is>
      </c>
      <c r="D52" s="40" t="inlineStr">
        <is>
          <t>Quote state publishing</t>
        </is>
      </c>
      <c r="E52" s="40" t="inlineStr">
        <is>
          <t>New</t>
        </is>
      </c>
      <c r="F52" s="41" t="inlineStr">
        <is>
          <t>P0</t>
        </is>
      </c>
      <c r="G52" s="39" t="inlineStr">
        <is>
          <t>1</t>
        </is>
      </c>
      <c r="H52" s="42" t="inlineStr">
        <is>
          <t>Low</t>
        </is>
      </c>
      <c r="I52" s="39" t="inlineStr">
        <is>
          <t>FEAT</t>
        </is>
      </c>
      <c r="J52" s="43" t="n">
        <v>0.5</v>
      </c>
      <c r="K52" s="40" t="inlineStr">
        <is>
          <t>E05-S05</t>
        </is>
      </c>
      <c r="L52" s="40" t="n"/>
      <c r="M52" s="44" t="n"/>
      <c r="N52" s="45" t="n"/>
      <c r="O52" s="46" t="n"/>
      <c r="P52" s="46" t="n"/>
      <c r="Q52" s="47" t="n"/>
      <c r="R52" s="39" t="n">
        <v>3</v>
      </c>
      <c r="S52" s="48" t="inlineStr">
        <is>
          <t>As the dashboard and risk engine, I need current quotes, so that P&amp;L and spread checks use live prices.</t>
        </is>
      </c>
      <c r="T52" s="48" t="inlineStr">
        <is>
          <t>1. Write `state:quote:{symbol}` on each tick
2. Include bid/ask for spread checks
3. Publish to `stream:ticks` for archival</t>
        </is>
      </c>
      <c r="U52" s="48" t="n"/>
      <c r="V52" s="48" t="n"/>
      <c r="W52" s="49" t="n"/>
    </row>
    <row r="53" ht="30" customHeight="1" s="59">
      <c r="A53" s="38" t="inlineStr">
        <is>
          <t>E06-S01</t>
        </is>
      </c>
      <c r="B53" s="39" t="inlineStr">
        <is>
          <t>E06</t>
        </is>
      </c>
      <c r="C53" s="40" t="inlineStr">
        <is>
          <t>TECHNICAL ANALYSIS ENGINE</t>
        </is>
      </c>
      <c r="D53" s="40" t="inlineStr">
        <is>
          <t>Incremental indicator framework</t>
        </is>
      </c>
      <c r="E53" s="40" t="inlineStr">
        <is>
          <t>New</t>
        </is>
      </c>
      <c r="F53" s="41" t="inlineStr">
        <is>
          <t>P0</t>
        </is>
      </c>
      <c r="G53" s="39" t="inlineStr">
        <is>
          <t>2</t>
        </is>
      </c>
      <c r="H53" s="51" t="inlineStr">
        <is>
          <t>Safety-critical</t>
        </is>
      </c>
      <c r="I53" s="39" t="inlineStr">
        <is>
          <t>FEAT</t>
        </is>
      </c>
      <c r="J53" s="43" t="n">
        <v>2</v>
      </c>
      <c r="K53" s="40" t="inlineStr">
        <is>
          <t>E05-S06</t>
        </is>
      </c>
      <c r="L53" s="40" t="n"/>
      <c r="M53" s="44" t="n"/>
      <c r="N53" s="45" t="n"/>
      <c r="O53" s="46" t="n"/>
      <c r="P53" s="46" t="n"/>
      <c r="Q53" s="47" t="n"/>
      <c r="R53" s="39" t="n">
        <v>5</v>
      </c>
      <c r="S53" s="48" t="inlineStr">
        <is>
          <t>As a system, I want indicators updated in O(1) per bar, so that adding symbols does not degrade latency.</t>
        </is>
      </c>
      <c r="T53" s="48" t="inlineStr">
        <is>
          <t>1. `Indicator` protocol: `update(bar) -&gt; value`, `warm_up(bars)`, `is_ready`
2. TA-Lib streaming API wrapper
3. `IndicatorSet` per (symbol, timeframe)
4. State serialisation to Redis
5. Restore state on restart without full re-warm-up</t>
        </is>
      </c>
      <c r="U53" s="48" t="inlineStr">
        <is>
          <t>• 🔴 Incremental values match batch computation to 4 decimal places
• 200 symbols × 6 timeframes update in &lt; 50ms total</t>
        </is>
      </c>
      <c r="V53" s="48" t="n"/>
      <c r="W53" s="49" t="n"/>
    </row>
    <row r="54" ht="30" customHeight="1" s="59">
      <c r="A54" s="38" t="inlineStr">
        <is>
          <t>E06-S02</t>
        </is>
      </c>
      <c r="B54" s="39" t="inlineStr">
        <is>
          <t>E06</t>
        </is>
      </c>
      <c r="C54" s="40" t="inlineStr">
        <is>
          <t>TECHNICAL ANALYSIS ENGINE</t>
        </is>
      </c>
      <c r="D54" s="40" t="inlineStr">
        <is>
          <t>Core indicator implementations</t>
        </is>
      </c>
      <c r="E54" s="40" t="inlineStr">
        <is>
          <t>New</t>
        </is>
      </c>
      <c r="F54" s="41" t="inlineStr">
        <is>
          <t>P0</t>
        </is>
      </c>
      <c r="G54" s="39" t="inlineStr">
        <is>
          <t>2</t>
        </is>
      </c>
      <c r="H54" s="50" t="inlineStr">
        <is>
          <t>Correctness-critical</t>
        </is>
      </c>
      <c r="I54" s="39" t="inlineStr">
        <is>
          <t>FEAT</t>
        </is>
      </c>
      <c r="J54" s="43" t="n">
        <v>2</v>
      </c>
      <c r="K54" s="40" t="inlineStr">
        <is>
          <t>E06-S01</t>
        </is>
      </c>
      <c r="L54" s="40" t="n"/>
      <c r="M54" s="44" t="n"/>
      <c r="N54" s="45" t="n"/>
      <c r="O54" s="46" t="n"/>
      <c r="P54" s="46" t="n"/>
      <c r="Q54" s="47" t="n"/>
      <c r="R54" s="39" t="n">
        <v>8</v>
      </c>
      <c r="S54" s="48" t="n"/>
      <c r="T54" s="48" t="inlineStr">
        <is>
          <t>1. EMA (20, 50, 200), SMA
2. RSI(14)
3. MACD with signal and histogram
4. ATR(14) — critical, drives position sizing
5. Bollinger Bands
6. VWAP (session-anchored)
7. Volume ratio vs 20-period average
8. ADX</t>
        </is>
      </c>
      <c r="U54" s="48" t="inlineStr">
        <is>
          <t>• Every indicator verified against a reference implementation on the same data</t>
        </is>
      </c>
      <c r="V54" s="48" t="n"/>
      <c r="W54" s="49" t="n"/>
    </row>
    <row r="55" ht="30" customHeight="1" s="59">
      <c r="A55" s="38" t="inlineStr">
        <is>
          <t>E06-S03</t>
        </is>
      </c>
      <c r="B55" s="39" t="inlineStr">
        <is>
          <t>E06</t>
        </is>
      </c>
      <c r="C55" s="40" t="inlineStr">
        <is>
          <t>TECHNICAL ANALYSIS ENGINE</t>
        </is>
      </c>
      <c r="D55" s="40" t="inlineStr">
        <is>
          <t>Warm-up orchestration</t>
        </is>
      </c>
      <c r="E55" s="40" t="inlineStr">
        <is>
          <t>New</t>
        </is>
      </c>
      <c r="F55" s="41" t="inlineStr">
        <is>
          <t>P0</t>
        </is>
      </c>
      <c r="G55" s="39" t="inlineStr">
        <is>
          <t>2</t>
        </is>
      </c>
      <c r="H55" s="51" t="inlineStr">
        <is>
          <t>Safety-critical</t>
        </is>
      </c>
      <c r="I55" s="39" t="inlineStr">
        <is>
          <t>FEAT</t>
        </is>
      </c>
      <c r="J55" s="43" t="n">
        <v>1.5</v>
      </c>
      <c r="K55" s="40" t="inlineStr">
        <is>
          <t>E06-S01, E03-S01</t>
        </is>
      </c>
      <c r="L55" s="40" t="n"/>
      <c r="M55" s="44" t="n"/>
      <c r="N55" s="45" t="n"/>
      <c r="O55" s="46" t="n"/>
      <c r="P55" s="46" t="n"/>
      <c r="Q55" s="47" t="n"/>
      <c r="R55" s="39" t="n">
        <v>5</v>
      </c>
      <c r="S55" s="48" t="inlineStr">
        <is>
          <t>As a trader, I want indicators seeded from history before trading, so that a 200-EMA is never computed from 3 bars.</t>
        </is>
      </c>
      <c r="T55" s="48" t="inlineStr">
        <is>
          <t>1. Load lookback from TimescaleDB at session start
2. Parallel warm-up in `ProcessPoolExecutor`
3. `is_ready` false until the longest-period indicator has enough data
4. Report warm-up completion per symbol
5. Block trading until the watchlist is warm</t>
        </is>
      </c>
      <c r="U55" s="48" t="inlineStr">
        <is>
          <t>• 🔴 A symbol with insufficient history is excluded, not traded on bad values</t>
        </is>
      </c>
      <c r="V55" s="48" t="n"/>
      <c r="W55" s="49" t="n"/>
    </row>
    <row r="56" ht="30" customHeight="1" s="59">
      <c r="A56" s="38" t="inlineStr">
        <is>
          <t>E06-S04</t>
        </is>
      </c>
      <c r="B56" s="39" t="inlineStr">
        <is>
          <t>E06</t>
        </is>
      </c>
      <c r="C56" s="40" t="inlineStr">
        <is>
          <t>TECHNICAL ANALYSIS ENGINE</t>
        </is>
      </c>
      <c r="D56" s="40" t="inlineStr">
        <is>
          <t>Multi-timeframe snapshot assembly</t>
        </is>
      </c>
      <c r="E56" s="40" t="inlineStr">
        <is>
          <t>New</t>
        </is>
      </c>
      <c r="F56" s="41" t="inlineStr">
        <is>
          <t>P0</t>
        </is>
      </c>
      <c r="G56" s="39" t="inlineStr">
        <is>
          <t>2</t>
        </is>
      </c>
      <c r="H56" s="50" t="inlineStr">
        <is>
          <t>Correctness-critical</t>
        </is>
      </c>
      <c r="I56" s="39" t="inlineStr">
        <is>
          <t>FEAT</t>
        </is>
      </c>
      <c r="J56" s="43" t="n">
        <v>1</v>
      </c>
      <c r="K56" s="40" t="inlineStr">
        <is>
          <t>E06-S02</t>
        </is>
      </c>
      <c r="L56" s="40" t="n"/>
      <c r="M56" s="44" t="n"/>
      <c r="N56" s="45" t="n"/>
      <c r="O56" s="46" t="n"/>
      <c r="P56" s="46" t="n"/>
      <c r="Q56" s="47" t="n"/>
      <c r="R56" s="39" t="n">
        <v>3</v>
      </c>
      <c r="S56" s="48" t="n"/>
      <c r="T56" s="48" t="inlineStr">
        <is>
          <t>1. Assemble `MultiTimeframeSnapshot` from per-timeframe state
2. `all_ready` gate
3. Publish to Redis for `signal-engine` to read without IPC</t>
        </is>
      </c>
      <c r="U56" s="48" t="n"/>
      <c r="V56" s="48" t="n"/>
      <c r="W56" s="49" t="n"/>
    </row>
    <row r="57" ht="30" customHeight="1" s="59">
      <c r="A57" s="38" t="inlineStr">
        <is>
          <t>E06-S05</t>
        </is>
      </c>
      <c r="B57" s="39" t="inlineStr">
        <is>
          <t>E06</t>
        </is>
      </c>
      <c r="C57" s="40" t="inlineStr">
        <is>
          <t>TECHNICAL ANALYSIS ENGINE</t>
        </is>
      </c>
      <c r="D57" s="40" t="inlineStr">
        <is>
          <t>Support/resistance and pivot detection</t>
        </is>
      </c>
      <c r="E57" s="40" t="inlineStr">
        <is>
          <t>New</t>
        </is>
      </c>
      <c r="F57" s="41" t="inlineStr">
        <is>
          <t>P0</t>
        </is>
      </c>
      <c r="G57" s="39" t="inlineStr">
        <is>
          <t>2</t>
        </is>
      </c>
      <c r="H57" s="50" t="inlineStr">
        <is>
          <t>Correctness-critical</t>
        </is>
      </c>
      <c r="I57" s="39" t="inlineStr">
        <is>
          <t>FEAT</t>
        </is>
      </c>
      <c r="J57" s="43" t="n">
        <v>2</v>
      </c>
      <c r="K57" s="40" t="inlineStr">
        <is>
          <t>E06-S02</t>
        </is>
      </c>
      <c r="L57" s="40" t="n"/>
      <c r="M57" s="44" t="n"/>
      <c r="N57" s="45" t="n"/>
      <c r="O57" s="46" t="n"/>
      <c r="P57" s="46" t="n"/>
      <c r="Q57" s="47" t="n"/>
      <c r="R57" s="39" t="n">
        <v>5</v>
      </c>
      <c r="S57" s="48" t="inlineStr">
        <is>
          <t>As a strategy, I need structural levels, so that stops can be placed at points that invalidate the thesis rather than at arbitrary distances.</t>
        </is>
      </c>
      <c r="T57" s="48" t="inlineStr">
        <is>
          <t>1. Classic pivot points (P, R1-R3, S1-S3)
2. Prior-day high/low/close
3. Swing high/low detection
4. Level clustering (nearby levels merge)
5. Level strength scoring by touch count</t>
        </is>
      </c>
      <c r="U57" s="48" t="n"/>
      <c r="V57" s="48" t="n"/>
      <c r="W57" s="49" t="n"/>
    </row>
    <row r="58" ht="30" customHeight="1" s="59">
      <c r="A58" s="38" t="inlineStr">
        <is>
          <t>E06-S06</t>
        </is>
      </c>
      <c r="B58" s="39" t="inlineStr">
        <is>
          <t>E06</t>
        </is>
      </c>
      <c r="C58" s="40" t="inlineStr">
        <is>
          <t>TECHNICAL ANALYSIS ENGINE</t>
        </is>
      </c>
      <c r="D58" s="40" t="inlineStr">
        <is>
          <t>Opening range computation</t>
        </is>
      </c>
      <c r="E58" s="40" t="inlineStr">
        <is>
          <t>New</t>
        </is>
      </c>
      <c r="F58" s="41" t="inlineStr">
        <is>
          <t>P0</t>
        </is>
      </c>
      <c r="G58" s="39" t="inlineStr">
        <is>
          <t>2</t>
        </is>
      </c>
      <c r="H58" s="51" t="inlineStr">
        <is>
          <t>Safety-critical</t>
        </is>
      </c>
      <c r="I58" s="39" t="inlineStr">
        <is>
          <t>FEAT</t>
        </is>
      </c>
      <c r="J58" s="43" t="n">
        <v>1</v>
      </c>
      <c r="K58" s="40" t="inlineStr">
        <is>
          <t>E06-S02</t>
        </is>
      </c>
      <c r="L58" s="40" t="n"/>
      <c r="M58" s="44" t="n"/>
      <c r="N58" s="45" t="n"/>
      <c r="O58" s="46" t="n"/>
      <c r="P58" s="46" t="n"/>
      <c r="Q58" s="47" t="n"/>
      <c r="R58" s="39" t="n">
        <v>4</v>
      </c>
      <c r="S58" s="48" t="inlineStr">
        <is>
          <t>As the primary strategy, I need the 09:15–09:30 range, so that breakouts can be detected against a well-defined reference.</t>
        </is>
      </c>
      <c r="T58" s="48" t="inlineStr">
        <is>
          <t>1. Track high/low from 09:15 to 09:30
2. Seal at 09:30 and publish
3. Compute range as % of price
4. Handle the gap-open case</t>
        </is>
      </c>
      <c r="U58" s="48" t="inlineStr">
        <is>
          <t>• 🔴 Range is sealed exactly at 09:30 and never mutates afterwards</t>
        </is>
      </c>
      <c r="V58" s="48" t="n"/>
      <c r="W58" s="49" t="n"/>
    </row>
    <row r="59" ht="30" customHeight="1" s="59">
      <c r="A59" s="38" t="inlineStr">
        <is>
          <t>E06-S07</t>
        </is>
      </c>
      <c r="B59" s="39" t="inlineStr">
        <is>
          <t>E06</t>
        </is>
      </c>
      <c r="C59" s="40" t="inlineStr">
        <is>
          <t>TECHNICAL ANALYSIS ENGINE</t>
        </is>
      </c>
      <c r="D59" s="40" t="inlineStr">
        <is>
          <t>Relative strength calculation</t>
        </is>
      </c>
      <c r="E59" s="40" t="inlineStr">
        <is>
          <t>New</t>
        </is>
      </c>
      <c r="F59" s="41" t="inlineStr">
        <is>
          <t>P0</t>
        </is>
      </c>
      <c r="G59" s="39" t="inlineStr">
        <is>
          <t>2</t>
        </is>
      </c>
      <c r="H59" s="50" t="inlineStr">
        <is>
          <t>Correctness-critical</t>
        </is>
      </c>
      <c r="I59" s="39" t="inlineStr">
        <is>
          <t>FEAT</t>
        </is>
      </c>
      <c r="J59" s="43" t="n">
        <v>1.5</v>
      </c>
      <c r="K59" s="40" t="inlineStr">
        <is>
          <t>E06-S02</t>
        </is>
      </c>
      <c r="L59" s="40" t="n"/>
      <c r="M59" s="44" t="n"/>
      <c r="N59" s="45" t="n"/>
      <c r="O59" s="46" t="n"/>
      <c r="P59" s="46" t="n"/>
      <c r="Q59" s="47" t="n"/>
      <c r="R59" s="39" t="n">
        <v>4</v>
      </c>
      <c r="S59" s="48" t="inlineStr">
        <is>
          <t>As a scorer, I need stock-vs-sector and sector-vs-index strength, so that leaders in leading sectors rank higher.</t>
        </is>
      </c>
      <c r="T59" s="48" t="inlineStr">
        <is>
          <t>1. Sector index mapping per symbol
2. Rolling relative performance
3. Sector-vs-Nifty ranking
4. Normalise to a 0–1 score</t>
        </is>
      </c>
      <c r="U59" s="48" t="n"/>
      <c r="V59" s="48" t="n"/>
      <c r="W59" s="49" t="n"/>
    </row>
    <row r="60" ht="30" customHeight="1" s="59">
      <c r="A60" s="38" t="inlineStr">
        <is>
          <t>E06-S08</t>
        </is>
      </c>
      <c r="B60" s="39" t="inlineStr">
        <is>
          <t>E06</t>
        </is>
      </c>
      <c r="C60" s="40" t="inlineStr">
        <is>
          <t>TECHNICAL ANALYSIS ENGINE</t>
        </is>
      </c>
      <c r="D60" s="40" t="inlineStr">
        <is>
          <t>Chart and candlestick patterns</t>
        </is>
      </c>
      <c r="E60" s="40" t="inlineStr">
        <is>
          <t>New</t>
        </is>
      </c>
      <c r="F60" s="52" t="inlineStr">
        <is>
          <t>P2</t>
        </is>
      </c>
      <c r="G60" s="39" t="inlineStr">
        <is>
          <t>6</t>
        </is>
      </c>
      <c r="H60" s="42" t="inlineStr">
        <is>
          <t>Low</t>
        </is>
      </c>
      <c r="I60" s="39" t="inlineStr">
        <is>
          <t>FEAT</t>
        </is>
      </c>
      <c r="J60" s="43" t="n">
        <v>1</v>
      </c>
      <c r="K60" s="40" t="inlineStr">
        <is>
          <t>E06-S02</t>
        </is>
      </c>
      <c r="L60" s="40" t="n"/>
      <c r="M60" s="44" t="n"/>
      <c r="N60" s="45" t="n"/>
      <c r="O60" s="46" t="n"/>
      <c r="P60" s="46" t="n"/>
      <c r="Q60" s="47" t="n"/>
      <c r="R60" s="39" t="n">
        <v>0</v>
      </c>
      <c r="S60" s="48" t="n"/>
      <c r="T60" s="48" t="n"/>
      <c r="U60" s="48" t="n"/>
      <c r="V60" s="48" t="inlineStr">
        <is>
          <t>Flags, triangles, double tops/bottoms; TA-Lib candlestick recognition.</t>
        </is>
      </c>
      <c r="W60" s="49" t="n"/>
    </row>
    <row r="61" ht="30" customHeight="1" s="59">
      <c r="A61" s="38" t="inlineStr">
        <is>
          <t>E07-S01</t>
        </is>
      </c>
      <c r="B61" s="39" t="inlineStr">
        <is>
          <t>E07</t>
        </is>
      </c>
      <c r="C61" s="40" t="inlineStr">
        <is>
          <t>UNIVERSE &amp; SCORING</t>
        </is>
      </c>
      <c r="D61" s="40" t="inlineStr">
        <is>
          <t>Base universe loading</t>
        </is>
      </c>
      <c r="E61" s="40" t="inlineStr">
        <is>
          <t>New</t>
        </is>
      </c>
      <c r="F61" s="41" t="inlineStr">
        <is>
          <t>P0</t>
        </is>
      </c>
      <c r="G61" s="39" t="inlineStr">
        <is>
          <t>2</t>
        </is>
      </c>
      <c r="H61" s="42" t="inlineStr">
        <is>
          <t>Low</t>
        </is>
      </c>
      <c r="I61" s="39" t="inlineStr">
        <is>
          <t>FEAT</t>
        </is>
      </c>
      <c r="J61" s="43" t="n">
        <v>0.5</v>
      </c>
      <c r="K61" s="40" t="inlineStr">
        <is>
          <t>E02-S06</t>
        </is>
      </c>
      <c r="L61" s="40" t="n"/>
      <c r="M61" s="44" t="n"/>
      <c r="N61" s="45" t="n"/>
      <c r="O61" s="46" t="n"/>
      <c r="P61" s="46" t="n"/>
      <c r="Q61" s="47" t="n"/>
      <c r="R61" s="39" t="n">
        <v>4</v>
      </c>
      <c r="S61" s="48" t="n"/>
      <c r="T61" s="48" t="inlineStr">
        <is>
          <t>1. Load Nifty 50/100/200/500 constituents
2. F&amp;O universe
3. Custom symbol list support
4. Handle index reconstitution</t>
        </is>
      </c>
      <c r="U61" s="48" t="n"/>
      <c r="V61" s="48" t="n"/>
      <c r="W61" s="49" t="n"/>
    </row>
    <row r="62" ht="30" customHeight="1" s="59">
      <c r="A62" s="38" t="inlineStr">
        <is>
          <t>E07-S02</t>
        </is>
      </c>
      <c r="B62" s="39" t="inlineStr">
        <is>
          <t>E07</t>
        </is>
      </c>
      <c r="C62" s="40" t="inlineStr">
        <is>
          <t>UNIVERSE &amp; SCORING</t>
        </is>
      </c>
      <c r="D62" s="40" t="inlineStr">
        <is>
          <t>Hard filter pipeline</t>
        </is>
      </c>
      <c r="E62" s="40" t="inlineStr">
        <is>
          <t>New</t>
        </is>
      </c>
      <c r="F62" s="41" t="inlineStr">
        <is>
          <t>P0</t>
        </is>
      </c>
      <c r="G62" s="39" t="inlineStr">
        <is>
          <t>2</t>
        </is>
      </c>
      <c r="H62" s="51" t="inlineStr">
        <is>
          <t>Safety-critical</t>
        </is>
      </c>
      <c r="I62" s="39" t="inlineStr">
        <is>
          <t>FEAT</t>
        </is>
      </c>
      <c r="J62" s="43" t="n">
        <v>1.5</v>
      </c>
      <c r="K62" s="40" t="inlineStr">
        <is>
          <t>E04 (all), E07-S01</t>
        </is>
      </c>
      <c r="L62" s="40" t="n"/>
      <c r="M62" s="44" t="n"/>
      <c r="N62" s="45" t="n"/>
      <c r="O62" s="46" t="n"/>
      <c r="P62" s="46" t="n"/>
      <c r="Q62" s="47" t="n"/>
      <c r="R62" s="39" t="n">
        <v>4</v>
      </c>
      <c r="S62" s="48" t="inlineStr">
        <is>
          <t>As a trader, I want structurally untradeable stocks removed before scoring, so that no ineligible name can reach an order.</t>
        </is>
      </c>
      <c r="T62" s="48" t="inlineStr">
        <is>
          <t>1. Apply all 10 filters in order (cheapest first)
2. Record which filter excluded each symbol
3. Live preview: how many survive each filter today
4. Alert if the surviving universe is implausibly small</t>
        </is>
      </c>
      <c r="U62" s="48" t="inlineStr">
        <is>
          <t>• 🔴 Every filter in config is applied; none can be silently skipped
• The exclusion reason for any symbol is queryable</t>
        </is>
      </c>
      <c r="V62" s="48" t="n"/>
      <c r="W62" s="49" t="n"/>
    </row>
    <row r="63" ht="30" customHeight="1" s="59">
      <c r="A63" s="38" t="inlineStr">
        <is>
          <t>E07-S03</t>
        </is>
      </c>
      <c r="B63" s="39" t="inlineStr">
        <is>
          <t>E07</t>
        </is>
      </c>
      <c r="C63" s="40" t="inlineStr">
        <is>
          <t>UNIVERSE &amp; SCORING</t>
        </is>
      </c>
      <c r="D63" s="40" t="inlineStr">
        <is>
          <t>Tradeability score components</t>
        </is>
      </c>
      <c r="E63" s="40" t="inlineStr">
        <is>
          <t>New</t>
        </is>
      </c>
      <c r="F63" s="41" t="inlineStr">
        <is>
          <t>P0</t>
        </is>
      </c>
      <c r="G63" s="39" t="inlineStr">
        <is>
          <t>2</t>
        </is>
      </c>
      <c r="H63" s="50" t="inlineStr">
        <is>
          <t>Correctness-critical</t>
        </is>
      </c>
      <c r="I63" s="39" t="inlineStr">
        <is>
          <t>FEAT</t>
        </is>
      </c>
      <c r="J63" s="43" t="n">
        <v>2</v>
      </c>
      <c r="K63" s="40" t="inlineStr">
        <is>
          <t>E06-S04, E06-S07</t>
        </is>
      </c>
      <c r="L63" s="40" t="n"/>
      <c r="M63" s="44" t="n"/>
      <c r="N63" s="45" t="n"/>
      <c r="O63" s="46" t="n"/>
      <c r="P63" s="46" t="n"/>
      <c r="Q63" s="47" t="n"/>
      <c r="R63" s="39" t="n">
        <v>7</v>
      </c>
      <c r="S63" s="48" t="n"/>
      <c r="T63" s="48" t="inlineStr">
        <is>
          <t>1. Multi-timeframe trend alignment (25%)
2. Relative strength (20%)
3. Volatility fitness — scored as a *band*, not more-is-better (15%)
4. Volume expansion (15%)
5. Level proximity (15%)
6. Catalyst/news (10%) — stub until E08
7. Weighted composite, 0–100</t>
        </is>
      </c>
      <c r="U63" s="48" t="inlineStr">
        <is>
          <t>• Weights come from config and are verified to sum to 1.0
• Each component is independently unit-tested</t>
        </is>
      </c>
      <c r="V63" s="48" t="n"/>
      <c r="W63" s="49" t="n"/>
    </row>
    <row r="64" ht="30" customHeight="1" s="59">
      <c r="A64" s="38" t="inlineStr">
        <is>
          <t>E07-S04</t>
        </is>
      </c>
      <c r="B64" s="39" t="inlineStr">
        <is>
          <t>E07</t>
        </is>
      </c>
      <c r="C64" s="40" t="inlineStr">
        <is>
          <t>UNIVERSE &amp; SCORING</t>
        </is>
      </c>
      <c r="D64" s="40" t="inlineStr">
        <is>
          <t>Ranking and shortlisting</t>
        </is>
      </c>
      <c r="E64" s="40" t="inlineStr">
        <is>
          <t>New</t>
        </is>
      </c>
      <c r="F64" s="41" t="inlineStr">
        <is>
          <t>P0</t>
        </is>
      </c>
      <c r="G64" s="39" t="inlineStr">
        <is>
          <t>2</t>
        </is>
      </c>
      <c r="H64" s="42" t="inlineStr">
        <is>
          <t>Low</t>
        </is>
      </c>
      <c r="I64" s="39" t="inlineStr">
        <is>
          <t>FEAT</t>
        </is>
      </c>
      <c r="J64" s="43" t="n">
        <v>0.5</v>
      </c>
      <c r="K64" s="40" t="inlineStr">
        <is>
          <t>E07-S03</t>
        </is>
      </c>
      <c r="L64" s="40" t="n"/>
      <c r="M64" s="44" t="n"/>
      <c r="N64" s="45" t="n"/>
      <c r="O64" s="46" t="n"/>
      <c r="P64" s="46" t="n"/>
      <c r="Q64" s="47" t="n"/>
      <c r="R64" s="39" t="n">
        <v>3</v>
      </c>
      <c r="S64" s="48" t="n"/>
      <c r="T64" s="48" t="inlineStr">
        <is>
          <t>1. Rank surviving universe by score
2. Take top N (`shortlist_size`)
3. Tie-breaking rule (deterministic)</t>
        </is>
      </c>
      <c r="U64" s="48" t="n"/>
      <c r="V64" s="48" t="n"/>
      <c r="W64" s="49" t="n"/>
    </row>
    <row r="65" ht="30" customHeight="1" s="59">
      <c r="A65" s="38" t="inlineStr">
        <is>
          <t>E07-S05</t>
        </is>
      </c>
      <c r="B65" s="39" t="inlineStr">
        <is>
          <t>E07</t>
        </is>
      </c>
      <c r="C65" s="40" t="inlineStr">
        <is>
          <t>UNIVERSE &amp; SCORING</t>
        </is>
      </c>
      <c r="D65" s="40" t="inlineStr">
        <is>
          <t>Score explainability</t>
        </is>
      </c>
      <c r="E65" s="40" t="inlineStr">
        <is>
          <t>New</t>
        </is>
      </c>
      <c r="F65" s="41" t="inlineStr">
        <is>
          <t>P0</t>
        </is>
      </c>
      <c r="G65" s="39" t="inlineStr">
        <is>
          <t>2</t>
        </is>
      </c>
      <c r="H65" s="50" t="inlineStr">
        <is>
          <t>Correctness-critical</t>
        </is>
      </c>
      <c r="I65" s="39" t="inlineStr">
        <is>
          <t>FEAT</t>
        </is>
      </c>
      <c r="J65" s="43" t="n">
        <v>1</v>
      </c>
      <c r="K65" s="40" t="inlineStr">
        <is>
          <t>E07-S03</t>
        </is>
      </c>
      <c r="L65" s="40" t="n"/>
      <c r="M65" s="44" t="n"/>
      <c r="N65" s="45" t="n"/>
      <c r="O65" s="46" t="n"/>
      <c r="P65" s="46" t="n"/>
      <c r="Q65" s="47" t="n"/>
      <c r="R65" s="39" t="n">
        <v>3</v>
      </c>
      <c r="S65" s="48" t="inlineStr">
        <is>
          <t>As a trader, I want to see why a stock scored what it did, so that a bare number is not unaccountable.</t>
        </is>
      </c>
      <c r="T65" s="48" t="inlineStr">
        <is>
          <t>1. Persist per-component contributions
2. Render breakdown in the UI and briefing
3. Explain rank changes day over day</t>
        </is>
      </c>
      <c r="U65" s="48" t="n"/>
      <c r="V65" s="48" t="n"/>
      <c r="W65" s="49" t="n"/>
    </row>
    <row r="66" ht="30" customHeight="1" s="59">
      <c r="A66" s="38" t="inlineStr">
        <is>
          <t>E07-S06</t>
        </is>
      </c>
      <c r="B66" s="39" t="inlineStr">
        <is>
          <t>E07</t>
        </is>
      </c>
      <c r="C66" s="40" t="inlineStr">
        <is>
          <t>UNIVERSE &amp; SCORING</t>
        </is>
      </c>
      <c r="D66" s="40" t="inlineStr">
        <is>
          <t>Universe validation report</t>
        </is>
      </c>
      <c r="E66" s="40" t="inlineStr">
        <is>
          <t>New</t>
        </is>
      </c>
      <c r="F66" s="53" t="inlineStr">
        <is>
          <t>P1</t>
        </is>
      </c>
      <c r="G66" s="39" t="inlineStr">
        <is>
          <t>2</t>
        </is>
      </c>
      <c r="H66" s="42" t="inlineStr">
        <is>
          <t>Low</t>
        </is>
      </c>
      <c r="I66" s="39" t="inlineStr">
        <is>
          <t>TEST</t>
        </is>
      </c>
      <c r="J66" s="43" t="n">
        <v>1.5</v>
      </c>
      <c r="K66" s="40" t="inlineStr">
        <is>
          <t>E07-S04</t>
        </is>
      </c>
      <c r="L66" s="40" t="n"/>
      <c r="M66" s="44" t="n"/>
      <c r="N66" s="45" t="n"/>
      <c r="O66" s="46" t="n"/>
      <c r="P66" s="46" t="n"/>
      <c r="Q66" s="47" t="n"/>
      <c r="R66" s="39" t="n">
        <v>4</v>
      </c>
      <c r="S66" s="48" t="inlineStr">
        <is>
          <t>As a developer, I want to compare the ranked watchlist against what actually moved, so that the scoring model can be tuned on evidence.</t>
        </is>
      </c>
      <c r="T66" s="48" t="inlineStr">
        <is>
          <t>1. Daily: capture the ranked list
2. EOD: compare against realised ranges and volumes
3. Hit-rate metric: how often did top-10 names actually move?
4. Report over rolling 20 sessions</t>
        </is>
      </c>
      <c r="U66" s="48" t="n"/>
      <c r="V66" s="48" t="n"/>
      <c r="W66" s="49" t="n"/>
    </row>
    <row r="67" ht="30" customHeight="1" s="59">
      <c r="A67" s="38" t="inlineStr">
        <is>
          <t>E08-S01</t>
        </is>
      </c>
      <c r="B67" s="39" t="inlineStr">
        <is>
          <t>E08</t>
        </is>
      </c>
      <c r="C67" s="40" t="inlineStr">
        <is>
          <t>NEWS INTELLIGENCE</t>
        </is>
      </c>
      <c r="D67" s="40" t="inlineStr">
        <is>
          <t>News source integration</t>
        </is>
      </c>
      <c r="E67" s="40" t="inlineStr">
        <is>
          <t>New</t>
        </is>
      </c>
      <c r="F67" s="53" t="inlineStr">
        <is>
          <t>P1</t>
        </is>
      </c>
      <c r="G67" s="39" t="inlineStr">
        <is>
          <t>3</t>
        </is>
      </c>
      <c r="H67" s="50" t="inlineStr">
        <is>
          <t>Correctness-critical</t>
        </is>
      </c>
      <c r="I67" s="39" t="inlineStr">
        <is>
          <t>FEAT</t>
        </is>
      </c>
      <c r="J67" s="43" t="n">
        <v>1.5</v>
      </c>
      <c r="K67" s="40" t="inlineStr">
        <is>
          <t>E01-S02</t>
        </is>
      </c>
      <c r="L67" s="40" t="n"/>
      <c r="M67" s="44" t="n"/>
      <c r="N67" s="45" t="n"/>
      <c r="O67" s="46" t="n"/>
      <c r="P67" s="46" t="n"/>
      <c r="Q67" s="47" t="n"/>
      <c r="R67" s="39" t="n">
        <v>4</v>
      </c>
      <c r="S67" s="48" t="n"/>
      <c r="T67" s="48" t="inlineStr">
        <is>
          <t>1. Allowlisted provider clients
2. Polling on `news.refresh_interval_min`
3. Per-source timeout and failure isolation
4. Raw article persistence for audit</t>
        </is>
      </c>
      <c r="U67" s="48" t="inlineStr">
        <is>
          <t>• A dead source degrades its contribution, never fails the refresh</t>
        </is>
      </c>
      <c r="V67" s="48" t="n"/>
      <c r="W67" s="49" t="n"/>
    </row>
    <row r="68" ht="30" customHeight="1" s="59">
      <c r="A68" s="38" t="inlineStr">
        <is>
          <t>E08-S02</t>
        </is>
      </c>
      <c r="B68" s="39" t="inlineStr">
        <is>
          <t>E08</t>
        </is>
      </c>
      <c r="C68" s="40" t="inlineStr">
        <is>
          <t>NEWS INTELLIGENCE</t>
        </is>
      </c>
      <c r="D68" s="40" t="inlineStr">
        <is>
          <t>Near-duplicate detection and clustering</t>
        </is>
      </c>
      <c r="E68" s="40" t="inlineStr">
        <is>
          <t>New</t>
        </is>
      </c>
      <c r="F68" s="53" t="inlineStr">
        <is>
          <t>P1</t>
        </is>
      </c>
      <c r="G68" s="39" t="inlineStr">
        <is>
          <t>3</t>
        </is>
      </c>
      <c r="H68" s="50" t="inlineStr">
        <is>
          <t>Correctness-critical</t>
        </is>
      </c>
      <c r="I68" s="39" t="inlineStr">
        <is>
          <t>FEAT</t>
        </is>
      </c>
      <c r="J68" s="43" t="n">
        <v>1.5</v>
      </c>
      <c r="K68" s="40" t="inlineStr">
        <is>
          <t>E08-S01</t>
        </is>
      </c>
      <c r="L68" s="40" t="n"/>
      <c r="M68" s="44" t="n"/>
      <c r="N68" s="45" t="n"/>
      <c r="O68" s="46" t="n"/>
      <c r="P68" s="46" t="n"/>
      <c r="Q68" s="47" t="n"/>
      <c r="R68" s="39" t="n">
        <v>3</v>
      </c>
      <c r="S68" s="48" t="inlineStr">
        <is>
          <t>As an analyst, I want syndicated copies of the same story grouped, so that one event carried by six outlets is not counted six times.</t>
        </is>
      </c>
      <c r="T68" s="48" t="inlineStr">
        <is>
          <t>1. Similarity-based clustering
2. `cluster_id` assignment
3. Cluster size feeds salience (positively) and novelty (inversely)</t>
        </is>
      </c>
      <c r="U68" s="48" t="n"/>
      <c r="V68" s="48" t="n"/>
      <c r="W68" s="49" t="n"/>
    </row>
    <row r="69" ht="30" customHeight="1" s="59">
      <c r="A69" s="38" t="inlineStr">
        <is>
          <t>E08-S03</t>
        </is>
      </c>
      <c r="B69" s="39" t="inlineStr">
        <is>
          <t>E08</t>
        </is>
      </c>
      <c r="C69" s="40" t="inlineStr">
        <is>
          <t>NEWS INTELLIGENCE</t>
        </is>
      </c>
      <c r="D69" s="40" t="inlineStr">
        <is>
          <t>Prompt injection sanitisation</t>
        </is>
      </c>
      <c r="E69" s="40" t="inlineStr">
        <is>
          <t>New</t>
        </is>
      </c>
      <c r="F69" s="41" t="inlineStr">
        <is>
          <t>P0</t>
        </is>
      </c>
      <c r="G69" s="39" t="inlineStr">
        <is>
          <t>3</t>
        </is>
      </c>
      <c r="H69" s="51" t="inlineStr">
        <is>
          <t>Safety-critical</t>
        </is>
      </c>
      <c r="I69" s="39" t="inlineStr">
        <is>
          <t>SEC</t>
        </is>
      </c>
      <c r="J69" s="43" t="n">
        <v>2</v>
      </c>
      <c r="K69" s="40" t="inlineStr">
        <is>
          <t>E08-S01</t>
        </is>
      </c>
      <c r="L69" s="40" t="n"/>
      <c r="M69" s="44" t="n"/>
      <c r="N69" s="45" t="n"/>
      <c r="O69" s="46" t="n"/>
      <c r="P69" s="46" t="n"/>
      <c r="Q69" s="47" t="n"/>
      <c r="R69" s="39" t="n">
        <v>7</v>
      </c>
      <c r="S69" s="48" t="inlineStr">
        <is>
          <t>As a security-conscious operator, I want news content sanitised before it reaches any prompt, so that an attacker publishing crafted content cannot steer trading decisions.</t>
        </is>
      </c>
      <c r="T69" s="48" t="inlineStr">
        <is>
          <t>1. Strip/escape XML-ish tags and role markers
2. Detect instruction-injection phrases ("ignore previous", "system:")
3. Strip bidirectional Unicode overrides and zero-width characters
4. Length truncation
5. Set `injection_flagged` and exclude flagged articles from scoring
6. Metric per source — a rising rate is a source to drop
7. Adversarial test corpus (see E22-S06)</t>
        </is>
      </c>
      <c r="U69" s="48" t="inlineStr">
        <is>
          <t>• 🔴 Every payload in the adversarial corpus is neutralised
• Flagged articles are visible in the admin UI</t>
        </is>
      </c>
      <c r="V69" s="48" t="n"/>
      <c r="W69" s="49" t="n"/>
    </row>
    <row r="70" ht="30" customHeight="1" s="59">
      <c r="A70" s="38" t="inlineStr">
        <is>
          <t>E08-S04</t>
        </is>
      </c>
      <c r="B70" s="39" t="inlineStr">
        <is>
          <t>E08</t>
        </is>
      </c>
      <c r="C70" s="40" t="inlineStr">
        <is>
          <t>NEWS INTELLIGENCE</t>
        </is>
      </c>
      <c r="D70" s="40" t="inlineStr">
        <is>
          <t>Entity resolution</t>
        </is>
      </c>
      <c r="E70" s="40" t="inlineStr">
        <is>
          <t>New</t>
        </is>
      </c>
      <c r="F70" s="53" t="inlineStr">
        <is>
          <t>P1</t>
        </is>
      </c>
      <c r="G70" s="39" t="inlineStr">
        <is>
          <t>3</t>
        </is>
      </c>
      <c r="H70" s="50" t="inlineStr">
        <is>
          <t>Correctness-critical</t>
        </is>
      </c>
      <c r="I70" s="39" t="inlineStr">
        <is>
          <t>FEAT</t>
        </is>
      </c>
      <c r="J70" s="43" t="n">
        <v>1</v>
      </c>
      <c r="K70" s="40" t="inlineStr">
        <is>
          <t>E08-S02</t>
        </is>
      </c>
      <c r="L70" s="40" t="n"/>
      <c r="M70" s="44" t="n"/>
      <c r="N70" s="45" t="n"/>
      <c r="O70" s="46" t="n"/>
      <c r="P70" s="46" t="n"/>
      <c r="Q70" s="47" t="n"/>
      <c r="R70" s="39" t="n">
        <v>3</v>
      </c>
      <c r="S70" s="48" t="n"/>
      <c r="T70" s="48" t="inlineStr">
        <is>
          <t>1. Article → ticker(s) mapping
2. Sector and macro classification
3. Ambiguity handling (company names that are common words)</t>
        </is>
      </c>
      <c r="U70" s="48" t="n"/>
      <c r="V70" s="48" t="n"/>
      <c r="W70" s="49" t="n"/>
    </row>
    <row r="71" ht="30" customHeight="1" s="59">
      <c r="A71" s="38" t="inlineStr">
        <is>
          <t>E08-S05</t>
        </is>
      </c>
      <c r="B71" s="39" t="inlineStr">
        <is>
          <t>E08</t>
        </is>
      </c>
      <c r="C71" s="40" t="inlineStr">
        <is>
          <t>NEWS INTELLIGENCE</t>
        </is>
      </c>
      <c r="D71" s="40" t="inlineStr">
        <is>
          <t>AI news triage</t>
        </is>
      </c>
      <c r="E71" s="40" t="inlineStr">
        <is>
          <t>New</t>
        </is>
      </c>
      <c r="F71" s="53" t="inlineStr">
        <is>
          <t>P1</t>
        </is>
      </c>
      <c r="G71" s="39" t="inlineStr">
        <is>
          <t>3</t>
        </is>
      </c>
      <c r="H71" s="51" t="inlineStr">
        <is>
          <t>Safety-critical</t>
        </is>
      </c>
      <c r="I71" s="39" t="inlineStr">
        <is>
          <t>FEAT</t>
        </is>
      </c>
      <c r="J71" s="43" t="n">
        <v>1.5</v>
      </c>
      <c r="K71" s="40" t="inlineStr">
        <is>
          <t>E08-S03, E10-S01</t>
        </is>
      </c>
      <c r="L71" s="40" t="n"/>
      <c r="M71" s="44" t="n"/>
      <c r="N71" s="45" t="n"/>
      <c r="O71" s="46" t="n"/>
      <c r="P71" s="46" t="n"/>
      <c r="Q71" s="47" t="n"/>
      <c r="R71" s="39" t="n">
        <v>4</v>
      </c>
      <c r="S71" s="48" t="inlineStr">
        <is>
          <t>As a system, I want structured extraction from each article, so that only bounded fields propagate downstream.</t>
        </is>
      </c>
      <c r="T71" s="48" t="inlineStr">
        <is>
          <t>1. Haiku call with `NewsSignal` structured output
2. Event type, polarity, magnitude, certainty, horizon, scope
3. Batch articles to control cost
4. Handle refusals and schema failures by skipping the article</t>
        </is>
      </c>
      <c r="U71" s="48" t="inlineStr">
        <is>
          <t>• 🔴 No free-form field from news reaches any downstream prompt</t>
        </is>
      </c>
      <c r="V71" s="48" t="n"/>
      <c r="W71" s="49" t="n"/>
    </row>
    <row r="72" ht="30" customHeight="1" s="59">
      <c r="A72" s="38" t="inlineStr">
        <is>
          <t>E08-S06</t>
        </is>
      </c>
      <c r="B72" s="39" t="inlineStr">
        <is>
          <t>E08</t>
        </is>
      </c>
      <c r="C72" s="40" t="inlineStr">
        <is>
          <t>NEWS INTELLIGENCE</t>
        </is>
      </c>
      <c r="D72" s="40" t="inlineStr">
        <is>
          <t>Novelty scoring</t>
        </is>
      </c>
      <c r="E72" s="40" t="inlineStr">
        <is>
          <t>New</t>
        </is>
      </c>
      <c r="F72" s="53" t="inlineStr">
        <is>
          <t>P1</t>
        </is>
      </c>
      <c r="G72" s="39" t="inlineStr">
        <is>
          <t>3</t>
        </is>
      </c>
      <c r="H72" s="50" t="inlineStr">
        <is>
          <t>Correctness-critical</t>
        </is>
      </c>
      <c r="I72" s="39" t="inlineStr">
        <is>
          <t>FEAT</t>
        </is>
      </c>
      <c r="J72" s="43" t="n">
        <v>1.5</v>
      </c>
      <c r="K72" s="40" t="inlineStr">
        <is>
          <t>E08-S05</t>
        </is>
      </c>
      <c r="L72" s="40" t="n"/>
      <c r="M72" s="44" t="n"/>
      <c r="N72" s="45" t="n"/>
      <c r="O72" s="46" t="n"/>
      <c r="P72" s="46" t="n"/>
      <c r="Q72" s="47" t="n"/>
      <c r="R72" s="39" t="n">
        <v>6</v>
      </c>
      <c r="S72" s="48" t="inlineStr">
        <is>
          <t>As an analyst, I want new information distinguished from echo, so that the tenth repetition of a story does not score like the first.</t>
        </is>
      </c>
      <c r="T72" s="48" t="inlineStr">
        <is>
          <t>1. Rolling 30-day news history per symbol
2. Semantic similarity to recent articles
3. Event-type rarity for this symbol
4. Polarity surprise vs prior tone
5. Inverse cluster size
6. Weighted novelty score</t>
        </is>
      </c>
      <c r="U72" s="48" t="n"/>
      <c r="V72" s="48" t="n"/>
      <c r="W72" s="49" t="n"/>
    </row>
    <row r="73" ht="30" customHeight="1" s="59">
      <c r="A73" s="38" t="inlineStr">
        <is>
          <t>E08-S07</t>
        </is>
      </c>
      <c r="B73" s="39" t="inlineStr">
        <is>
          <t>E08</t>
        </is>
      </c>
      <c r="C73" s="40" t="inlineStr">
        <is>
          <t>NEWS INTELLIGENCE</t>
        </is>
      </c>
      <c r="D73" s="40" t="inlineStr">
        <is>
          <t>Time decay by event class</t>
        </is>
      </c>
      <c r="E73" s="40" t="inlineStr">
        <is>
          <t>New</t>
        </is>
      </c>
      <c r="F73" s="53" t="inlineStr">
        <is>
          <t>P1</t>
        </is>
      </c>
      <c r="G73" s="39" t="inlineStr">
        <is>
          <t>3</t>
        </is>
      </c>
      <c r="H73" s="50" t="inlineStr">
        <is>
          <t>Correctness-critical</t>
        </is>
      </c>
      <c r="I73" s="39" t="inlineStr">
        <is>
          <t>FEAT</t>
        </is>
      </c>
      <c r="J73" s="43" t="n">
        <v>0.5</v>
      </c>
      <c r="K73" s="40" t="inlineStr">
        <is>
          <t>E08-S05</t>
        </is>
      </c>
      <c r="L73" s="40" t="n"/>
      <c r="M73" s="44" t="n"/>
      <c r="N73" s="45" t="n"/>
      <c r="O73" s="46" t="n"/>
      <c r="P73" s="46" t="n"/>
      <c r="Q73" s="47" t="n"/>
      <c r="R73" s="39" t="n">
        <v>3</v>
      </c>
      <c r="S73" s="48" t="n"/>
      <c r="T73" s="48" t="inlineStr">
        <is>
          <t>1. Exponential decay using per-class half-lives from `NewsEventType`
2. Decay measured in *trading* days, not calendar days
3. Verify a weekend does not over-decay</t>
        </is>
      </c>
      <c r="U73" s="48" t="n"/>
      <c r="V73" s="48" t="n"/>
      <c r="W73" s="49" t="n"/>
    </row>
    <row r="74" ht="30" customHeight="1" s="59">
      <c r="A74" s="38" t="inlineStr">
        <is>
          <t>E08-S08</t>
        </is>
      </c>
      <c r="B74" s="39" t="inlineStr">
        <is>
          <t>E08</t>
        </is>
      </c>
      <c r="C74" s="40" t="inlineStr">
        <is>
          <t>NEWS INTELLIGENCE</t>
        </is>
      </c>
      <c r="D74" s="40" t="inlineStr">
        <is>
          <t>Composite score assembly</t>
        </is>
      </c>
      <c r="E74" s="40" t="inlineStr">
        <is>
          <t>New</t>
        </is>
      </c>
      <c r="F74" s="53" t="inlineStr">
        <is>
          <t>P1</t>
        </is>
      </c>
      <c r="G74" s="39" t="inlineStr">
        <is>
          <t>3</t>
        </is>
      </c>
      <c r="H74" s="50" t="inlineStr">
        <is>
          <t>Correctness-critical</t>
        </is>
      </c>
      <c r="I74" s="39" t="inlineStr">
        <is>
          <t>FEAT</t>
        </is>
      </c>
      <c r="J74" s="43" t="n">
        <v>1.5</v>
      </c>
      <c r="K74" s="40" t="inlineStr">
        <is>
          <t>E08-S06, E08-S07</t>
        </is>
      </c>
      <c r="L74" s="40" t="n"/>
      <c r="M74" s="44" t="n"/>
      <c r="N74" s="45" t="n"/>
      <c r="O74" s="46" t="n"/>
      <c r="P74" s="46" t="n"/>
      <c r="Q74" s="47" t="n"/>
      <c r="R74" s="39" t="n">
        <v>5</v>
      </c>
      <c r="S74" s="48" t="n"/>
      <c r="T74" s="48" t="inlineStr">
        <is>
          <t>1. Salience: log cluster size × source credibility × corroboration
2. Contribution = polarity × magnitude × certainty × novelty × salience × decay
3. Three separate scores — NewsScore (firm), SectorScore, MacroScore
4. Clamp to [-1, +1]
5. Stale pipeline → score 0, never last-known-value</t>
        </is>
      </c>
      <c r="U74" s="48" t="inlineStr">
        <is>
          <t>• Scores are never blended into one number
• A stale pipeline is visibly stale, not silently old</t>
        </is>
      </c>
      <c r="V74" s="48" t="n"/>
      <c r="W74" s="49" t="n"/>
    </row>
    <row r="75" ht="30" customHeight="1" s="59">
      <c r="A75" s="38" t="inlineStr">
        <is>
          <t>E08-S09</t>
        </is>
      </c>
      <c r="B75" s="39" t="inlineStr">
        <is>
          <t>E08</t>
        </is>
      </c>
      <c r="C75" s="40" t="inlineStr">
        <is>
          <t>NEWS INTELLIGENCE</t>
        </is>
      </c>
      <c r="D75" s="40" t="inlineStr">
        <is>
          <t>News UI surface</t>
        </is>
      </c>
      <c r="E75" s="40" t="inlineStr">
        <is>
          <t>New</t>
        </is>
      </c>
      <c r="F75" s="53" t="inlineStr">
        <is>
          <t>P1</t>
        </is>
      </c>
      <c r="G75" s="39" t="inlineStr">
        <is>
          <t>4</t>
        </is>
      </c>
      <c r="H75" s="42" t="inlineStr">
        <is>
          <t>Low</t>
        </is>
      </c>
      <c r="I75" s="39" t="inlineStr">
        <is>
          <t>FEAT</t>
        </is>
      </c>
      <c r="J75" s="43" t="n">
        <v>1</v>
      </c>
      <c r="K75" s="40" t="inlineStr">
        <is>
          <t>E08-S08, E17-S05</t>
        </is>
      </c>
      <c r="L75" s="40" t="n"/>
      <c r="M75" s="44" t="n"/>
      <c r="N75" s="45" t="n"/>
      <c r="O75" s="46" t="n"/>
      <c r="P75" s="46" t="n"/>
      <c r="Q75" s="47" t="n"/>
      <c r="R75" s="39" t="n">
        <v>0</v>
      </c>
      <c r="S75" s="48" t="n"/>
      <c r="T75" s="48" t="n"/>
      <c r="U75" s="48" t="n"/>
      <c r="V75" s="48" t="inlineStr">
        <is>
          <t>Show today's articles and decayed older contributions on symbol detail.</t>
        </is>
      </c>
      <c r="W75" s="49" t="n"/>
    </row>
    <row r="76" ht="30" customHeight="1" s="59">
      <c r="A76" s="38" t="inlineStr">
        <is>
          <t>E09-S01</t>
        </is>
      </c>
      <c r="B76" s="39" t="inlineStr">
        <is>
          <t>E09</t>
        </is>
      </c>
      <c r="C76" s="40" t="inlineStr">
        <is>
          <t>MACRO CONTEXT</t>
        </is>
      </c>
      <c r="D76" s="40" t="inlineStr">
        <is>
          <t>GIFT Nifty gap prediction</t>
        </is>
      </c>
      <c r="E76" s="40" t="inlineStr">
        <is>
          <t>New</t>
        </is>
      </c>
      <c r="F76" s="53" t="inlineStr">
        <is>
          <t>P1</t>
        </is>
      </c>
      <c r="G76" s="39" t="inlineStr">
        <is>
          <t>3</t>
        </is>
      </c>
      <c r="H76" s="50" t="inlineStr">
        <is>
          <t>Correctness-critical</t>
        </is>
      </c>
      <c r="I76" s="39" t="inlineStr">
        <is>
          <t>FEAT</t>
        </is>
      </c>
      <c r="J76" s="43" t="n">
        <v>1</v>
      </c>
      <c r="K76" s="40" t="n"/>
      <c r="L76" s="40" t="n"/>
      <c r="M76" s="44" t="n"/>
      <c r="N76" s="45" t="n"/>
      <c r="O76" s="46" t="n"/>
      <c r="P76" s="46" t="n"/>
      <c r="Q76" s="47" t="n"/>
      <c r="R76" s="39" t="n">
        <v>3</v>
      </c>
      <c r="S76" s="48" t="inlineStr">
        <is>
          <t>As a trader, I want the expected opening gap, so that the pre-market plan accounts for where the market will actually open.</t>
        </is>
      </c>
      <c r="T76" s="48" t="inlineStr">
        <is>
          <t>1. Fetch GIFT Nifty at ~09:00
2. Compute premium/discount vs previous Nifty close
3. Direction only — magnitude is unreliable (~85–90% direction accuracy)</t>
        </is>
      </c>
      <c r="U76" s="48" t="n"/>
      <c r="V76" s="48" t="n"/>
      <c r="W76" s="49" t="n"/>
    </row>
    <row r="77" ht="30" customHeight="1" s="59">
      <c r="A77" s="38" t="inlineStr">
        <is>
          <t>E09-S02</t>
        </is>
      </c>
      <c r="B77" s="39" t="inlineStr">
        <is>
          <t>E09</t>
        </is>
      </c>
      <c r="C77" s="40" t="inlineStr">
        <is>
          <t>MACRO CONTEXT</t>
        </is>
      </c>
      <c r="D77" s="40" t="inlineStr">
        <is>
          <t>India VIX ingestion</t>
        </is>
      </c>
      <c r="E77" s="40" t="inlineStr">
        <is>
          <t>New</t>
        </is>
      </c>
      <c r="F77" s="53" t="inlineStr">
        <is>
          <t>P1</t>
        </is>
      </c>
      <c r="G77" s="39" t="inlineStr">
        <is>
          <t>3</t>
        </is>
      </c>
      <c r="H77" s="42" t="inlineStr">
        <is>
          <t>Low</t>
        </is>
      </c>
      <c r="I77" s="39" t="inlineStr">
        <is>
          <t>FEAT</t>
        </is>
      </c>
      <c r="J77" s="43" t="n">
        <v>0.5</v>
      </c>
      <c r="K77" s="40" t="n"/>
      <c r="L77" s="40" t="n"/>
      <c r="M77" s="44" t="n"/>
      <c r="N77" s="45" t="n"/>
      <c r="O77" s="46" t="n"/>
      <c r="P77" s="46" t="n"/>
      <c r="Q77" s="47" t="n"/>
      <c r="R77" s="39" t="n">
        <v>0</v>
      </c>
      <c r="S77" s="48" t="n"/>
      <c r="T77" s="48" t="n"/>
      <c r="U77" s="48" t="n"/>
      <c r="V77" s="48" t="inlineStr">
        <is>
          <t>Current level, 30-day percentile, direction. Feeds regime and sizing.</t>
        </is>
      </c>
      <c r="W77" s="49" t="n"/>
    </row>
    <row r="78" ht="30" customHeight="1" s="59">
      <c r="A78" s="38" t="inlineStr">
        <is>
          <t>E09-S03</t>
        </is>
      </c>
      <c r="B78" s="39" t="inlineStr">
        <is>
          <t>E09</t>
        </is>
      </c>
      <c r="C78" s="40" t="inlineStr">
        <is>
          <t>MACRO CONTEXT</t>
        </is>
      </c>
      <c r="D78" s="40" t="inlineStr">
        <is>
          <t>FII/DII flow data</t>
        </is>
      </c>
      <c r="E78" s="40" t="inlineStr">
        <is>
          <t>New</t>
        </is>
      </c>
      <c r="F78" s="53" t="inlineStr">
        <is>
          <t>P1</t>
        </is>
      </c>
      <c r="G78" s="39" t="inlineStr">
        <is>
          <t>3</t>
        </is>
      </c>
      <c r="H78" s="42" t="inlineStr">
        <is>
          <t>Low</t>
        </is>
      </c>
      <c r="I78" s="39" t="inlineStr">
        <is>
          <t>FEAT</t>
        </is>
      </c>
      <c r="J78" s="43" t="n">
        <v>1</v>
      </c>
      <c r="K78" s="40" t="n"/>
      <c r="L78" s="40" t="n"/>
      <c r="M78" s="44" t="n"/>
      <c r="N78" s="45" t="n"/>
      <c r="O78" s="46" t="n"/>
      <c r="P78" s="46" t="n"/>
      <c r="Q78" s="47" t="n"/>
      <c r="R78" s="39" t="n">
        <v>0</v>
      </c>
      <c r="S78" s="48" t="n"/>
      <c r="T78" s="48" t="n"/>
      <c r="U78" s="48" t="n"/>
      <c r="V78" s="48" t="inlineStr">
        <is>
          <t>Daily cash and F&amp;O net figures; rolling 3-day trend.</t>
        </is>
      </c>
      <c r="W78" s="49" t="n"/>
    </row>
    <row r="79" ht="30" customHeight="1" s="59">
      <c r="A79" s="38" t="inlineStr">
        <is>
          <t>E09-S04</t>
        </is>
      </c>
      <c r="B79" s="39" t="inlineStr">
        <is>
          <t>E09</t>
        </is>
      </c>
      <c r="C79" s="40" t="inlineStr">
        <is>
          <t>MACRO CONTEXT</t>
        </is>
      </c>
      <c r="D79" s="40" t="inlineStr">
        <is>
          <t>Sector rotation ranking</t>
        </is>
      </c>
      <c r="E79" s="40" t="inlineStr">
        <is>
          <t>New</t>
        </is>
      </c>
      <c r="F79" s="53" t="inlineStr">
        <is>
          <t>P1</t>
        </is>
      </c>
      <c r="G79" s="39" t="inlineStr">
        <is>
          <t>3</t>
        </is>
      </c>
      <c r="H79" s="50" t="inlineStr">
        <is>
          <t>Correctness-critical</t>
        </is>
      </c>
      <c r="I79" s="39" t="inlineStr">
        <is>
          <t>FEAT</t>
        </is>
      </c>
      <c r="J79" s="43" t="n">
        <v>1.5</v>
      </c>
      <c r="K79" s="40" t="n"/>
      <c r="L79" s="40" t="n"/>
      <c r="M79" s="44" t="n"/>
      <c r="N79" s="45" t="n"/>
      <c r="O79" s="46" t="n"/>
      <c r="P79" s="46" t="n"/>
      <c r="Q79" s="47" t="n"/>
      <c r="R79" s="39" t="n">
        <v>4</v>
      </c>
      <c r="S79" s="48" t="n"/>
      <c r="T79" s="48" t="inlineStr">
        <is>
          <t>1. Fetch 24+ NSE sectoral indices
2. EOD/multi-day strength, not intraday — intraday ranks are noise
3. Relative strength vs Nifty
4. Breadth per sector</t>
        </is>
      </c>
      <c r="U79" s="48" t="n"/>
      <c r="V79" s="48" t="n"/>
      <c r="W79" s="49" t="n"/>
    </row>
    <row r="80" ht="30" customHeight="1" s="59">
      <c r="A80" s="38" t="inlineStr">
        <is>
          <t>E09-S05</t>
        </is>
      </c>
      <c r="B80" s="39" t="inlineStr">
        <is>
          <t>E09</t>
        </is>
      </c>
      <c r="C80" s="40" t="inlineStr">
        <is>
          <t>MACRO CONTEXT</t>
        </is>
      </c>
      <c r="D80" s="40" t="inlineStr">
        <is>
          <t>Economic calendar and event blackout</t>
        </is>
      </c>
      <c r="E80" s="40" t="inlineStr">
        <is>
          <t>New</t>
        </is>
      </c>
      <c r="F80" s="53" t="inlineStr">
        <is>
          <t>P1</t>
        </is>
      </c>
      <c r="G80" s="39" t="inlineStr">
        <is>
          <t>3</t>
        </is>
      </c>
      <c r="H80" s="51" t="inlineStr">
        <is>
          <t>Safety-critical</t>
        </is>
      </c>
      <c r="I80" s="39" t="inlineStr">
        <is>
          <t>FEAT</t>
        </is>
      </c>
      <c r="J80" s="43" t="n">
        <v>1.5</v>
      </c>
      <c r="K80" s="40" t="n"/>
      <c r="L80" s="40" t="n"/>
      <c r="M80" s="44" t="n"/>
      <c r="N80" s="45" t="n"/>
      <c r="O80" s="46" t="n"/>
      <c r="P80" s="46" t="n"/>
      <c r="Q80" s="47" t="n"/>
      <c r="R80" s="39" t="n">
        <v>4</v>
      </c>
      <c r="S80" s="48" t="inlineStr">
        <is>
          <t>As a risk-aware trader, I want to stand down around scheduled volatility events, so that a technical thesis is not run over by an RBI announcement.</t>
        </is>
      </c>
      <c r="T80" s="48" t="inlineStr">
        <is>
          <t>1. Fetch RBI policy, CPI, GDP, budget dates
2. Blackout windows from config
3. Union Budget full-day halt
4. Block new entries during blackout</t>
        </is>
      </c>
      <c r="U80" s="48" t="inlineStr">
        <is>
          <t>• 🔴 No entry is placed inside a configured blackout window</t>
        </is>
      </c>
      <c r="V80" s="48" t="n"/>
      <c r="W80" s="49" t="n"/>
    </row>
    <row r="81" ht="30" customHeight="1" s="59">
      <c r="A81" s="38" t="inlineStr">
        <is>
          <t>E09-S06</t>
        </is>
      </c>
      <c r="B81" s="39" t="inlineStr">
        <is>
          <t>E09</t>
        </is>
      </c>
      <c r="C81" s="40" t="inlineStr">
        <is>
          <t>MACRO CONTEXT</t>
        </is>
      </c>
      <c r="D81" s="40" t="inlineStr">
        <is>
          <t>Market regime classification</t>
        </is>
      </c>
      <c r="E81" s="40" t="inlineStr">
        <is>
          <t>New</t>
        </is>
      </c>
      <c r="F81" s="53" t="inlineStr">
        <is>
          <t>P1</t>
        </is>
      </c>
      <c r="G81" s="39" t="inlineStr">
        <is>
          <t>3</t>
        </is>
      </c>
      <c r="H81" s="50" t="inlineStr">
        <is>
          <t>Correctness-critical</t>
        </is>
      </c>
      <c r="I81" s="39" t="inlineStr">
        <is>
          <t>FEAT</t>
        </is>
      </c>
      <c r="J81" s="43" t="n">
        <v>1.5</v>
      </c>
      <c r="K81" s="40" t="inlineStr">
        <is>
          <t>E09-S02, E09-S04</t>
        </is>
      </c>
      <c r="L81" s="40" t="n"/>
      <c r="M81" s="44" t="n"/>
      <c r="N81" s="45" t="n"/>
      <c r="O81" s="46" t="n"/>
      <c r="P81" s="46" t="n"/>
      <c r="Q81" s="47" t="n"/>
      <c r="R81" s="39" t="n">
        <v>4</v>
      </c>
      <c r="S81" s="48" t="n"/>
      <c r="T81" s="48" t="inlineStr">
        <is>
          <t>1. Rule-based classifier: VIX + index trend + breadth + flows
2. Output: RISK_ON / RISK_OFF / HIGH_VOL / LOW_VOL / TRENDING / RANGEBOUND
3. Hysteresis to prevent flapping
4. Log regime changes</t>
        </is>
      </c>
      <c r="U81" s="48" t="n"/>
      <c r="V81" s="48" t="n"/>
      <c r="W81" s="49" t="n"/>
    </row>
    <row r="82" ht="30" customHeight="1" s="59">
      <c r="A82" s="38" t="inlineStr">
        <is>
          <t>E09-S07</t>
        </is>
      </c>
      <c r="B82" s="39" t="inlineStr">
        <is>
          <t>E09</t>
        </is>
      </c>
      <c r="C82" s="40" t="inlineStr">
        <is>
          <t>MACRO CONTEXT</t>
        </is>
      </c>
      <c r="D82" s="40" t="inlineStr">
        <is>
          <t>MarketContext assembly with staleness</t>
        </is>
      </c>
      <c r="E82" s="40" t="inlineStr">
        <is>
          <t>New</t>
        </is>
      </c>
      <c r="F82" s="53" t="inlineStr">
        <is>
          <t>P1</t>
        </is>
      </c>
      <c r="G82" s="39" t="inlineStr">
        <is>
          <t>3</t>
        </is>
      </c>
      <c r="H82" s="51" t="inlineStr">
        <is>
          <t>Safety-critical</t>
        </is>
      </c>
      <c r="I82" s="39" t="inlineStr">
        <is>
          <t>FEAT</t>
        </is>
      </c>
      <c r="J82" s="43" t="n">
        <v>1</v>
      </c>
      <c r="K82" s="40" t="inlineStr">
        <is>
          <t>E09-S01..S06</t>
        </is>
      </c>
      <c r="L82" s="40" t="n"/>
      <c r="M82" s="44" t="n"/>
      <c r="N82" s="45" t="n"/>
      <c r="O82" s="46" t="n"/>
      <c r="P82" s="46" t="n"/>
      <c r="Q82" s="47" t="n"/>
      <c r="R82" s="39" t="n">
        <v>5</v>
      </c>
      <c r="S82" s="48" t="inlineStr">
        <is>
          <t>As a consumer, I want every macro field to carry its own age, so that I cannot read stale data without knowing.</t>
        </is>
      </c>
      <c r="T82" s="48" t="inlineStr">
        <is>
          <t>1. Concurrent collection with per-collector timeout
2. `FieldWithStaleness[T]` wrapper — value plus `as_of` plus `is_stale`
3. Failed collector → `None` + flag, never an exception
4. `degraded_fields` list on the context
5. Cache in Redis with TTL</t>
        </is>
      </c>
      <c r="U82" s="48" t="inlineStr">
        <is>
          <t>• 🔴 A dead collector produces a usable context with an explicit gap</t>
        </is>
      </c>
      <c r="V82" s="48" t="n"/>
      <c r="W82" s="49" t="n"/>
    </row>
    <row r="83" ht="30" customHeight="1" s="59">
      <c r="A83" s="38" t="inlineStr">
        <is>
          <t>E09-S08</t>
        </is>
      </c>
      <c r="B83" s="39" t="inlineStr">
        <is>
          <t>E09</t>
        </is>
      </c>
      <c r="C83" s="40" t="inlineStr">
        <is>
          <t>MACRO CONTEXT</t>
        </is>
      </c>
      <c r="D83" s="40" t="inlineStr">
        <is>
          <t>Intermarket signals</t>
        </is>
      </c>
      <c r="E83" s="40" t="inlineStr">
        <is>
          <t>New</t>
        </is>
      </c>
      <c r="F83" s="52" t="inlineStr">
        <is>
          <t>P2</t>
        </is>
      </c>
      <c r="G83" s="39" t="inlineStr">
        <is>
          <t>6</t>
        </is>
      </c>
      <c r="H83" s="42" t="inlineStr">
        <is>
          <t>Low</t>
        </is>
      </c>
      <c r="I83" s="39" t="inlineStr">
        <is>
          <t>FEAT</t>
        </is>
      </c>
      <c r="J83" s="43" t="n">
        <v>1</v>
      </c>
      <c r="K83" s="40" t="n"/>
      <c r="L83" s="40" t="n"/>
      <c r="M83" s="44" t="n"/>
      <c r="N83" s="45" t="n"/>
      <c r="O83" s="46" t="n"/>
      <c r="P83" s="46" t="n"/>
      <c r="Q83" s="47" t="n"/>
      <c r="R83" s="39" t="n">
        <v>0</v>
      </c>
      <c r="S83" s="48" t="n"/>
      <c r="T83" s="48" t="n"/>
      <c r="U83" s="48" t="n"/>
      <c r="V83" s="48" t="inlineStr">
        <is>
          <t>USD/INR and crude effects on sector expectations.</t>
        </is>
      </c>
      <c r="W83" s="49" t="n"/>
    </row>
    <row r="84" ht="30" customHeight="1" s="59">
      <c r="A84" s="38" t="inlineStr">
        <is>
          <t>E10-S01</t>
        </is>
      </c>
      <c r="B84" s="39" t="inlineStr">
        <is>
          <t>E10</t>
        </is>
      </c>
      <c r="C84" s="40" t="inlineStr">
        <is>
          <t>AI LAYER</t>
        </is>
      </c>
      <c r="D84" s="40" t="inlineStr">
        <is>
          <t>Anthropic client wrapper</t>
        </is>
      </c>
      <c r="E84" s="40" t="inlineStr">
        <is>
          <t>New</t>
        </is>
      </c>
      <c r="F84" s="41" t="inlineStr">
        <is>
          <t>P0</t>
        </is>
      </c>
      <c r="G84" s="39" t="inlineStr">
        <is>
          <t>3</t>
        </is>
      </c>
      <c r="H84" s="51" t="inlineStr">
        <is>
          <t>Safety-critical</t>
        </is>
      </c>
      <c r="I84" s="39" t="inlineStr">
        <is>
          <t>FEAT</t>
        </is>
      </c>
      <c r="J84" s="43" t="n">
        <v>1.5</v>
      </c>
      <c r="K84" s="40" t="n"/>
      <c r="L84" s="40" t="n"/>
      <c r="M84" s="44" t="n"/>
      <c r="N84" s="45" t="n"/>
      <c r="O84" s="46" t="n"/>
      <c r="P84" s="46" t="n"/>
      <c r="Q84" s="47" t="n"/>
      <c r="R84" s="39" t="n">
        <v>5</v>
      </c>
      <c r="S84" s="48" t="n"/>
      <c r="T84" s="48" t="inlineStr">
        <is>
          <t>1. Async client with per-tier model selection
2. Timeout per tier from config
3. Retry with backoff on transient errors
4. Check `stop_reason` before reading `content`
5. Structured request/response logging with token counts</t>
        </is>
      </c>
      <c r="U84" s="48" t="inlineStr">
        <is>
          <t>• 🔴 A refusal never crashes the caller</t>
        </is>
      </c>
      <c r="V84" s="48" t="n"/>
      <c r="W84" s="49" t="n"/>
    </row>
    <row r="85" ht="30" customHeight="1" s="59">
      <c r="A85" s="38" t="inlineStr">
        <is>
          <t>E10-S02</t>
        </is>
      </c>
      <c r="B85" s="39" t="inlineStr">
        <is>
          <t>E10</t>
        </is>
      </c>
      <c r="C85" s="40" t="inlineStr">
        <is>
          <t>AI LAYER</t>
        </is>
      </c>
      <c r="D85" s="40" t="inlineStr">
        <is>
          <t>Prompt template system with caching</t>
        </is>
      </c>
      <c r="E85" s="40" t="inlineStr">
        <is>
          <t>New</t>
        </is>
      </c>
      <c r="F85" s="41" t="inlineStr">
        <is>
          <t>P0</t>
        </is>
      </c>
      <c r="G85" s="39" t="inlineStr">
        <is>
          <t>3</t>
        </is>
      </c>
      <c r="H85" s="51" t="inlineStr">
        <is>
          <t>Safety-critical</t>
        </is>
      </c>
      <c r="I85" s="39" t="inlineStr">
        <is>
          <t>FEAT</t>
        </is>
      </c>
      <c r="J85" s="43" t="n">
        <v>2</v>
      </c>
      <c r="K85" s="40" t="inlineStr">
        <is>
          <t>E10-S01</t>
        </is>
      </c>
      <c r="L85" s="40" t="n"/>
      <c r="M85" s="44" t="n"/>
      <c r="N85" s="45" t="n"/>
      <c r="O85" s="46" t="n"/>
      <c r="P85" s="46" t="n"/>
      <c r="Q85" s="47" t="n"/>
      <c r="R85" s="39" t="n">
        <v>5</v>
      </c>
      <c r="S85" s="48" t="inlineStr">
        <is>
          <t>As a cost-conscious operator, I want prompts structured for cache hits, so that repeated calls do not pay full price.</t>
        </is>
      </c>
      <c r="T85" s="48" t="inlineStr">
        <is>
          <t>1. Three-layer structure: frozen system / daily context / volatile per-call
2. `cache_control` breakpoints at the right boundaries
3. Versioned templates in `ai/prompts/`
4. No timestamps, UUIDs, or unsorted dicts in the cached prefix
5. Assert prompt determinism in tests</t>
        </is>
      </c>
      <c r="U85" s="48" t="inlineStr">
        <is>
          <t>• 🔴 `cache_read_input_tokens` &gt; 0 on the second identical-prefix call
• Alert if the cache hit rate drops below threshold</t>
        </is>
      </c>
      <c r="V85" s="48" t="n"/>
      <c r="W85" s="49" t="n"/>
    </row>
    <row r="86" ht="30" customHeight="1" s="59">
      <c r="A86" s="38" t="inlineStr">
        <is>
          <t>E10-S03</t>
        </is>
      </c>
      <c r="B86" s="39" t="inlineStr">
        <is>
          <t>E10</t>
        </is>
      </c>
      <c r="C86" s="40" t="inlineStr">
        <is>
          <t>AI LAYER</t>
        </is>
      </c>
      <c r="D86" s="40" t="inlineStr">
        <is>
          <t>Structured output schemas</t>
        </is>
      </c>
      <c r="E86" s="40" t="inlineStr">
        <is>
          <t>New</t>
        </is>
      </c>
      <c r="F86" s="41" t="inlineStr">
        <is>
          <t>P0</t>
        </is>
      </c>
      <c r="G86" s="39" t="inlineStr">
        <is>
          <t>3</t>
        </is>
      </c>
      <c r="H86" s="51" t="inlineStr">
        <is>
          <t>Safety-critical</t>
        </is>
      </c>
      <c r="I86" s="39" t="inlineStr">
        <is>
          <t>FEAT</t>
        </is>
      </c>
      <c r="J86" s="43" t="n">
        <v>1</v>
      </c>
      <c r="K86" s="40" t="inlineStr">
        <is>
          <t>E10-S01</t>
        </is>
      </c>
      <c r="L86" s="40" t="n"/>
      <c r="M86" s="44" t="n"/>
      <c r="N86" s="45" t="n"/>
      <c r="O86" s="46" t="n"/>
      <c r="P86" s="46" t="n"/>
      <c r="Q86" s="47" t="n"/>
      <c r="R86" s="39" t="n">
        <v>4</v>
      </c>
      <c r="S86" s="48" t="n"/>
      <c r="T86" s="48" t="inlineStr">
        <is>
          <t>1. `AIReview`, `DailyThesis`, `Playbook`, `NewsSignal` Pydantic models
2. `messages.parse()` integration
3. Schema validation failure → skip, log raw response
4. No `temperature`/`top_p` (rejected by current models)</t>
        </is>
      </c>
      <c r="U86" s="48" t="n"/>
      <c r="V86" s="48" t="n"/>
      <c r="W86" s="49" t="n"/>
    </row>
    <row r="87" ht="30" customHeight="1" s="59">
      <c r="A87" s="38" t="inlineStr">
        <is>
          <t>E10-S04</t>
        </is>
      </c>
      <c r="B87" s="39" t="inlineStr">
        <is>
          <t>E10</t>
        </is>
      </c>
      <c r="C87" s="40" t="inlineStr">
        <is>
          <t>AI LAYER</t>
        </is>
      </c>
      <c r="D87" s="40" t="inlineStr">
        <is>
          <t>Token budget and cost control</t>
        </is>
      </c>
      <c r="E87" s="40" t="inlineStr">
        <is>
          <t>New</t>
        </is>
      </c>
      <c r="F87" s="41" t="inlineStr">
        <is>
          <t>P0</t>
        </is>
      </c>
      <c r="G87" s="39" t="inlineStr">
        <is>
          <t>3</t>
        </is>
      </c>
      <c r="H87" s="51" t="inlineStr">
        <is>
          <t>Safety-critical</t>
        </is>
      </c>
      <c r="I87" s="39" t="inlineStr">
        <is>
          <t>FEAT</t>
        </is>
      </c>
      <c r="J87" s="43" t="n">
        <v>1</v>
      </c>
      <c r="K87" s="40" t="inlineStr">
        <is>
          <t>E10-S01</t>
        </is>
      </c>
      <c r="L87" s="40" t="n"/>
      <c r="M87" s="44" t="n"/>
      <c r="N87" s="45" t="n"/>
      <c r="O87" s="46" t="n"/>
      <c r="P87" s="46" t="n"/>
      <c r="Q87" s="47" t="n"/>
      <c r="R87" s="39" t="n">
        <v>5</v>
      </c>
      <c r="S87" s="48" t="n"/>
      <c r="T87" s="48" t="inlineStr">
        <is>
          <t>1. Redis counter for daily token spend
2. Alert at `alert_at_pct`
3. Hard stop at 100% → degrade to score-only mode, keep trading
4. Per-tier cost attribution
5. Daily cost report</t>
        </is>
      </c>
      <c r="U87" s="48" t="inlineStr">
        <is>
          <t>• 🔴 Budget exhaustion degrades capability; it never halts risk management</t>
        </is>
      </c>
      <c r="V87" s="48" t="n"/>
      <c r="W87" s="49" t="n"/>
    </row>
    <row r="88" ht="30" customHeight="1" s="59">
      <c r="A88" s="38" t="inlineStr">
        <is>
          <t>E10-S05</t>
        </is>
      </c>
      <c r="B88" s="39" t="inlineStr">
        <is>
          <t>E10</t>
        </is>
      </c>
      <c r="C88" s="40" t="inlineStr">
        <is>
          <t>AI LAYER</t>
        </is>
      </c>
      <c r="D88" s="40" t="inlineStr">
        <is>
          <t>In-session AI review</t>
        </is>
      </c>
      <c r="E88" s="40" t="inlineStr">
        <is>
          <t>New</t>
        </is>
      </c>
      <c r="F88" s="41" t="inlineStr">
        <is>
          <t>P0</t>
        </is>
      </c>
      <c r="G88" s="39" t="inlineStr">
        <is>
          <t>4</t>
        </is>
      </c>
      <c r="H88" s="51" t="inlineStr">
        <is>
          <t>Safety-critical</t>
        </is>
      </c>
      <c r="I88" s="39" t="inlineStr">
        <is>
          <t>FEAT</t>
        </is>
      </c>
      <c r="J88" s="43" t="n">
        <v>1.5</v>
      </c>
      <c r="K88" s="40" t="inlineStr">
        <is>
          <t>E10-S02, E10-S03</t>
        </is>
      </c>
      <c r="L88" s="40" t="n"/>
      <c r="M88" s="44" t="n"/>
      <c r="N88" s="45" t="n"/>
      <c r="O88" s="46" t="n"/>
      <c r="P88" s="46" t="n"/>
      <c r="Q88" s="47" t="n"/>
      <c r="R88" s="39" t="n">
        <v>5</v>
      </c>
      <c r="S88" s="48" t="n"/>
      <c r="T88" s="48" t="inlineStr">
        <is>
          <t>1. Render trigger + MTF snapshot + market context into the volatile layer
2. Sonnet call with `AIReview` output
3. Timeout → skip trade (fail closed)
4. Bounded concurrency via semaphore
5. Full request/response to audit log</t>
        </is>
      </c>
      <c r="U88" s="48" t="n"/>
      <c r="V88" s="48" t="n"/>
      <c r="W88" s="49" t="n"/>
    </row>
    <row r="89" ht="30" customHeight="1" s="59">
      <c r="A89" s="38" t="inlineStr">
        <is>
          <t>E10-S06</t>
        </is>
      </c>
      <c r="B89" s="39" t="inlineStr">
        <is>
          <t>E10</t>
        </is>
      </c>
      <c r="C89" s="40" t="inlineStr">
        <is>
          <t>AI LAYER</t>
        </is>
      </c>
      <c r="D89" s="40" t="inlineStr">
        <is>
          <t>Response caching for backtest</t>
        </is>
      </c>
      <c r="E89" s="40" t="inlineStr">
        <is>
          <t>New</t>
        </is>
      </c>
      <c r="F89" s="53" t="inlineStr">
        <is>
          <t>P1</t>
        </is>
      </c>
      <c r="G89" s="39" t="inlineStr">
        <is>
          <t>5</t>
        </is>
      </c>
      <c r="H89" s="50" t="inlineStr">
        <is>
          <t>Correctness-critical</t>
        </is>
      </c>
      <c r="I89" s="39" t="inlineStr">
        <is>
          <t>FEAT</t>
        </is>
      </c>
      <c r="J89" s="43" t="n">
        <v>1.5</v>
      </c>
      <c r="K89" s="40" t="inlineStr">
        <is>
          <t>E10-S01</t>
        </is>
      </c>
      <c r="L89" s="40" t="n"/>
      <c r="M89" s="44" t="n"/>
      <c r="N89" s="45" t="n"/>
      <c r="O89" s="46" t="n"/>
      <c r="P89" s="46" t="n"/>
      <c r="Q89" s="47" t="n"/>
      <c r="R89" s="39" t="n">
        <v>3</v>
      </c>
      <c r="S89" s="48" t="inlineStr">
        <is>
          <t>As a backtester, I want historical AI outputs replayed rather than re-called, so that backtests are deterministic and free.</t>
        </is>
      </c>
      <c r="T89" s="48" t="inlineStr">
        <is>
          <t>1. Cache keyed by prompt hash
2. Replay mode reads cache, never calls the API
3. Cache-miss policy in replay: fail loudly, do not silently call</t>
        </is>
      </c>
      <c r="U89" s="48" t="n"/>
      <c r="V89" s="48" t="n"/>
      <c r="W89" s="49" t="n"/>
    </row>
    <row r="90" ht="30" customHeight="1" s="59">
      <c r="A90" s="38" t="inlineStr">
        <is>
          <t>E10-S07</t>
        </is>
      </c>
      <c r="B90" s="39" t="inlineStr">
        <is>
          <t>E10</t>
        </is>
      </c>
      <c r="C90" s="40" t="inlineStr">
        <is>
          <t>AI LAYER</t>
        </is>
      </c>
      <c r="D90" s="40" t="inlineStr">
        <is>
          <t>Refusal handling and fallback</t>
        </is>
      </c>
      <c r="E90" s="40" t="inlineStr">
        <is>
          <t>New</t>
        </is>
      </c>
      <c r="F90" s="53" t="inlineStr">
        <is>
          <t>P1</t>
        </is>
      </c>
      <c r="G90" s="39" t="inlineStr">
        <is>
          <t>4</t>
        </is>
      </c>
      <c r="H90" s="51" t="inlineStr">
        <is>
          <t>Safety-critical</t>
        </is>
      </c>
      <c r="I90" s="39" t="inlineStr">
        <is>
          <t>SEC</t>
        </is>
      </c>
      <c r="J90" s="43" t="n">
        <v>1</v>
      </c>
      <c r="K90" s="40" t="inlineStr">
        <is>
          <t>E10-S01</t>
        </is>
      </c>
      <c r="L90" s="40" t="n"/>
      <c r="M90" s="44" t="n"/>
      <c r="N90" s="45" t="n"/>
      <c r="O90" s="46" t="n"/>
      <c r="P90" s="46" t="n"/>
      <c r="Q90" s="47" t="n"/>
      <c r="R90" s="39" t="n">
        <v>3</v>
      </c>
      <c r="S90" s="48" t="n"/>
      <c r="T90" s="48" t="inlineStr">
        <is>
          <t>1. Detect `stop_reason == "refusal"` with category
2. Log and skip the trade
3. Alert if refusals cluster (may indicate a prompt problem)</t>
        </is>
      </c>
      <c r="U90" s="48" t="n"/>
      <c r="V90" s="48" t="n"/>
      <c r="W90" s="49" t="n"/>
    </row>
    <row r="91" ht="30" customHeight="1" s="59">
      <c r="A91" s="38" t="inlineStr">
        <is>
          <t>E10-S08</t>
        </is>
      </c>
      <c r="B91" s="39" t="inlineStr">
        <is>
          <t>E10</t>
        </is>
      </c>
      <c r="C91" s="40" t="inlineStr">
        <is>
          <t>AI LAYER</t>
        </is>
      </c>
      <c r="D91" s="40" t="inlineStr">
        <is>
          <t>Model tier routing and evaluation</t>
        </is>
      </c>
      <c r="E91" s="40" t="inlineStr">
        <is>
          <t>New</t>
        </is>
      </c>
      <c r="F91" s="52" t="inlineStr">
        <is>
          <t>P2</t>
        </is>
      </c>
      <c r="G91" s="39" t="inlineStr">
        <is>
          <t>6</t>
        </is>
      </c>
      <c r="H91" s="42" t="inlineStr">
        <is>
          <t>Low</t>
        </is>
      </c>
      <c r="I91" s="39" t="inlineStr">
        <is>
          <t>FEAT</t>
        </is>
      </c>
      <c r="J91" s="43" t="n">
        <v>0.5</v>
      </c>
      <c r="K91" s="40" t="n"/>
      <c r="L91" s="40" t="n"/>
      <c r="M91" s="44" t="n"/>
      <c r="N91" s="45" t="n"/>
      <c r="O91" s="46" t="n"/>
      <c r="P91" s="46" t="n"/>
      <c r="Q91" s="47" t="n"/>
      <c r="R91" s="39" t="n">
        <v>0</v>
      </c>
      <c r="S91" s="48" t="n"/>
      <c r="T91" s="48" t="n"/>
      <c r="U91" s="48" t="n"/>
      <c r="V91" s="48" t="inlineStr">
        <is>
          <t>A/B a cheaper tier for in-session review and compare decision quality.</t>
        </is>
      </c>
      <c r="W91" s="49" t="n"/>
    </row>
    <row r="92" ht="30" customHeight="1" s="59">
      <c r="A92" s="38" t="inlineStr">
        <is>
          <t>E11-S01</t>
        </is>
      </c>
      <c r="B92" s="39" t="inlineStr">
        <is>
          <t>E11</t>
        </is>
      </c>
      <c r="C92" s="40" t="inlineStr">
        <is>
          <t>PRE-MARKET ENGINE</t>
        </is>
      </c>
      <c r="D92" s="40" t="inlineStr">
        <is>
          <t>Pipeline orchestration with checkpointing</t>
        </is>
      </c>
      <c r="E92" s="40" t="inlineStr">
        <is>
          <t>New</t>
        </is>
      </c>
      <c r="F92" s="41" t="inlineStr">
        <is>
          <t>P0</t>
        </is>
      </c>
      <c r="G92" s="39" t="inlineStr">
        <is>
          <t>3</t>
        </is>
      </c>
      <c r="H92" s="51" t="inlineStr">
        <is>
          <t>Safety-critical</t>
        </is>
      </c>
      <c r="I92" s="39" t="inlineStr">
        <is>
          <t>FEAT</t>
        </is>
      </c>
      <c r="J92" s="43" t="n">
        <v>2</v>
      </c>
      <c r="K92" s="40" t="inlineStr">
        <is>
          <t>E01-S02</t>
        </is>
      </c>
      <c r="L92" s="40" t="n"/>
      <c r="M92" s="44" t="n"/>
      <c r="N92" s="45" t="n"/>
      <c r="O92" s="46" t="n"/>
      <c r="P92" s="46" t="n"/>
      <c r="Q92" s="47" t="n"/>
      <c r="R92" s="39" t="n">
        <v>5</v>
      </c>
      <c r="S92" s="48" t="inlineStr">
        <is>
          <t>As an operator, I want the pre-market pipeline to resume from where it failed, so that a crash at 08:50 does not mean recomputing three hours of work with 25 minutes until the open.</t>
        </is>
      </c>
      <c r="T92" s="48" t="inlineStr">
        <is>
          <t>1. Stage abstraction with per-stage deadline
2. Checkpoint each stage output keyed by (date, stage)
3. Resume from the last completed stage
4. Overall deadline: hard stop at 09:12
5. Alert on stage overrun</t>
        </is>
      </c>
      <c r="U92" s="48" t="inlineStr">
        <is>
          <t>• 🔴 Killing the job mid-pipeline and restarting resumes correctly
• The plan is published by 09:12 or the day is flagged degraded</t>
        </is>
      </c>
      <c r="V92" s="48" t="n"/>
      <c r="W92" s="49" t="n"/>
    </row>
    <row r="93" ht="30" customHeight="1" s="59">
      <c r="A93" s="38" t="inlineStr">
        <is>
          <t>E11-S02</t>
        </is>
      </c>
      <c r="B93" s="39" t="inlineStr">
        <is>
          <t>E11</t>
        </is>
      </c>
      <c r="C93" s="40" t="inlineStr">
        <is>
          <t>PRE-MARKET ENGINE</t>
        </is>
      </c>
      <c r="D93" s="40" t="inlineStr">
        <is>
          <t>Data sync stage (05:30)</t>
        </is>
      </c>
      <c r="E93" s="40" t="inlineStr">
        <is>
          <t>New</t>
        </is>
      </c>
      <c r="F93" s="41" t="inlineStr">
        <is>
          <t>P0</t>
        </is>
      </c>
      <c r="G93" s="39" t="inlineStr">
        <is>
          <t>3</t>
        </is>
      </c>
      <c r="H93" s="50" t="inlineStr">
        <is>
          <t>Correctness-critical</t>
        </is>
      </c>
      <c r="I93" s="39" t="inlineStr">
        <is>
          <t>FEAT</t>
        </is>
      </c>
      <c r="J93" s="43" t="n">
        <v>0.5</v>
      </c>
      <c r="K93" s="40" t="inlineStr">
        <is>
          <t>E03-S01, E04 (all)</t>
        </is>
      </c>
      <c r="L93" s="40" t="n"/>
      <c r="M93" s="44" t="n"/>
      <c r="N93" s="45" t="n"/>
      <c r="O93" s="46" t="n"/>
      <c r="P93" s="46" t="n"/>
      <c r="Q93" s="47" t="n"/>
      <c r="R93" s="39" t="n">
        <v>0</v>
      </c>
      <c r="S93" s="48" t="n"/>
      <c r="T93" s="48" t="n"/>
      <c r="U93" s="48" t="n"/>
      <c r="V93" s="48" t="n"/>
      <c r="W93" s="49" t="n"/>
    </row>
    <row r="94" ht="30" customHeight="1" s="59">
      <c r="A94" s="38" t="inlineStr">
        <is>
          <t>E11-S03</t>
        </is>
      </c>
      <c r="B94" s="39" t="inlineStr">
        <is>
          <t>E11</t>
        </is>
      </c>
      <c r="C94" s="40" t="inlineStr">
        <is>
          <t>PRE-MARKET ENGINE</t>
        </is>
      </c>
      <c r="D94" s="40" t="inlineStr">
        <is>
          <t>Universe construction stage (06:30)</t>
        </is>
      </c>
      <c r="E94" s="40" t="inlineStr">
        <is>
          <t>New</t>
        </is>
      </c>
      <c r="F94" s="41" t="inlineStr">
        <is>
          <t>P0</t>
        </is>
      </c>
      <c r="G94" s="39" t="inlineStr">
        <is>
          <t>3</t>
        </is>
      </c>
      <c r="H94" s="50" t="inlineStr">
        <is>
          <t>Correctness-critical</t>
        </is>
      </c>
      <c r="I94" s="39" t="inlineStr">
        <is>
          <t>FEAT</t>
        </is>
      </c>
      <c r="J94" s="43" t="n">
        <v>0.5</v>
      </c>
      <c r="K94" s="40" t="inlineStr">
        <is>
          <t>E07-S02</t>
        </is>
      </c>
      <c r="L94" s="40" t="n"/>
      <c r="M94" s="44" t="n"/>
      <c r="N94" s="45" t="n"/>
      <c r="O94" s="46" t="n"/>
      <c r="P94" s="46" t="n"/>
      <c r="Q94" s="47" t="n"/>
      <c r="R94" s="39" t="n">
        <v>0</v>
      </c>
      <c r="S94" s="48" t="n"/>
      <c r="T94" s="48" t="n"/>
      <c r="U94" s="48" t="n"/>
      <c r="V94" s="48" t="n"/>
      <c r="W94" s="49" t="n"/>
    </row>
    <row r="95" ht="30" customHeight="1" s="59">
      <c r="A95" s="38" t="inlineStr">
        <is>
          <t>E11-S04</t>
        </is>
      </c>
      <c r="B95" s="39" t="inlineStr">
        <is>
          <t>E11</t>
        </is>
      </c>
      <c r="C95" s="40" t="inlineStr">
        <is>
          <t>PRE-MARKET ENGINE</t>
        </is>
      </c>
      <c r="D95" s="40" t="inlineStr">
        <is>
          <t>Multi-timeframe analysis stage (07:30)</t>
        </is>
      </c>
      <c r="E95" s="40" t="inlineStr">
        <is>
          <t>New</t>
        </is>
      </c>
      <c r="F95" s="41" t="inlineStr">
        <is>
          <t>P0</t>
        </is>
      </c>
      <c r="G95" s="39" t="inlineStr">
        <is>
          <t>3</t>
        </is>
      </c>
      <c r="H95" s="50" t="inlineStr">
        <is>
          <t>Correctness-critical</t>
        </is>
      </c>
      <c r="I95" s="39" t="inlineStr">
        <is>
          <t>FEAT</t>
        </is>
      </c>
      <c r="J95" s="43" t="n">
        <v>2</v>
      </c>
      <c r="K95" s="40" t="inlineStr">
        <is>
          <t>E06-S03</t>
        </is>
      </c>
      <c r="L95" s="40" t="n"/>
      <c r="M95" s="44" t="n"/>
      <c r="N95" s="45" t="n"/>
      <c r="O95" s="46" t="n"/>
      <c r="P95" s="46" t="n"/>
      <c r="Q95" s="47" t="n"/>
      <c r="R95" s="39" t="n">
        <v>5</v>
      </c>
      <c r="S95" s="48" t="inlineStr">
        <is>
          <t>As the heaviest compute of the day, this must complete in 45 minutes across the eligible universe.</t>
        </is>
      </c>
      <c r="T95" s="48" t="inlineStr">
        <is>
          <t>1. `ProcessPoolExecutor` fan-out across symbol slices
2. Weekly/daily/hourly indicator computation from stored history
3. Serialise snapshots back to the parent
4. Progress reporting
5. Graceful degradation if a symbol's history is insufficient</t>
        </is>
      </c>
      <c r="U95" s="48" t="inlineStr">
        <is>
          <t>• 200 symbols × 3 timeframes complete in &lt; 30 minutes</t>
        </is>
      </c>
      <c r="V95" s="48" t="n"/>
      <c r="W95" s="49" t="n"/>
    </row>
    <row r="96" ht="30" customHeight="1" s="59">
      <c r="A96" s="38" t="inlineStr">
        <is>
          <t>E11-S05</t>
        </is>
      </c>
      <c r="B96" s="39" t="inlineStr">
        <is>
          <t>E11</t>
        </is>
      </c>
      <c r="C96" s="40" t="inlineStr">
        <is>
          <t>PRE-MARKET ENGINE</t>
        </is>
      </c>
      <c r="D96" s="40" t="inlineStr">
        <is>
          <t>News and macro sweep stage (08:15)</t>
        </is>
      </c>
      <c r="E96" s="40" t="inlineStr">
        <is>
          <t>New</t>
        </is>
      </c>
      <c r="F96" s="41" t="inlineStr">
        <is>
          <t>P0</t>
        </is>
      </c>
      <c r="G96" s="39" t="inlineStr">
        <is>
          <t>3</t>
        </is>
      </c>
      <c r="H96" s="50" t="inlineStr">
        <is>
          <t>Correctness-critical</t>
        </is>
      </c>
      <c r="I96" s="39" t="inlineStr">
        <is>
          <t>FEAT</t>
        </is>
      </c>
      <c r="J96" s="43" t="n">
        <v>0.5</v>
      </c>
      <c r="K96" s="40" t="inlineStr">
        <is>
          <t>E08, E09</t>
        </is>
      </c>
      <c r="L96" s="40" t="n"/>
      <c r="M96" s="44" t="n"/>
      <c r="N96" s="45" t="n"/>
      <c r="O96" s="46" t="n"/>
      <c r="P96" s="46" t="n"/>
      <c r="Q96" s="47" t="n"/>
      <c r="R96" s="39" t="n">
        <v>0</v>
      </c>
      <c r="S96" s="48" t="n"/>
      <c r="T96" s="48" t="n"/>
      <c r="U96" s="48" t="n"/>
      <c r="V96" s="48" t="n"/>
      <c r="W96" s="49" t="n"/>
    </row>
    <row r="97" ht="30" customHeight="1" s="59">
      <c r="A97" s="38" t="inlineStr">
        <is>
          <t>E11-S06</t>
        </is>
      </c>
      <c r="B97" s="39" t="inlineStr">
        <is>
          <t>E11</t>
        </is>
      </c>
      <c r="C97" s="40" t="inlineStr">
        <is>
          <t>PRE-MARKET ENGINE</t>
        </is>
      </c>
      <c r="D97" s="40" t="inlineStr">
        <is>
          <t>AI deep synthesis stage (08:45) ⭐</t>
        </is>
      </c>
      <c r="E97" s="40" t="inlineStr">
        <is>
          <t>New</t>
        </is>
      </c>
      <c r="F97" s="41" t="inlineStr">
        <is>
          <t>P0</t>
        </is>
      </c>
      <c r="G97" s="39" t="inlineStr">
        <is>
          <t>3</t>
        </is>
      </c>
      <c r="H97" s="51" t="inlineStr">
        <is>
          <t>Safety-critical</t>
        </is>
      </c>
      <c r="I97" s="39" t="inlineStr">
        <is>
          <t>FEAT</t>
        </is>
      </c>
      <c r="J97" s="43" t="n">
        <v>2</v>
      </c>
      <c r="K97" s="40" t="inlineStr">
        <is>
          <t>E10-S02, E11-S04</t>
        </is>
      </c>
      <c r="L97" s="40" t="n"/>
      <c r="M97" s="44" t="n"/>
      <c r="N97" s="45" t="n"/>
      <c r="O97" s="46" t="n"/>
      <c r="P97" s="46" t="n"/>
      <c r="Q97" s="47" t="n"/>
      <c r="R97" s="39" t="n">
        <v>7</v>
      </c>
      <c r="S97" s="48" t="inlineStr">
        <is>
          <t>As a trader, I want a written market thesis and per-stock playbooks before the open, so that the session is execution of a plan rather than analysis under pressure.</t>
        </is>
      </c>
      <c r="T97" s="48" t="inlineStr">
        <is>
          <t>1. Assemble shortlist + MTF features + news + macro + journal into the prompt
2. Opus call with `DailyThesis` + `Playbook[]` structured output
3. Thesis: regime, bias, key levels, invalidation conditions
4. Playbook per candidate: setup, why, confirms, invalidates, direction
5. AI may veto or re-rank within the shortlist
6. Persist with token usage and latency
7. Deadline 09:00 → proceed score-only, mark `ai_unavailable`</t>
        </is>
      </c>
      <c r="U97" s="48" t="inlineStr">
        <is>
          <t>• 🔴 A timeout produces a valid score-only plan, not a missing plan
• Every candidate's playbook is traceable to its inputs</t>
        </is>
      </c>
      <c r="V97" s="48" t="n"/>
      <c r="W97" s="49" t="n"/>
    </row>
    <row r="98" ht="30" customHeight="1" s="59">
      <c r="A98" s="38" t="inlineStr">
        <is>
          <t>E11-S07</t>
        </is>
      </c>
      <c r="B98" s="39" t="inlineStr">
        <is>
          <t>E11</t>
        </is>
      </c>
      <c r="C98" s="40" t="inlineStr">
        <is>
          <t>PRE-MARKET ENGINE</t>
        </is>
      </c>
      <c r="D98" s="40" t="inlineStr">
        <is>
          <t>Pre-open gap adjustment (09:02)</t>
        </is>
      </c>
      <c r="E98" s="40" t="inlineStr">
        <is>
          <t>New</t>
        </is>
      </c>
      <c r="F98" s="41" t="inlineStr">
        <is>
          <t>P0</t>
        </is>
      </c>
      <c r="G98" s="39" t="inlineStr">
        <is>
          <t>3</t>
        </is>
      </c>
      <c r="H98" s="51" t="inlineStr">
        <is>
          <t>Safety-critical</t>
        </is>
      </c>
      <c r="I98" s="39" t="inlineStr">
        <is>
          <t>FEAT</t>
        </is>
      </c>
      <c r="J98" s="43" t="n">
        <v>1.5</v>
      </c>
      <c r="K98" s="40" t="inlineStr">
        <is>
          <t>E09-S01, E11-S06</t>
        </is>
      </c>
      <c r="L98" s="40" t="n"/>
      <c r="M98" s="44" t="n"/>
      <c r="N98" s="45" t="n"/>
      <c r="O98" s="46" t="n"/>
      <c r="P98" s="46" t="n"/>
      <c r="Q98" s="47" t="n"/>
      <c r="R98" s="39" t="n">
        <v>5</v>
      </c>
      <c r="S98" s="48" t="inlineStr">
        <is>
          <t>As a trader, I want the plan re-ranked with actual opening prices, so that a stock that gapped past its entry is not traded on a stale thesis.</t>
        </is>
      </c>
      <c r="T98" s="48" t="inlineStr">
        <is>
          <t>1. Read pre-open equilibrium prices
2. Compute per-stock gap vs previous close
3. Invalidate if gap exceeds `invalidate_if_gap_exceeds_pct`
4. Promote gap-and-go candidates
5. Keep invalidated candidates visible with reason</t>
        </is>
      </c>
      <c r="U98" s="48" t="inlineStr">
        <is>
          <t>• 🔴 A candidate that gapped past its entry cannot be traded on the old plan</t>
        </is>
      </c>
      <c r="V98" s="48" t="n"/>
      <c r="W98" s="49" t="n"/>
    </row>
    <row r="99" ht="30" customHeight="1" s="59">
      <c r="A99" s="38" t="inlineStr">
        <is>
          <t>E11-S08</t>
        </is>
      </c>
      <c r="B99" s="39" t="inlineStr">
        <is>
          <t>E11</t>
        </is>
      </c>
      <c r="C99" s="40" t="inlineStr">
        <is>
          <t>PRE-MARKET ENGINE</t>
        </is>
      </c>
      <c r="D99" s="40" t="inlineStr">
        <is>
          <t>Plan lock and briefing delivery (09:12)</t>
        </is>
      </c>
      <c r="E99" s="40" t="inlineStr">
        <is>
          <t>New</t>
        </is>
      </c>
      <c r="F99" s="41" t="inlineStr">
        <is>
          <t>P0</t>
        </is>
      </c>
      <c r="G99" s="39" t="inlineStr">
        <is>
          <t>3</t>
        </is>
      </c>
      <c r="H99" s="51" t="inlineStr">
        <is>
          <t>Safety-critical</t>
        </is>
      </c>
      <c r="I99" s="39" t="inlineStr">
        <is>
          <t>FEAT</t>
        </is>
      </c>
      <c r="J99" s="43" t="n">
        <v>1</v>
      </c>
      <c r="K99" s="40" t="inlineStr">
        <is>
          <t>E11-S07, E19-S02</t>
        </is>
      </c>
      <c r="L99" s="40" t="n"/>
      <c r="M99" s="44" t="n"/>
      <c r="N99" s="45" t="n"/>
      <c r="O99" s="46" t="n"/>
      <c r="P99" s="46" t="n"/>
      <c r="Q99" s="47" t="n"/>
      <c r="R99" s="39" t="n">
        <v>5</v>
      </c>
      <c r="S99" s="48" t="n"/>
      <c r="T99" s="48" t="inlineStr">
        <is>
          <t>1. Freeze the plan — immutable for the session
2. Record config hash with the plan
3. Persist to DB and Redis
4. Verify broker auth, margin, connectivity
5. Deliver briefing to Telegram by 09:13</t>
        </is>
      </c>
      <c r="U99" s="48" t="inlineStr">
        <is>
          <t>• 🔴 The plan cannot be modified after lock
• Briefing arrives before 09:15 on 20 consecutive sessions</t>
        </is>
      </c>
      <c r="V99" s="48" t="n"/>
      <c r="W99" s="49" t="n"/>
    </row>
    <row r="100" ht="30" customHeight="1" s="59">
      <c r="A100" s="38" t="inlineStr">
        <is>
          <t>E12-S01</t>
        </is>
      </c>
      <c r="B100" s="39" t="inlineStr">
        <is>
          <t>E12</t>
        </is>
      </c>
      <c r="C100" s="40" t="inlineStr">
        <is>
          <t>STRATEGY ENGINE</t>
        </is>
      </c>
      <c r="D100" s="40" t="inlineStr">
        <is>
          <t>Strategy registry and persistence</t>
        </is>
      </c>
      <c r="E100" s="40" t="inlineStr">
        <is>
          <t>New</t>
        </is>
      </c>
      <c r="F100" s="41" t="inlineStr">
        <is>
          <t>P0</t>
        </is>
      </c>
      <c r="G100" s="39" t="inlineStr">
        <is>
          <t>5</t>
        </is>
      </c>
      <c r="H100" s="50" t="inlineStr">
        <is>
          <t>Correctness-critical</t>
        </is>
      </c>
      <c r="I100" s="39" t="inlineStr">
        <is>
          <t>FEAT</t>
        </is>
      </c>
      <c r="J100" s="43" t="n">
        <v>1.5</v>
      </c>
      <c r="K100" s="40" t="inlineStr">
        <is>
          <t>E01-S01</t>
        </is>
      </c>
      <c r="L100" s="40" t="n"/>
      <c r="M100" s="44" t="n"/>
      <c r="N100" s="45" t="n"/>
      <c r="O100" s="46" t="n"/>
      <c r="P100" s="46" t="n"/>
      <c r="Q100" s="47" t="n"/>
      <c r="R100" s="39" t="n">
        <v>4</v>
      </c>
      <c r="S100" s="48" t="n"/>
      <c r="T100" s="48" t="inlineStr">
        <is>
          <t>1. Persist `StrategyDocument` to the `strategy` table
2. Load and compile on startup
3. Version and lineage tracking
4. Content-hash deduplication</t>
        </is>
      </c>
      <c r="U100" s="48" t="n"/>
      <c r="V100" s="48" t="n"/>
      <c r="W100" s="49" t="n"/>
    </row>
    <row r="101" ht="30" customHeight="1" s="59">
      <c r="A101" s="38" t="inlineStr">
        <is>
          <t>E12-S02</t>
        </is>
      </c>
      <c r="B101" s="39" t="inlineStr">
        <is>
          <t>E12</t>
        </is>
      </c>
      <c r="C101" s="40" t="inlineStr">
        <is>
          <t>STRATEGY ENGINE</t>
        </is>
      </c>
      <c r="D101" s="40" t="inlineStr">
        <is>
          <t>Lifecycle state machine</t>
        </is>
      </c>
      <c r="E101" s="40" t="inlineStr">
        <is>
          <t>New</t>
        </is>
      </c>
      <c r="F101" s="41" t="inlineStr">
        <is>
          <t>P0</t>
        </is>
      </c>
      <c r="G101" s="39" t="inlineStr">
        <is>
          <t>5</t>
        </is>
      </c>
      <c r="H101" s="51" t="inlineStr">
        <is>
          <t>Safety-critical</t>
        </is>
      </c>
      <c r="I101" s="39" t="inlineStr">
        <is>
          <t>FEAT</t>
        </is>
      </c>
      <c r="J101" s="43" t="n">
        <v>1.5</v>
      </c>
      <c r="K101" s="40" t="inlineStr">
        <is>
          <t>E12-S01</t>
        </is>
      </c>
      <c r="L101" s="40" t="n"/>
      <c r="M101" s="44" t="n"/>
      <c r="N101" s="45" t="n"/>
      <c r="O101" s="46" t="n"/>
      <c r="P101" s="46" t="n"/>
      <c r="Q101" s="47" t="n"/>
      <c r="R101" s="39" t="n">
        <v>5</v>
      </c>
      <c r="S101" s="48" t="n"/>
      <c r="T101" s="48" t="inlineStr">
        <is>
          <t>1. Implement the state machine from STRATEGY_ENGINE §4
2. Gate conditions per transition
3. Human approval required for ACTIVE — not overridable
4. State change audit trail
5. Illegal transitions rejected</t>
        </is>
      </c>
      <c r="U101" s="48" t="inlineStr">
        <is>
          <t>• 🔴 No code path promotes a strategy to ACTIVE without a recorded human approval</t>
        </is>
      </c>
      <c r="V101" s="48" t="n"/>
      <c r="W101" s="49" t="n"/>
    </row>
    <row r="102" ht="30" customHeight="1" s="59">
      <c r="A102" s="38" t="inlineStr">
        <is>
          <t>E12-S03</t>
        </is>
      </c>
      <c r="B102" s="39" t="inlineStr">
        <is>
          <t>E12</t>
        </is>
      </c>
      <c r="C102" s="40" t="inlineStr">
        <is>
          <t>STRATEGY ENGINE</t>
        </is>
      </c>
      <c r="D102" s="40" t="inlineStr">
        <is>
          <t>Backtest harness</t>
        </is>
      </c>
      <c r="E102" s="40" t="inlineStr">
        <is>
          <t>New</t>
        </is>
      </c>
      <c r="F102" s="41" t="inlineStr">
        <is>
          <t>P0</t>
        </is>
      </c>
      <c r="G102" s="39" t="inlineStr">
        <is>
          <t>5</t>
        </is>
      </c>
      <c r="H102" s="51" t="inlineStr">
        <is>
          <t>Safety-critical</t>
        </is>
      </c>
      <c r="I102" s="39" t="inlineStr">
        <is>
          <t>FEAT</t>
        </is>
      </c>
      <c r="J102" s="43" t="n">
        <v>3</v>
      </c>
      <c r="K102" s="40" t="inlineStr">
        <is>
          <t>E06-S04, E10-S06</t>
        </is>
      </c>
      <c r="L102" s="40" t="n"/>
      <c r="M102" s="44" t="n"/>
      <c r="N102" s="45" t="n"/>
      <c r="O102" s="46" t="n"/>
      <c r="P102" s="46" t="n"/>
      <c r="Q102" s="47" t="n"/>
      <c r="R102" s="39" t="n">
        <v>6</v>
      </c>
      <c r="S102" s="48" t="inlineStr">
        <is>
          <t>As a developer, I want backtests that execute the *production* strategy code against recorded snapshots, so that there is no reimplementation gap where backtest/live divergence hides.</t>
        </is>
      </c>
      <c r="T102" s="48" t="inlineStr">
        <is>
          <t>1. Replay `MultiTimeframeSnapshot` sequences from history
2. Execute the real `Strategy.evaluate`
3. Simulate fills with realistic slippage
4. Full India cost model: brokerage, STT, GST, exchange, stamp duty
5. Respect square-off deadlines and hazard exclusions
6. Equity curve, trade list, statistics</t>
        </is>
      </c>
      <c r="U102" s="48" t="inlineStr">
        <is>
          <t>• 🔴 The same strategy code runs in backtest and live
• Costs match a real contract note on a sample trade</t>
        </is>
      </c>
      <c r="V102" s="48" t="n"/>
      <c r="W102" s="49" t="n"/>
    </row>
    <row r="103" ht="30" customHeight="1" s="59">
      <c r="A103" s="38" t="inlineStr">
        <is>
          <t>E12-S04</t>
        </is>
      </c>
      <c r="B103" s="39" t="inlineStr">
        <is>
          <t>E12</t>
        </is>
      </c>
      <c r="C103" s="40" t="inlineStr">
        <is>
          <t>STRATEGY ENGINE</t>
        </is>
      </c>
      <c r="D103" s="40" t="inlineStr">
        <is>
          <t>Trial registry</t>
        </is>
      </c>
      <c r="E103" s="40" t="inlineStr">
        <is>
          <t>New</t>
        </is>
      </c>
      <c r="F103" s="41" t="inlineStr">
        <is>
          <t>P0</t>
        </is>
      </c>
      <c r="G103" s="39" t="inlineStr">
        <is>
          <t>5</t>
        </is>
      </c>
      <c r="H103" s="51" t="inlineStr">
        <is>
          <t>Safety-critical</t>
        </is>
      </c>
      <c r="I103" s="39" t="inlineStr">
        <is>
          <t>SEC</t>
        </is>
      </c>
      <c r="J103" s="43" t="n">
        <v>1</v>
      </c>
      <c r="K103" s="40" t="inlineStr">
        <is>
          <t>E01-S01</t>
        </is>
      </c>
      <c r="L103" s="40" t="n"/>
      <c r="M103" s="44" t="n"/>
      <c r="N103" s="45" t="n"/>
      <c r="O103" s="46" t="n"/>
      <c r="P103" s="46" t="n"/>
      <c r="Q103" s="47" t="n"/>
      <c r="R103" s="39" t="n">
        <v>5</v>
      </c>
      <c r="S103" s="48" t="inlineStr">
        <is>
          <t>As a statistician, I want every backtest counted forever, so that overfitting corrections have an honest denominator.</t>
        </is>
      </c>
      <c r="T103" s="48" t="inlineStr">
        <is>
          <t>1. Write a row for every gauntlet run, pass or fail
2. Parameter sweeps count individually
3. Content-hash deduplication of identical re-runs
4. Effective trial count query for DSR
5. Append-only DB role</t>
        </is>
      </c>
      <c r="U103" s="48" t="inlineStr">
        <is>
          <t>• 🔴 Deleting a trial row is impossible with the application's DB role
• Testing one strategy at 20 settings records 20 trials</t>
        </is>
      </c>
      <c r="V103" s="48" t="n"/>
      <c r="W103" s="49" t="n"/>
    </row>
    <row r="104" ht="30" customHeight="1" s="59">
      <c r="A104" s="38" t="inlineStr">
        <is>
          <t>E12-S05</t>
        </is>
      </c>
      <c r="B104" s="39" t="inlineStr">
        <is>
          <t>E12</t>
        </is>
      </c>
      <c r="C104" s="40" t="inlineStr">
        <is>
          <t>STRATEGY ENGINE</t>
        </is>
      </c>
      <c r="D104" s="40" t="inlineStr">
        <is>
          <t>Gauntlet G1–G4 (structural)</t>
        </is>
      </c>
      <c r="E104" s="40" t="inlineStr">
        <is>
          <t>New</t>
        </is>
      </c>
      <c r="F104" s="41" t="inlineStr">
        <is>
          <t>P0</t>
        </is>
      </c>
      <c r="G104" s="39" t="inlineStr">
        <is>
          <t>5</t>
        </is>
      </c>
      <c r="H104" s="51" t="inlineStr">
        <is>
          <t>Safety-critical</t>
        </is>
      </c>
      <c r="I104" s="39" t="inlineStr">
        <is>
          <t>FEAT</t>
        </is>
      </c>
      <c r="J104" s="43" t="n">
        <v>1.5</v>
      </c>
      <c r="K104" s="40" t="inlineStr">
        <is>
          <t>E12-S03</t>
        </is>
      </c>
      <c r="L104" s="40" t="n"/>
      <c r="M104" s="44" t="n"/>
      <c r="N104" s="45" t="n"/>
      <c r="O104" s="46" t="n"/>
      <c r="P104" s="46" t="n"/>
      <c r="Q104" s="47" t="n"/>
      <c r="R104" s="39" t="n">
        <v>0</v>
      </c>
      <c r="S104" s="48" t="n"/>
      <c r="T104" s="48" t="n"/>
      <c r="U104" s="48" t="n"/>
      <c r="V104" s="48" t="inlineStr">
        <is>
          <t>Hypothesis present · compiles · minimum 100 trades · realistic costs applied.</t>
        </is>
      </c>
      <c r="W104" s="49" t="n"/>
    </row>
    <row r="105" ht="30" customHeight="1" s="59">
      <c r="A105" s="38" t="inlineStr">
        <is>
          <t>E12-S06</t>
        </is>
      </c>
      <c r="B105" s="39" t="inlineStr">
        <is>
          <t>E12</t>
        </is>
      </c>
      <c r="C105" s="40" t="inlineStr">
        <is>
          <t>STRATEGY ENGINE</t>
        </is>
      </c>
      <c r="D105" s="40" t="inlineStr">
        <is>
          <t>Gauntlet G5 — purged/embargoed walk-forward</t>
        </is>
      </c>
      <c r="E105" s="40" t="inlineStr">
        <is>
          <t>New</t>
        </is>
      </c>
      <c r="F105" s="41" t="inlineStr">
        <is>
          <t>P0</t>
        </is>
      </c>
      <c r="G105" s="39" t="inlineStr">
        <is>
          <t>5</t>
        </is>
      </c>
      <c r="H105" s="51" t="inlineStr">
        <is>
          <t>Safety-critical</t>
        </is>
      </c>
      <c r="I105" s="39" t="inlineStr">
        <is>
          <t>FEAT</t>
        </is>
      </c>
      <c r="J105" s="43" t="n">
        <v>2.5</v>
      </c>
      <c r="K105" s="40" t="inlineStr">
        <is>
          <t>E12-S03</t>
        </is>
      </c>
      <c r="L105" s="40" t="n"/>
      <c r="M105" s="44" t="n"/>
      <c r="N105" s="45" t="n"/>
      <c r="O105" s="46" t="n"/>
      <c r="P105" s="46" t="n"/>
      <c r="Q105" s="47" t="n"/>
      <c r="R105" s="39" t="n">
        <v>4</v>
      </c>
      <c r="S105" s="48" t="inlineStr">
        <is>
          <t>As a statistician, I want CPCV with purging and embargo, so that label leakage does not make a bad strategy look good.</t>
        </is>
      </c>
      <c r="T105" s="48" t="inlineStr">
        <is>
          <t>1. Combinatorial purged cross-validation splitter
2. Purge training samples whose label windows overlap the test set
3. Embargo period after each test block
4. Per-fold performance consistency check</t>
        </is>
      </c>
      <c r="U105" s="48" t="inlineStr">
        <is>
          <t>• 🔴 A deliberately leaky strategy is caught by purging</t>
        </is>
      </c>
      <c r="V105" s="48" t="n"/>
      <c r="W105" s="49" t="n"/>
    </row>
    <row r="106" ht="30" customHeight="1" s="59">
      <c r="A106" s="38" t="inlineStr">
        <is>
          <t>E12-S07</t>
        </is>
      </c>
      <c r="B106" s="39" t="inlineStr">
        <is>
          <t>E12</t>
        </is>
      </c>
      <c r="C106" s="40" t="inlineStr">
        <is>
          <t>STRATEGY ENGINE</t>
        </is>
      </c>
      <c r="D106" s="40" t="inlineStr">
        <is>
          <t>Gauntlet G6/G7 — DSR and PBO</t>
        </is>
      </c>
      <c r="E106" s="40" t="inlineStr">
        <is>
          <t>New</t>
        </is>
      </c>
      <c r="F106" s="41" t="inlineStr">
        <is>
          <t>P0</t>
        </is>
      </c>
      <c r="G106" s="39" t="inlineStr">
        <is>
          <t>5</t>
        </is>
      </c>
      <c r="H106" s="51" t="inlineStr">
        <is>
          <t>Safety-critical</t>
        </is>
      </c>
      <c r="I106" s="39" t="inlineStr">
        <is>
          <t>FEAT</t>
        </is>
      </c>
      <c r="J106" s="43" t="n">
        <v>2.5</v>
      </c>
      <c r="K106" s="40" t="inlineStr">
        <is>
          <t>E12-S04, E12-S06</t>
        </is>
      </c>
      <c r="L106" s="40" t="n"/>
      <c r="M106" s="44" t="n"/>
      <c r="N106" s="45" t="n"/>
      <c r="O106" s="46" t="n"/>
      <c r="P106" s="46" t="n"/>
      <c r="Q106" s="47" t="n"/>
      <c r="R106" s="39" t="n">
        <v>4</v>
      </c>
      <c r="S106" s="48" t="inlineStr">
        <is>
          <t>As a statistician, I want Sharpe deflated for the number of trials and the probability of overfitting computed, so that a lucky backtest cannot reach live capital.</t>
        </is>
      </c>
      <c r="T106" s="48" t="inlineStr">
        <is>
          <t>1. Deflated Sharpe Ratio using the trial count, sample length, skew, kurtosis
2. PBO via combinatorially symmetric cross-validation
3. Reject on DSR confidence &lt; 0.95 or PBO &gt; 0.5
4. Persist both with the trial count used</t>
        </is>
      </c>
      <c r="U106" s="48" t="inlineStr">
        <is>
          <t>• 🔴 A strategy fitted to noise fails at least one of these
• Verified against a known-random strategy (should fail) and a known-real edge</t>
        </is>
      </c>
      <c r="V106" s="48" t="n"/>
      <c r="W106" s="49" t="n"/>
    </row>
    <row r="107" ht="30" customHeight="1" s="59">
      <c r="A107" s="38" t="inlineStr">
        <is>
          <t>E12-S08</t>
        </is>
      </c>
      <c r="B107" s="39" t="inlineStr">
        <is>
          <t>E12</t>
        </is>
      </c>
      <c r="C107" s="40" t="inlineStr">
        <is>
          <t>STRATEGY ENGINE</t>
        </is>
      </c>
      <c r="D107" s="40" t="inlineStr">
        <is>
          <t>Gauntlet G8–G12</t>
        </is>
      </c>
      <c r="E107" s="40" t="inlineStr">
        <is>
          <t>New</t>
        </is>
      </c>
      <c r="F107" s="53" t="inlineStr">
        <is>
          <t>P1</t>
        </is>
      </c>
      <c r="G107" s="39" t="inlineStr">
        <is>
          <t>5</t>
        </is>
      </c>
      <c r="H107" s="51" t="inlineStr">
        <is>
          <t>Safety-critical</t>
        </is>
      </c>
      <c r="I107" s="39" t="inlineStr">
        <is>
          <t>FEAT</t>
        </is>
      </c>
      <c r="J107" s="43" t="n">
        <v>2</v>
      </c>
      <c r="K107" s="40" t="inlineStr">
        <is>
          <t>E12-S07</t>
        </is>
      </c>
      <c r="L107" s="40" t="n"/>
      <c r="M107" s="44" t="n"/>
      <c r="N107" s="45" t="n"/>
      <c r="O107" s="46" t="n"/>
      <c r="P107" s="46" t="n"/>
      <c r="Q107" s="47" t="n"/>
      <c r="R107" s="39" t="n">
        <v>0</v>
      </c>
      <c r="S107" s="48" t="n"/>
      <c r="T107" s="48" t="n"/>
      <c r="U107" s="48" t="n"/>
      <c r="V107" s="48" t="inlineStr">
        <is>
          <t>Regime coverage · locked holdout (read once) · correlation to active · parameter sensitivity (±20%) · India tradability.</t>
        </is>
      </c>
      <c r="W107" s="49" t="n"/>
    </row>
    <row r="108" ht="30" customHeight="1" s="59">
      <c r="A108" s="38" t="inlineStr">
        <is>
          <t>E12-S09</t>
        </is>
      </c>
      <c r="B108" s="39" t="inlineStr">
        <is>
          <t>E12</t>
        </is>
      </c>
      <c r="C108" s="40" t="inlineStr">
        <is>
          <t>STRATEGY ENGINE</t>
        </is>
      </c>
      <c r="D108" s="40" t="inlineStr">
        <is>
          <t>Shadow mode</t>
        </is>
      </c>
      <c r="E108" s="40" t="inlineStr">
        <is>
          <t>New</t>
        </is>
      </c>
      <c r="F108" s="41" t="inlineStr">
        <is>
          <t>P0</t>
        </is>
      </c>
      <c r="G108" s="39" t="inlineStr">
        <is>
          <t>5</t>
        </is>
      </c>
      <c r="H108" s="50" t="inlineStr">
        <is>
          <t>Correctness-critical</t>
        </is>
      </c>
      <c r="I108" s="39" t="inlineStr">
        <is>
          <t>FEAT</t>
        </is>
      </c>
      <c r="J108" s="43" t="n">
        <v>1.5</v>
      </c>
      <c r="K108" s="40" t="inlineStr">
        <is>
          <t>E12-S02, E13-S01</t>
        </is>
      </c>
      <c r="L108" s="40" t="n"/>
      <c r="M108" s="44" t="n"/>
      <c r="N108" s="45" t="n"/>
      <c r="O108" s="46" t="n"/>
      <c r="P108" s="46" t="n"/>
      <c r="Q108" s="47" t="n"/>
      <c r="R108" s="39" t="n">
        <v>5</v>
      </c>
      <c r="S108" s="48" t="inlineStr">
        <is>
          <t>As a validator, I want strategies to record what they *would* have done, so that failures a backtest cannot show — signals at untradeable prices — surface before any capital is involved.</t>
        </is>
      </c>
      <c r="T108" s="48" t="inlineStr">
        <is>
          <t>1. Evaluate SHADOW strategies in the live loop
2. Record to `shadow_signal`, place no orders
3. EOD: evaluate hypothetical outcomes
4. Live-vs-backtest agreement metric
5. Promotion gate at ≥ 20 sessions, ≥ 80% agreement</t>
        </is>
      </c>
      <c r="U108" s="48" t="n"/>
      <c r="V108" s="48" t="n"/>
      <c r="W108" s="49" t="n"/>
    </row>
    <row r="109" ht="30" customHeight="1" s="59">
      <c r="A109" s="38" t="inlineStr">
        <is>
          <t>E12-S10</t>
        </is>
      </c>
      <c r="B109" s="39" t="inlineStr">
        <is>
          <t>E12</t>
        </is>
      </c>
      <c r="C109" s="40" t="inlineStr">
        <is>
          <t>STRATEGY ENGINE</t>
        </is>
      </c>
      <c r="D109" s="40" t="inlineStr">
        <is>
          <t>Degradation monitoring and auto-retirement</t>
        </is>
      </c>
      <c r="E109" s="40" t="inlineStr">
        <is>
          <t>New</t>
        </is>
      </c>
      <c r="F109" s="41" t="inlineStr">
        <is>
          <t>P0</t>
        </is>
      </c>
      <c r="G109" s="39" t="inlineStr">
        <is>
          <t>5</t>
        </is>
      </c>
      <c r="H109" s="51" t="inlineStr">
        <is>
          <t>Safety-critical</t>
        </is>
      </c>
      <c r="I109" s="39" t="inlineStr">
        <is>
          <t>FEAT</t>
        </is>
      </c>
      <c r="J109" s="43" t="n">
        <v>1.5</v>
      </c>
      <c r="K109" s="40" t="inlineStr">
        <is>
          <t>E12-S02</t>
        </is>
      </c>
      <c r="L109" s="40" t="n"/>
      <c r="M109" s="44" t="n"/>
      <c r="N109" s="45" t="n"/>
      <c r="O109" s="46" t="n"/>
      <c r="P109" s="46" t="n"/>
      <c r="Q109" s="47" t="n"/>
      <c r="R109" s="39" t="n">
        <v>6</v>
      </c>
      <c r="S109" s="48" t="inlineStr">
        <is>
          <t>As a trader, I want a decaying strategy demoted without asking me, so that a losing streak does not persist through inattention.</t>
        </is>
      </c>
      <c r="T109" s="48" t="inlineStr">
        <is>
          <t>1. Rolling window performance vs validated expectation
2. Triggers: Sharpe ratio, consecutive losses, drawdown, win rate, regime absence
3. ACTIVE → DEGRADED (50% size) automatically
4. DEGRADED → RETIRED after continued decay
5. `vs_backtest_ratio` tracked daily
6. Alert on every demotion</t>
        </is>
      </c>
      <c r="U109" s="48" t="inlineStr">
        <is>
          <t>• 🔴 Demotion is automatic; promotion is never automatic</t>
        </is>
      </c>
      <c r="V109" s="48" t="n"/>
      <c r="W109" s="49" t="n"/>
    </row>
    <row r="110" ht="30" customHeight="1" s="59">
      <c r="A110" s="38" t="inlineStr">
        <is>
          <t>E12-S11</t>
        </is>
      </c>
      <c r="B110" s="39" t="inlineStr">
        <is>
          <t>E12</t>
        </is>
      </c>
      <c r="C110" s="40" t="inlineStr">
        <is>
          <t>STRATEGY ENGINE</t>
        </is>
      </c>
      <c r="D110" s="40" t="inlineStr">
        <is>
          <t>AI strategy generation — journal mode</t>
        </is>
      </c>
      <c r="E110" s="40" t="inlineStr">
        <is>
          <t>New</t>
        </is>
      </c>
      <c r="F110" s="52" t="inlineStr">
        <is>
          <t>P2</t>
        </is>
      </c>
      <c r="G110" s="39" t="inlineStr">
        <is>
          <t>9</t>
        </is>
      </c>
      <c r="H110" s="51" t="inlineStr">
        <is>
          <t>Safety-critical</t>
        </is>
      </c>
      <c r="I110" s="39" t="inlineStr">
        <is>
          <t>FEAT</t>
        </is>
      </c>
      <c r="J110" s="43" t="n">
        <v>2.5</v>
      </c>
      <c r="K110" s="40" t="inlineStr">
        <is>
          <t>E12-S07, E12-S10</t>
        </is>
      </c>
      <c r="L110" s="40" t="n"/>
      <c r="M110" s="44" t="n"/>
      <c r="N110" s="45" t="n"/>
      <c r="O110" s="46" t="n"/>
      <c r="P110" s="46" t="n"/>
      <c r="Q110" s="47" t="n"/>
      <c r="R110" s="39" t="n">
        <v>6</v>
      </c>
      <c r="S110" s="48" t="inlineStr">
        <is>
          <t>As a trader, I want the AI to propose strategies from my own trade history, so that the system learns from what actually happened rather than from patterns in a price series.</t>
        </is>
      </c>
      <c r="T110" s="48" t="inlineStr">
        <is>
          <t>1. Assemble journal summary: setups, regimes, confidence, outcomes, R-multiples
2. Hypothesis-first protocol: AI states mechanism BEFORE seeing results
3. Freeze hypothesis to DB before the gauntlet runs
4. Emit `StrategyDocument` in the DSL — never code
5. Weekly cadence, max 5 proposals
6. Every proposal enters the gauntlet like any other</t>
        </is>
      </c>
      <c r="U110" s="48" t="inlineStr">
        <is>
          <t>• 🔴 The AI cannot bypass any gauntlet check
• 🔴 A proposal without a substantive hypothesis is rejected at parse time</t>
        </is>
      </c>
      <c r="V110" s="48" t="n"/>
      <c r="W110" s="49" t="n"/>
    </row>
    <row r="111" ht="30" customHeight="1" s="59">
      <c r="A111" s="38" t="inlineStr">
        <is>
          <t>E12-S12</t>
        </is>
      </c>
      <c r="B111" s="39" t="inlineStr">
        <is>
          <t>E12</t>
        </is>
      </c>
      <c r="C111" s="40" t="inlineStr">
        <is>
          <t>STRATEGY ENGINE</t>
        </is>
      </c>
      <c r="D111" s="40" t="inlineStr">
        <is>
          <t>AI strategy generation — observation mode</t>
        </is>
      </c>
      <c r="E111" s="40" t="inlineStr">
        <is>
          <t>New</t>
        </is>
      </c>
      <c r="F111" s="52" t="inlineStr">
        <is>
          <t>P2</t>
        </is>
      </c>
      <c r="G111" s="39" t="inlineStr">
        <is>
          <t>9</t>
        </is>
      </c>
      <c r="H111" s="51" t="inlineStr">
        <is>
          <t>Safety-critical</t>
        </is>
      </c>
      <c r="I111" s="39" t="inlineStr">
        <is>
          <t>FEAT</t>
        </is>
      </c>
      <c r="J111" s="43" t="n">
        <v>2</v>
      </c>
      <c r="K111" s="40" t="inlineStr">
        <is>
          <t>E12-S11</t>
        </is>
      </c>
      <c r="L111" s="40" t="n"/>
      <c r="M111" s="44" t="n"/>
      <c r="N111" s="45" t="n"/>
      <c r="O111" s="46" t="n"/>
      <c r="P111" s="46" t="n"/>
      <c r="Q111" s="47" t="n"/>
      <c r="R111" s="39" t="n">
        <v>0</v>
      </c>
      <c r="S111" s="48" t="n"/>
      <c r="T111" s="48" t="n"/>
      <c r="U111" s="48" t="n"/>
      <c r="V111" s="48" t="inlineStr">
        <is>
          <t>Market-behaviour summary → strategy proposals. Same constraints as S11.</t>
        </is>
      </c>
      <c r="W111" s="49" t="n"/>
    </row>
    <row r="112" ht="30" customHeight="1" s="59">
      <c r="A112" s="38" t="inlineStr">
        <is>
          <t>E13-S01</t>
        </is>
      </c>
      <c r="B112" s="39" t="inlineStr">
        <is>
          <t>E13</t>
        </is>
      </c>
      <c r="C112" s="40" t="inlineStr">
        <is>
          <t>SIGNAL ENGINE</t>
        </is>
      </c>
      <c r="D112" s="40" t="inlineStr">
        <is>
          <t>Strategy evaluation loop</t>
        </is>
      </c>
      <c r="E112" s="40" t="inlineStr">
        <is>
          <t>New</t>
        </is>
      </c>
      <c r="F112" s="41" t="inlineStr">
        <is>
          <t>P0</t>
        </is>
      </c>
      <c r="G112" s="39" t="inlineStr">
        <is>
          <t>4</t>
        </is>
      </c>
      <c r="H112" s="51" t="inlineStr">
        <is>
          <t>Safety-critical</t>
        </is>
      </c>
      <c r="I112" s="39" t="inlineStr">
        <is>
          <t>FEAT</t>
        </is>
      </c>
      <c r="J112" s="43" t="n">
        <v>2</v>
      </c>
      <c r="K112" s="40" t="inlineStr">
        <is>
          <t>E06-S04, E12-S01</t>
        </is>
      </c>
      <c r="L112" s="40" t="n"/>
      <c r="M112" s="44" t="n"/>
      <c r="N112" s="45" t="n"/>
      <c r="O112" s="46" t="n"/>
      <c r="P112" s="46" t="n"/>
      <c r="Q112" s="47" t="n"/>
      <c r="R112" s="39" t="n">
        <v>5</v>
      </c>
      <c r="S112" s="48" t="n"/>
      <c r="T112" s="48" t="inlineStr">
        <is>
          <t>1. Consume final bars from the stream
2. Filter to the day's plan symbols
3. Gate on `all_ready`
4. Evaluate runnable strategies (regime-filtered)
5. Route by strategy state: ACTIVE → full path, PAPER → paper, SHADOW → record</t>
        </is>
      </c>
      <c r="U112" s="48" t="inlineStr">
        <is>
          <t>• 🔴 A symbol not in today's plan is never evaluated
• 🔴 A strategy in SHADOW state never produces an order</t>
        </is>
      </c>
      <c r="V112" s="48" t="n"/>
      <c r="W112" s="49" t="n"/>
    </row>
    <row r="113" ht="30" customHeight="1" s="59">
      <c r="A113" s="38" t="inlineStr">
        <is>
          <t>E13-S02</t>
        </is>
      </c>
      <c r="B113" s="39" t="inlineStr">
        <is>
          <t>E13</t>
        </is>
      </c>
      <c r="C113" s="40" t="inlineStr">
        <is>
          <t>SIGNAL ENGINE</t>
        </is>
      </c>
      <c r="D113" s="40" t="inlineStr">
        <is>
          <t>Regime-aware strategy selection</t>
        </is>
      </c>
      <c r="E113" s="40" t="inlineStr">
        <is>
          <t>New</t>
        </is>
      </c>
      <c r="F113" s="41" t="inlineStr">
        <is>
          <t>P0</t>
        </is>
      </c>
      <c r="G113" s="39" t="inlineStr">
        <is>
          <t>4</t>
        </is>
      </c>
      <c r="H113" s="50" t="inlineStr">
        <is>
          <t>Correctness-critical</t>
        </is>
      </c>
      <c r="I113" s="39" t="inlineStr">
        <is>
          <t>FEAT</t>
        </is>
      </c>
      <c r="J113" s="43" t="n">
        <v>1</v>
      </c>
      <c r="K113" s="40" t="inlineStr">
        <is>
          <t>E09-S06, E13-S01</t>
        </is>
      </c>
      <c r="L113" s="40" t="n"/>
      <c r="M113" s="44" t="n"/>
      <c r="N113" s="45" t="n"/>
      <c r="O113" s="46" t="n"/>
      <c r="P113" s="46" t="n"/>
      <c r="Q113" s="47" t="n"/>
      <c r="R113" s="39" t="n">
        <v>0</v>
      </c>
      <c r="S113" s="48" t="n"/>
      <c r="T113" s="48" t="n"/>
      <c r="U113" s="48" t="n"/>
      <c r="V113" s="48" t="inlineStr">
        <is>
          <t>Only evaluate strategies whose `applicability.regimes` includes the current regime.</t>
        </is>
      </c>
      <c r="W113" s="49" t="n"/>
    </row>
    <row r="114" ht="30" customHeight="1" s="59">
      <c r="A114" s="38" t="inlineStr">
        <is>
          <t>E13-S03</t>
        </is>
      </c>
      <c r="B114" s="39" t="inlineStr">
        <is>
          <t>E13</t>
        </is>
      </c>
      <c r="C114" s="40" t="inlineStr">
        <is>
          <t>SIGNAL ENGINE</t>
        </is>
      </c>
      <c r="D114" s="40" t="inlineStr">
        <is>
          <t>AI review integration</t>
        </is>
      </c>
      <c r="E114" s="40" t="inlineStr">
        <is>
          <t>New</t>
        </is>
      </c>
      <c r="F114" s="41" t="inlineStr">
        <is>
          <t>P0</t>
        </is>
      </c>
      <c r="G114" s="39" t="inlineStr">
        <is>
          <t>4</t>
        </is>
      </c>
      <c r="H114" s="51" t="inlineStr">
        <is>
          <t>Safety-critical</t>
        </is>
      </c>
      <c r="I114" s="39" t="inlineStr">
        <is>
          <t>FEAT</t>
        </is>
      </c>
      <c r="J114" s="43" t="n">
        <v>1.5</v>
      </c>
      <c r="K114" s="40" t="inlineStr">
        <is>
          <t>E10-S05, E13-S01</t>
        </is>
      </c>
      <c r="L114" s="40" t="n"/>
      <c r="M114" s="44" t="n"/>
      <c r="N114" s="45" t="n"/>
      <c r="O114" s="46" t="n"/>
      <c r="P114" s="46" t="n"/>
      <c r="Q114" s="47" t="n"/>
      <c r="R114" s="39" t="n">
        <v>5</v>
      </c>
      <c r="S114" s="48" t="n"/>
      <c r="T114" s="48" t="inlineStr">
        <is>
          <t>1. Call AI review only for triggers that fired
2. Confidence gate: below `min_to_act` → reject with reason
3. Verdict gate: VETO → reject with reason
4. Timeout → skip
5. Every decision to the audit log</t>
        </is>
      </c>
      <c r="U114" s="48" t="n"/>
      <c r="V114" s="48" t="n"/>
      <c r="W114" s="49" t="n"/>
    </row>
    <row r="115" ht="30" customHeight="1" s="59">
      <c r="A115" s="38" t="inlineStr">
        <is>
          <t>E13-S04</t>
        </is>
      </c>
      <c r="B115" s="39" t="inlineStr">
        <is>
          <t>E13</t>
        </is>
      </c>
      <c r="C115" s="40" t="inlineStr">
        <is>
          <t>SIGNAL ENGINE</t>
        </is>
      </c>
      <c r="D115" s="40" t="inlineStr">
        <is>
          <t>Recommendation emission</t>
        </is>
      </c>
      <c r="E115" s="40" t="inlineStr">
        <is>
          <t>New</t>
        </is>
      </c>
      <c r="F115" s="41" t="inlineStr">
        <is>
          <t>P0</t>
        </is>
      </c>
      <c r="G115" s="39" t="inlineStr">
        <is>
          <t>4</t>
        </is>
      </c>
      <c r="H115" s="51" t="inlineStr">
        <is>
          <t>Safety-critical</t>
        </is>
      </c>
      <c r="I115" s="39" t="inlineStr">
        <is>
          <t>FEAT</t>
        </is>
      </c>
      <c r="J115" s="43" t="n">
        <v>1</v>
      </c>
      <c r="K115" s="40" t="inlineStr">
        <is>
          <t>E13-S03</t>
        </is>
      </c>
      <c r="L115" s="40" t="n"/>
      <c r="M115" s="44" t="n"/>
      <c r="N115" s="45" t="n"/>
      <c r="O115" s="46" t="n"/>
      <c r="P115" s="46" t="n"/>
      <c r="Q115" s="47" t="n"/>
      <c r="R115" s="39" t="n">
        <v>3</v>
      </c>
      <c r="S115" s="48" t="n"/>
      <c r="T115" s="48" t="inlineStr">
        <is>
          <t>1. Build `Recommendation` from trigger + review
2. Publish to `stream:signals`
3. Correlation ID threading</t>
        </is>
      </c>
      <c r="U115" s="48" t="inlineStr">
        <is>
          <t>• 🔴 `Recommendation` carries no sizing information (enforced by the type)</t>
        </is>
      </c>
      <c r="V115" s="48" t="n"/>
      <c r="W115" s="49" t="n"/>
    </row>
    <row r="116" ht="30" customHeight="1" s="59">
      <c r="A116" s="38" t="inlineStr">
        <is>
          <t>E13-S05</t>
        </is>
      </c>
      <c r="B116" s="39" t="inlineStr">
        <is>
          <t>E13</t>
        </is>
      </c>
      <c r="C116" s="40" t="inlineStr">
        <is>
          <t>SIGNAL ENGINE</t>
        </is>
      </c>
      <c r="D116" s="40" t="inlineStr">
        <is>
          <t>Concurrency guards</t>
        </is>
      </c>
      <c r="E116" s="40" t="inlineStr">
        <is>
          <t>New</t>
        </is>
      </c>
      <c r="F116" s="41" t="inlineStr">
        <is>
          <t>P0</t>
        </is>
      </c>
      <c r="G116" s="39" t="inlineStr">
        <is>
          <t>4</t>
        </is>
      </c>
      <c r="H116" s="51" t="inlineStr">
        <is>
          <t>Safety-critical</t>
        </is>
      </c>
      <c r="I116" s="39" t="inlineStr">
        <is>
          <t>FEAT</t>
        </is>
      </c>
      <c r="J116" s="43" t="n">
        <v>1</v>
      </c>
      <c r="K116" s="40" t="inlineStr">
        <is>
          <t>E01-S03, E13-S01</t>
        </is>
      </c>
      <c r="L116" s="40" t="n"/>
      <c r="M116" s="44" t="n"/>
      <c r="N116" s="45" t="n"/>
      <c r="O116" s="46" t="n"/>
      <c r="P116" s="46" t="n"/>
      <c r="Q116" s="47" t="n"/>
      <c r="R116" s="39" t="n">
        <v>3</v>
      </c>
      <c r="S116" s="48" t="n"/>
      <c r="T116" s="48" t="inlineStr">
        <is>
          <t>1. `lock:symbol:{symbol}` before emitting
2. Prevent two strategies double-entering the same symbol
3. Lock TTL so a crash cannot deadlock</t>
        </is>
      </c>
      <c r="U116" s="48" t="n"/>
      <c r="V116" s="48" t="n"/>
      <c r="W116" s="49" t="n"/>
    </row>
    <row r="117" ht="30" customHeight="1" s="59">
      <c r="A117" s="38" t="inlineStr">
        <is>
          <t>E13-S06</t>
        </is>
      </c>
      <c r="B117" s="39" t="inlineStr">
        <is>
          <t>E13</t>
        </is>
      </c>
      <c r="C117" s="40" t="inlineStr">
        <is>
          <t>SIGNAL ENGINE</t>
        </is>
      </c>
      <c r="D117" s="40" t="inlineStr">
        <is>
          <t>Thesis invalidation monitoring</t>
        </is>
      </c>
      <c r="E117" s="40" t="inlineStr">
        <is>
          <t>New</t>
        </is>
      </c>
      <c r="F117" s="52" t="inlineStr">
        <is>
          <t>P2</t>
        </is>
      </c>
      <c r="G117" s="39" t="inlineStr">
        <is>
          <t>6</t>
        </is>
      </c>
      <c r="H117" s="50" t="inlineStr">
        <is>
          <t>Correctness-critical</t>
        </is>
      </c>
      <c r="I117" s="39" t="inlineStr">
        <is>
          <t>FEAT</t>
        </is>
      </c>
      <c r="J117" s="43" t="n">
        <v>1.5</v>
      </c>
      <c r="K117" s="40" t="inlineStr">
        <is>
          <t>E11-S06</t>
        </is>
      </c>
      <c r="L117" s="40" t="n"/>
      <c r="M117" s="44" t="n"/>
      <c r="N117" s="45" t="n"/>
      <c r="O117" s="46" t="n"/>
      <c r="P117" s="46" t="n"/>
      <c r="Q117" s="47" t="n"/>
      <c r="R117" s="39" t="n">
        <v>0</v>
      </c>
      <c r="S117" s="48" t="n"/>
      <c r="T117" s="48" t="n"/>
      <c r="U117" s="48" t="n"/>
      <c r="V117" s="48" t="inlineStr">
        <is>
          <t>AI flags when the day's premise has broken; system stops new entries.</t>
        </is>
      </c>
      <c r="W117" s="49" t="n"/>
    </row>
    <row r="118" ht="30" customHeight="1" s="59">
      <c r="A118" s="38" t="inlineStr">
        <is>
          <t>E14-S01</t>
        </is>
      </c>
      <c r="B118" s="39" t="inlineStr">
        <is>
          <t>E14</t>
        </is>
      </c>
      <c r="C118" s="40" t="inlineStr">
        <is>
          <t>RISK ENGINE</t>
        </is>
      </c>
      <c r="D118" s="40" t="inlineStr">
        <is>
          <t>Risk check framework</t>
        </is>
      </c>
      <c r="E118" s="40" t="inlineStr">
        <is>
          <t>New</t>
        </is>
      </c>
      <c r="F118" s="41" t="inlineStr">
        <is>
          <t>P0</t>
        </is>
      </c>
      <c r="G118" s="39" t="inlineStr">
        <is>
          <t>5</t>
        </is>
      </c>
      <c r="H118" s="51" t="inlineStr">
        <is>
          <t>Safety-critical</t>
        </is>
      </c>
      <c r="I118" s="39" t="inlineStr">
        <is>
          <t>FEAT</t>
        </is>
      </c>
      <c r="J118" s="43" t="n">
        <v>1.5</v>
      </c>
      <c r="K118" s="40" t="inlineStr">
        <is>
          <t>E13-S04</t>
        </is>
      </c>
      <c r="L118" s="40" t="n"/>
      <c r="M118" s="44" t="n"/>
      <c r="N118" s="45" t="n"/>
      <c r="O118" s="46" t="n"/>
      <c r="P118" s="46" t="n"/>
      <c r="Q118" s="47" t="n"/>
      <c r="R118" s="39" t="n">
        <v>4</v>
      </c>
      <c r="S118" s="48" t="n"/>
      <c r="T118" s="48" t="inlineStr">
        <is>
          <t>1. Ordered, fail-fast check pipeline
2. Each check returns pass/fail with a `RejectReason`
3. Every evaluation to the audit log
4. `signals_rejected_total{check}` metric</t>
        </is>
      </c>
      <c r="U118" s="48" t="inlineStr">
        <is>
          <t>• 🔴 No order path bypasses the pipeline
• Any rejection is explainable from the audit log</t>
        </is>
      </c>
      <c r="V118" s="48" t="n"/>
      <c r="W118" s="49" t="n"/>
    </row>
    <row r="119" ht="30" customHeight="1" s="59">
      <c r="A119" s="38" t="inlineStr">
        <is>
          <t>E14-S02</t>
        </is>
      </c>
      <c r="B119" s="39" t="inlineStr">
        <is>
          <t>E14</t>
        </is>
      </c>
      <c r="C119" s="40" t="inlineStr">
        <is>
          <t>RISK ENGINE</t>
        </is>
      </c>
      <c r="D119" s="40" t="inlineStr">
        <is>
          <t>Pre-condition checks (1–4)</t>
        </is>
      </c>
      <c r="E119" s="40" t="inlineStr">
        <is>
          <t>New</t>
        </is>
      </c>
      <c r="F119" s="41" t="inlineStr">
        <is>
          <t>P0</t>
        </is>
      </c>
      <c r="G119" s="39" t="inlineStr">
        <is>
          <t>5</t>
        </is>
      </c>
      <c r="H119" s="51" t="inlineStr">
        <is>
          <t>Safety-critical</t>
        </is>
      </c>
      <c r="I119" s="39" t="inlineStr">
        <is>
          <t>FEAT</t>
        </is>
      </c>
      <c r="J119" s="43" t="n">
        <v>1</v>
      </c>
      <c r="K119" s="40" t="inlineStr">
        <is>
          <t>E14-S01</t>
        </is>
      </c>
      <c r="L119" s="40" t="n"/>
      <c r="M119" s="44" t="n"/>
      <c r="N119" s="45" t="n"/>
      <c r="O119" s="46" t="n"/>
      <c r="P119" s="46" t="n"/>
      <c r="Q119" s="47" t="n"/>
      <c r="R119" s="39" t="n">
        <v>0</v>
      </c>
      <c r="S119" s="48" t="n"/>
      <c r="T119" s="48" t="n"/>
      <c r="U119" s="48" t="n"/>
      <c r="V119" s="48" t="inlineStr">
        <is>
          <t>Kill switch · health gate · trading window · no-trade window.</t>
        </is>
      </c>
      <c r="W119" s="49" t="n"/>
    </row>
    <row r="120" ht="30" customHeight="1" s="59">
      <c r="A120" s="38" t="inlineStr">
        <is>
          <t>E14-S03</t>
        </is>
      </c>
      <c r="B120" s="39" t="inlineStr">
        <is>
          <t>E14</t>
        </is>
      </c>
      <c r="C120" s="40" t="inlineStr">
        <is>
          <t>RISK ENGINE</t>
        </is>
      </c>
      <c r="D120" s="40" t="inlineStr">
        <is>
          <t>Symbol eligibility checks (5–7)</t>
        </is>
      </c>
      <c r="E120" s="40" t="inlineStr">
        <is>
          <t>New</t>
        </is>
      </c>
      <c r="F120" s="41" t="inlineStr">
        <is>
          <t>P0</t>
        </is>
      </c>
      <c r="G120" s="39" t="inlineStr">
        <is>
          <t>5</t>
        </is>
      </c>
      <c r="H120" s="51" t="inlineStr">
        <is>
          <t>Safety-critical</t>
        </is>
      </c>
      <c r="I120" s="39" t="inlineStr">
        <is>
          <t>FEAT</t>
        </is>
      </c>
      <c r="J120" s="43" t="n">
        <v>1</v>
      </c>
      <c r="K120" s="40" t="inlineStr">
        <is>
          <t>E14-S01, E04</t>
        </is>
      </c>
      <c r="L120" s="40" t="n"/>
      <c r="M120" s="44" t="n"/>
      <c r="N120" s="45" t="n"/>
      <c r="O120" s="46" t="n"/>
      <c r="P120" s="46" t="n"/>
      <c r="Q120" s="47" t="n"/>
      <c r="R120" s="39" t="n">
        <v>0</v>
      </c>
      <c r="S120" s="48" t="n"/>
      <c r="T120" s="48" t="n"/>
      <c r="U120" s="48" t="n"/>
      <c r="V120" s="48" t="inlineStr">
        <is>
          <t>Symbol tradable (re-verified at order time) · slot available · not already held.</t>
        </is>
      </c>
      <c r="W120" s="49" t="n"/>
    </row>
    <row r="121" ht="30" customHeight="1" s="59">
      <c r="A121" s="38" t="inlineStr">
        <is>
          <t>E14-S04</t>
        </is>
      </c>
      <c r="B121" s="39" t="inlineStr">
        <is>
          <t>E14</t>
        </is>
      </c>
      <c r="C121" s="40" t="inlineStr">
        <is>
          <t>RISK ENGINE</t>
        </is>
      </c>
      <c r="D121" s="40" t="inlineStr">
        <is>
          <t>Portfolio exposure checks (8–10)</t>
        </is>
      </c>
      <c r="E121" s="40" t="inlineStr">
        <is>
          <t>New</t>
        </is>
      </c>
      <c r="F121" s="41" t="inlineStr">
        <is>
          <t>P0</t>
        </is>
      </c>
      <c r="G121" s="39" t="inlineStr">
        <is>
          <t>5</t>
        </is>
      </c>
      <c r="H121" s="51" t="inlineStr">
        <is>
          <t>Safety-critical</t>
        </is>
      </c>
      <c r="I121" s="39" t="inlineStr">
        <is>
          <t>FEAT</t>
        </is>
      </c>
      <c r="J121" s="43" t="n">
        <v>2</v>
      </c>
      <c r="K121" s="40" t="inlineStr">
        <is>
          <t>E14-S01</t>
        </is>
      </c>
      <c r="L121" s="40" t="n"/>
      <c r="M121" s="44" t="n"/>
      <c r="N121" s="45" t="n"/>
      <c r="O121" s="46" t="n"/>
      <c r="P121" s="46" t="n"/>
      <c r="Q121" s="47" t="n"/>
      <c r="R121" s="39" t="n">
        <v>4</v>
      </c>
      <c r="S121" s="48" t="n"/>
      <c r="T121" s="48" t="inlineStr">
        <is>
          <t>1. Correlation guard — reject N correlated names
2. Rolling correlation matrix over the watchlist
3. Sector exposure cap
4. Net directional exposure cap</t>
        </is>
      </c>
      <c r="U121" s="48" t="inlineStr">
        <is>
          <t>• 🔴 Four PSU banks cannot occupy four slots</t>
        </is>
      </c>
      <c r="V121" s="48" t="n"/>
      <c r="W121" s="49" t="n"/>
    </row>
    <row r="122" ht="30" customHeight="1" s="59">
      <c r="A122" s="38" t="inlineStr">
        <is>
          <t>E14-S05</t>
        </is>
      </c>
      <c r="B122" s="39" t="inlineStr">
        <is>
          <t>E14</t>
        </is>
      </c>
      <c r="C122" s="40" t="inlineStr">
        <is>
          <t>RISK ENGINE</t>
        </is>
      </c>
      <c r="D122" s="40" t="inlineStr">
        <is>
          <t>Loss limit checks (11–12)</t>
        </is>
      </c>
      <c r="E122" s="40" t="inlineStr">
        <is>
          <t>New</t>
        </is>
      </c>
      <c r="F122" s="41" t="inlineStr">
        <is>
          <t>P0</t>
        </is>
      </c>
      <c r="G122" s="39" t="inlineStr">
        <is>
          <t>5</t>
        </is>
      </c>
      <c r="H122" s="51" t="inlineStr">
        <is>
          <t>Safety-critical</t>
        </is>
      </c>
      <c r="I122" s="39" t="inlineStr">
        <is>
          <t>FEAT</t>
        </is>
      </c>
      <c r="J122" s="43" t="n">
        <v>1</v>
      </c>
      <c r="K122" s="40" t="inlineStr">
        <is>
          <t>E14-S01</t>
        </is>
      </c>
      <c r="L122" s="40" t="n"/>
      <c r="M122" s="44" t="n"/>
      <c r="N122" s="45" t="n"/>
      <c r="O122" s="46" t="n"/>
      <c r="P122" s="46" t="n"/>
      <c r="Q122" s="47" t="n"/>
      <c r="R122" s="39" t="n">
        <v>0</v>
      </c>
      <c r="S122" s="48" t="n"/>
      <c r="T122" s="48" t="n"/>
      <c r="U122" s="48" t="n"/>
      <c r="V122" s="48" t="inlineStr">
        <is>
          <t>Daily loss limit → halt · consecutive loss limit → halt.</t>
        </is>
      </c>
      <c r="W122" s="49" t="n"/>
    </row>
    <row r="123" ht="30" customHeight="1" s="59">
      <c r="A123" s="38" t="inlineStr">
        <is>
          <t>E14-S06</t>
        </is>
      </c>
      <c r="B123" s="39" t="inlineStr">
        <is>
          <t>E14</t>
        </is>
      </c>
      <c r="C123" s="40" t="inlineStr">
        <is>
          <t>RISK ENGINE</t>
        </is>
      </c>
      <c r="D123" s="40" t="inlineStr">
        <is>
          <t>Margin and timing checks (13–14)</t>
        </is>
      </c>
      <c r="E123" s="40" t="inlineStr">
        <is>
          <t>New</t>
        </is>
      </c>
      <c r="F123" s="41" t="inlineStr">
        <is>
          <t>P0</t>
        </is>
      </c>
      <c r="G123" s="39" t="inlineStr">
        <is>
          <t>5</t>
        </is>
      </c>
      <c r="H123" s="51" t="inlineStr">
        <is>
          <t>Safety-critical</t>
        </is>
      </c>
      <c r="I123" s="39" t="inlineStr">
        <is>
          <t>FEAT</t>
        </is>
      </c>
      <c r="J123" s="43" t="n">
        <v>1</v>
      </c>
      <c r="K123" s="40" t="inlineStr">
        <is>
          <t>E02-S07</t>
        </is>
      </c>
      <c r="L123" s="40" t="n"/>
      <c r="M123" s="44" t="n"/>
      <c r="N123" s="45" t="n"/>
      <c r="O123" s="46" t="n"/>
      <c r="P123" s="46" t="n"/>
      <c r="Q123" s="47" t="n"/>
      <c r="R123" s="39" t="n">
        <v>2</v>
      </c>
      <c r="S123" s="48" t="n"/>
      <c r="T123" s="48" t="inlineStr">
        <is>
          <t>1. Live broker margin sufficient for the intended position
2. Enough runway before the per-stock square-off deadline</t>
        </is>
      </c>
      <c r="U123" s="48" t="n"/>
      <c r="V123" s="48" t="n"/>
      <c r="W123" s="49" t="n"/>
    </row>
    <row r="124" ht="30" customHeight="1" s="59">
      <c r="A124" s="38" t="inlineStr">
        <is>
          <t>E14-S07</t>
        </is>
      </c>
      <c r="B124" s="39" t="inlineStr">
        <is>
          <t>E14</t>
        </is>
      </c>
      <c r="C124" s="40" t="inlineStr">
        <is>
          <t>RISK ENGINE</t>
        </is>
      </c>
      <c r="D124" s="40" t="inlineStr">
        <is>
          <t>ATR-based position sizing</t>
        </is>
      </c>
      <c r="E124" s="40" t="inlineStr">
        <is>
          <t>New</t>
        </is>
      </c>
      <c r="F124" s="41" t="inlineStr">
        <is>
          <t>P0</t>
        </is>
      </c>
      <c r="G124" s="39" t="inlineStr">
        <is>
          <t>5</t>
        </is>
      </c>
      <c r="H124" s="51" t="inlineStr">
        <is>
          <t>Safety-critical</t>
        </is>
      </c>
      <c r="I124" s="39" t="inlineStr">
        <is>
          <t>FEAT</t>
        </is>
      </c>
      <c r="J124" s="43" t="n">
        <v>2.5</v>
      </c>
      <c r="K124" s="40" t="inlineStr">
        <is>
          <t>E14-S06</t>
        </is>
      </c>
      <c r="L124" s="40" t="n"/>
      <c r="M124" s="44" t="n"/>
      <c r="N124" s="45" t="n"/>
      <c r="O124" s="46" t="n"/>
      <c r="P124" s="46" t="n"/>
      <c r="Q124" s="47" t="n"/>
      <c r="R124" s="39" t="n">
        <v>7</v>
      </c>
      <c r="S124" s="48" t="inlineStr">
        <is>
          <t>As a trader, I want position size derived from volatility and risk budget, so that every trade risks the same rupee amount regardless of the stock's price.</t>
        </is>
      </c>
      <c r="T124" s="48" t="inlineStr">
        <is>
          <t>1. `risk_amount = capital × risk_pct`
2. `stop_distance = ATR × multiplier`
3. `raw_qty = risk_amount / stop_distance`
4. Apply clamps: position cap, slot cap, margin cap
5. Round down to lot size
6. Record which clamp bound the result
7. Reject if quantity rounds to zero</t>
        </is>
      </c>
      <c r="U124" s="48" t="inlineStr">
        <is>
          <t>• 🔴 Property test: risk never exceeds `risk_pct` for ANY generated input
• 🔴 A surprisingly small position is explainable from the binding constraint</t>
        </is>
      </c>
      <c r="V124" s="48" t="n"/>
      <c r="W124" s="49" t="n"/>
    </row>
    <row r="125" ht="30" customHeight="1" s="59">
      <c r="A125" s="38" t="inlineStr">
        <is>
          <t>E14-S08</t>
        </is>
      </c>
      <c r="B125" s="39" t="inlineStr">
        <is>
          <t>E14</t>
        </is>
      </c>
      <c r="C125" s="40" t="inlineStr">
        <is>
          <t>RISK ENGINE</t>
        </is>
      </c>
      <c r="D125" s="40" t="inlineStr">
        <is>
          <t>Slot management</t>
        </is>
      </c>
      <c r="E125" s="40" t="inlineStr">
        <is>
          <t>New</t>
        </is>
      </c>
      <c r="F125" s="41" t="inlineStr">
        <is>
          <t>P0</t>
        </is>
      </c>
      <c r="G125" s="39" t="inlineStr">
        <is>
          <t>5</t>
        </is>
      </c>
      <c r="H125" s="51" t="inlineStr">
        <is>
          <t>Safety-critical</t>
        </is>
      </c>
      <c r="I125" s="39" t="inlineStr">
        <is>
          <t>FEAT</t>
        </is>
      </c>
      <c r="J125" s="43" t="n">
        <v>1.5</v>
      </c>
      <c r="K125" s="40" t="inlineStr">
        <is>
          <t>E01-S03</t>
        </is>
      </c>
      <c r="L125" s="40" t="n"/>
      <c r="M125" s="44" t="n"/>
      <c r="N125" s="45" t="n"/>
      <c r="O125" s="46" t="n"/>
      <c r="P125" s="46" t="n"/>
      <c r="Q125" s="47" t="n"/>
      <c r="R125" s="39" t="n">
        <v>4</v>
      </c>
      <c r="S125" s="48" t="n"/>
      <c r="T125" s="48" t="inlineStr">
        <is>
          <t>1. Slot allocation with Redis lock + TTL
2. Priority queue when signals exceed free slots (score, then expectancy)
3. Slot recycling on position close
4. Leak detection: slot count vs actual positions</t>
        </is>
      </c>
      <c r="U125" s="48" t="inlineStr">
        <is>
          <t>• 🔴 Concurrent signals cannot over-allocate slots</t>
        </is>
      </c>
      <c r="V125" s="48" t="n"/>
      <c r="W125" s="49" t="n"/>
    </row>
    <row r="126" ht="30" customHeight="1" s="59">
      <c r="A126" s="38" t="inlineStr">
        <is>
          <t>E14-S09</t>
        </is>
      </c>
      <c r="B126" s="39" t="inlineStr">
        <is>
          <t>E14</t>
        </is>
      </c>
      <c r="C126" s="40" t="inlineStr">
        <is>
          <t>RISK ENGINE</t>
        </is>
      </c>
      <c r="D126" s="40" t="inlineStr">
        <is>
          <t>Kill switch</t>
        </is>
      </c>
      <c r="E126" s="40" t="inlineStr">
        <is>
          <t>New</t>
        </is>
      </c>
      <c r="F126" s="41" t="inlineStr">
        <is>
          <t>P0</t>
        </is>
      </c>
      <c r="G126" s="39" t="inlineStr">
        <is>
          <t>5</t>
        </is>
      </c>
      <c r="H126" s="51" t="inlineStr">
        <is>
          <t>Safety-critical</t>
        </is>
      </c>
      <c r="I126" s="39" t="inlineStr">
        <is>
          <t>SEC</t>
        </is>
      </c>
      <c r="J126" s="43" t="n">
        <v>1.5</v>
      </c>
      <c r="K126" s="40" t="inlineStr">
        <is>
          <t>E14-S01</t>
        </is>
      </c>
      <c r="L126" s="40" t="n"/>
      <c r="M126" s="44" t="n"/>
      <c r="N126" s="45" t="n"/>
      <c r="O126" s="46" t="n"/>
      <c r="P126" s="46" t="n"/>
      <c r="Q126" s="47" t="n"/>
      <c r="R126" s="39" t="n">
        <v>5</v>
      </c>
      <c r="S126" s="48" t="n"/>
      <c r="T126" s="48" t="inlineStr">
        <is>
          <t>1. Manual trigger via Telegram and dashboard
2. Auto-triggers: loss limit, broker disconnect, stale feed, AI unavailable, margin shortfall, unknown position
3. Semantics: halts new entries and cancels pending; does NOT auto-liquidate
4. Separate explicit command to close positions
5. Requires human action to un-halt</t>
        </is>
      </c>
      <c r="U126" s="48" t="inlineStr">
        <is>
          <t>• 🔴 Triggered from a phone in under 10 seconds
• 🔴 Open positions are not blindly market-closed</t>
        </is>
      </c>
      <c r="V126" s="48" t="n"/>
      <c r="W126" s="49" t="n"/>
    </row>
    <row r="127" ht="30" customHeight="1" s="59">
      <c r="A127" s="38" t="inlineStr">
        <is>
          <t>E15-S01</t>
        </is>
      </c>
      <c r="B127" s="39" t="inlineStr">
        <is>
          <t>E15</t>
        </is>
      </c>
      <c r="C127" s="40" t="inlineStr">
        <is>
          <t>EXECUTION &amp; POSITIONS</t>
        </is>
      </c>
      <c r="D127" s="40" t="inlineStr">
        <is>
          <t>Order gateway</t>
        </is>
      </c>
      <c r="E127" s="40" t="inlineStr">
        <is>
          <t>New</t>
        </is>
      </c>
      <c r="F127" s="41" t="inlineStr">
        <is>
          <t>P0</t>
        </is>
      </c>
      <c r="G127" s="39" t="inlineStr">
        <is>
          <t>5</t>
        </is>
      </c>
      <c r="H127" s="51" t="inlineStr">
        <is>
          <t>Safety-critical</t>
        </is>
      </c>
      <c r="I127" s="39" t="inlineStr">
        <is>
          <t>FEAT</t>
        </is>
      </c>
      <c r="J127" s="43" t="n">
        <v>2</v>
      </c>
      <c r="K127" s="40" t="inlineStr">
        <is>
          <t>E02-S04, E14-S07</t>
        </is>
      </c>
      <c r="L127" s="40" t="n"/>
      <c r="M127" s="44" t="n"/>
      <c r="N127" s="45" t="n"/>
      <c r="O127" s="46" t="n"/>
      <c r="P127" s="46" t="n"/>
      <c r="Q127" s="47" t="n"/>
      <c r="R127" s="39" t="n">
        <v>5</v>
      </c>
      <c r="S127" s="48" t="n"/>
      <c r="T127" s="48" t="inlineStr">
        <is>
          <t>1. Build `OrderRequest` from `RiskDecision`
2. Attach Algo-ID and market protection
3. Round prices to tick size
4. Single-threaded serialised submission
5. Rate limiter integration</t>
        </is>
      </c>
      <c r="U127" s="48" t="n"/>
      <c r="V127" s="48" t="n"/>
      <c r="W127" s="49" t="n"/>
    </row>
    <row r="128" ht="30" customHeight="1" s="59">
      <c r="A128" s="38" t="inlineStr">
        <is>
          <t>E15-S02</t>
        </is>
      </c>
      <c r="B128" s="39" t="inlineStr">
        <is>
          <t>E15</t>
        </is>
      </c>
      <c r="C128" s="40" t="inlineStr">
        <is>
          <t>EXECUTION &amp; POSITIONS</t>
        </is>
      </c>
      <c r="D128" s="40" t="inlineStr">
        <is>
          <t>Idempotency</t>
        </is>
      </c>
      <c r="E128" s="40" t="inlineStr">
        <is>
          <t>New</t>
        </is>
      </c>
      <c r="F128" s="41" t="inlineStr">
        <is>
          <t>P0</t>
        </is>
      </c>
      <c r="G128" s="39" t="inlineStr">
        <is>
          <t>5</t>
        </is>
      </c>
      <c r="H128" s="51" t="inlineStr">
        <is>
          <t>Safety-critical</t>
        </is>
      </c>
      <c r="I128" s="39" t="inlineStr">
        <is>
          <t>SEC</t>
        </is>
      </c>
      <c r="J128" s="43" t="n">
        <v>1</v>
      </c>
      <c r="K128" s="40" t="inlineStr">
        <is>
          <t>E15-S01</t>
        </is>
      </c>
      <c r="L128" s="40" t="n"/>
      <c r="M128" s="44" t="n"/>
      <c r="N128" s="45" t="n"/>
      <c r="O128" s="46" t="n"/>
      <c r="P128" s="46" t="n"/>
      <c r="Q128" s="47" t="n"/>
      <c r="R128" s="39" t="n">
        <v>3</v>
      </c>
      <c r="S128" s="48" t="n"/>
      <c r="T128" s="48" t="inlineStr">
        <is>
          <t>1. `client_order_id = sha256(correlation|symbol|side|intent|date)[:32]`
2. Persist before submission
3. On ambiguous failure: query by client_order_id, never retry</t>
        </is>
      </c>
      <c r="U128" s="48" t="inlineStr">
        <is>
          <t>• 🔴 Chaos test: timeout + reconnect produces exactly one order</t>
        </is>
      </c>
      <c r="V128" s="48" t="n"/>
      <c r="W128" s="49" t="n"/>
    </row>
    <row r="129" ht="30" customHeight="1" s="59">
      <c r="A129" s="38" t="inlineStr">
        <is>
          <t>E15-S03</t>
        </is>
      </c>
      <c r="B129" s="39" t="inlineStr">
        <is>
          <t>E15</t>
        </is>
      </c>
      <c r="C129" s="40" t="inlineStr">
        <is>
          <t>EXECUTION &amp; POSITIONS</t>
        </is>
      </c>
      <c r="D129" s="40" t="inlineStr">
        <is>
          <t>Order state machine</t>
        </is>
      </c>
      <c r="E129" s="40" t="inlineStr">
        <is>
          <t>New</t>
        </is>
      </c>
      <c r="F129" s="41" t="inlineStr">
        <is>
          <t>P0</t>
        </is>
      </c>
      <c r="G129" s="39" t="inlineStr">
        <is>
          <t>5</t>
        </is>
      </c>
      <c r="H129" s="51" t="inlineStr">
        <is>
          <t>Safety-critical</t>
        </is>
      </c>
      <c r="I129" s="39" t="inlineStr">
        <is>
          <t>FEAT</t>
        </is>
      </c>
      <c r="J129" s="43" t="n">
        <v>1.5</v>
      </c>
      <c r="K129" s="40" t="inlineStr">
        <is>
          <t>E15-S01</t>
        </is>
      </c>
      <c r="L129" s="40" t="n"/>
      <c r="M129" s="44" t="n"/>
      <c r="N129" s="45" t="n"/>
      <c r="O129" s="46" t="n"/>
      <c r="P129" s="46" t="n"/>
      <c r="Q129" s="47" t="n"/>
      <c r="R129" s="39" t="n">
        <v>0</v>
      </c>
      <c r="S129" s="48" t="n"/>
      <c r="T129" s="48" t="n"/>
      <c r="U129" s="48" t="n"/>
      <c r="V129" s="48" t="inlineStr">
        <is>
          <t>Full lifecycle per LOW_LEVEL_ARCHITECTURE §8.2 with illegal transitions rejected.</t>
        </is>
      </c>
      <c r="W129" s="49" t="n"/>
    </row>
    <row r="130" ht="30" customHeight="1" s="59">
      <c r="A130" s="38" t="inlineStr">
        <is>
          <t>E15-S04</t>
        </is>
      </c>
      <c r="B130" s="39" t="inlineStr">
        <is>
          <t>E15</t>
        </is>
      </c>
      <c r="C130" s="40" t="inlineStr">
        <is>
          <t>EXECUTION &amp; POSITIONS</t>
        </is>
      </c>
      <c r="D130" s="40" t="inlineStr">
        <is>
          <t>Protective stop attachment</t>
        </is>
      </c>
      <c r="E130" s="40" t="inlineStr">
        <is>
          <t>New</t>
        </is>
      </c>
      <c r="F130" s="41" t="inlineStr">
        <is>
          <t>P0</t>
        </is>
      </c>
      <c r="G130" s="39" t="inlineStr">
        <is>
          <t>5</t>
        </is>
      </c>
      <c r="H130" s="51" t="inlineStr">
        <is>
          <t>Safety-critical</t>
        </is>
      </c>
      <c r="I130" s="39" t="inlineStr">
        <is>
          <t>FEAT</t>
        </is>
      </c>
      <c r="J130" s="43" t="n">
        <v>1.5</v>
      </c>
      <c r="K130" s="40" t="inlineStr">
        <is>
          <t>E15-S03</t>
        </is>
      </c>
      <c r="L130" s="40" t="n"/>
      <c r="M130" s="44" t="n"/>
      <c r="N130" s="45" t="n"/>
      <c r="O130" s="46" t="n"/>
      <c r="P130" s="46" t="n"/>
      <c r="Q130" s="47" t="n"/>
      <c r="R130" s="39" t="n">
        <v>4</v>
      </c>
      <c r="S130" s="48" t="inlineStr">
        <is>
          <t>As a trader, I want a stop placed immediately after entry fill, so that no position is ever naked.</t>
        </is>
      </c>
      <c r="T130" s="48" t="inlineStr">
        <is>
          <t>1. Place stop on entry fill confirmation
2. If stop placement fails → close position at market immediately
3. Verify stop is live before considering the position established
4. Alert on any stop failure</t>
        </is>
      </c>
      <c r="U130" s="48" t="inlineStr">
        <is>
          <t>• 🔴 A position without a live stop cannot persist for more than one cycle</t>
        </is>
      </c>
      <c r="V130" s="48" t="n"/>
      <c r="W130" s="49" t="n"/>
    </row>
    <row r="131" ht="30" customHeight="1" s="59">
      <c r="A131" s="38" t="inlineStr">
        <is>
          <t>E15-S05</t>
        </is>
      </c>
      <c r="B131" s="39" t="inlineStr">
        <is>
          <t>E15</t>
        </is>
      </c>
      <c r="C131" s="40" t="inlineStr">
        <is>
          <t>EXECUTION &amp; POSITIONS</t>
        </is>
      </c>
      <c r="D131" s="40" t="inlineStr">
        <is>
          <t>Position manager</t>
        </is>
      </c>
      <c r="E131" s="40" t="inlineStr">
        <is>
          <t>New</t>
        </is>
      </c>
      <c r="F131" s="41" t="inlineStr">
        <is>
          <t>P0</t>
        </is>
      </c>
      <c r="G131" s="39" t="inlineStr">
        <is>
          <t>5</t>
        </is>
      </c>
      <c r="H131" s="51" t="inlineStr">
        <is>
          <t>Safety-critical</t>
        </is>
      </c>
      <c r="I131" s="39" t="inlineStr">
        <is>
          <t>FEAT</t>
        </is>
      </c>
      <c r="J131" s="43" t="n">
        <v>2</v>
      </c>
      <c r="K131" s="40" t="inlineStr">
        <is>
          <t>E15-S04</t>
        </is>
      </c>
      <c r="L131" s="40" t="n"/>
      <c r="M131" s="44" t="n"/>
      <c r="N131" s="45" t="n"/>
      <c r="O131" s="46" t="n"/>
      <c r="P131" s="46" t="n"/>
      <c r="Q131" s="47" t="n"/>
      <c r="R131" s="39" t="n">
        <v>4</v>
      </c>
      <c r="S131" s="48" t="n"/>
      <c r="T131" s="48" t="inlineStr">
        <is>
          <t>1. Track open positions with live P&amp;L
2. MFE/MAE tracking for the journal
3. R-multiple computation
4. Position state in Redis for fast reads</t>
        </is>
      </c>
      <c r="U131" s="48" t="n"/>
      <c r="V131" s="48" t="n"/>
      <c r="W131" s="49" t="n"/>
    </row>
    <row r="132" ht="30" customHeight="1" s="59">
      <c r="A132" s="38" t="inlineStr">
        <is>
          <t>E15-S06</t>
        </is>
      </c>
      <c r="B132" s="39" t="inlineStr">
        <is>
          <t>E15</t>
        </is>
      </c>
      <c r="C132" s="40" t="inlineStr">
        <is>
          <t>EXECUTION &amp; POSITIONS</t>
        </is>
      </c>
      <c r="D132" s="40" t="inlineStr">
        <is>
          <t>Square-off timer</t>
        </is>
      </c>
      <c r="E132" s="40" t="inlineStr">
        <is>
          <t>New</t>
        </is>
      </c>
      <c r="F132" s="41" t="inlineStr">
        <is>
          <t>P0</t>
        </is>
      </c>
      <c r="G132" s="39" t="inlineStr">
        <is>
          <t>5</t>
        </is>
      </c>
      <c r="H132" s="51" t="inlineStr">
        <is>
          <t>Safety-critical</t>
        </is>
      </c>
      <c r="I132" s="39" t="inlineStr">
        <is>
          <t>FEAT</t>
        </is>
      </c>
      <c r="J132" s="43" t="n">
        <v>1.5</v>
      </c>
      <c r="K132" s="40" t="inlineStr">
        <is>
          <t>E15-S05, E04-S05</t>
        </is>
      </c>
      <c r="L132" s="40" t="n"/>
      <c r="M132" s="44" t="n"/>
      <c r="N132" s="45" t="n"/>
      <c r="O132" s="46" t="n"/>
      <c r="P132" s="46" t="n"/>
      <c r="Q132" s="47" t="n"/>
      <c r="R132" s="39" t="n">
        <v>5</v>
      </c>
      <c r="S132" s="48" t="inlineStr">
        <is>
          <t>As a trader, I want every intraday position closed on my schedule, so that the broker never force-closes at an arbitrary price.</t>
        </is>
      </c>
      <c r="T132" s="48" t="inlineStr">
        <is>
          <t>1. Compute per-stock deadline at position open
2. Store in `timer:squareoff` sorted set
3. Single polling loop for all positions
4. Market order with protection at deadline
5. Alert if a position remains after its deadline</t>
        </is>
      </c>
      <c r="U132" s="48" t="inlineStr">
        <is>
          <t>• 🔴 Property test: our deadline always precedes the broker's, every stock class
• 🔴 No position survives its deadline in a full-session replay</t>
        </is>
      </c>
      <c r="V132" s="48" t="n"/>
      <c r="W132" s="49" t="n"/>
    </row>
    <row r="133" ht="30" customHeight="1" s="59">
      <c r="A133" s="38" t="inlineStr">
        <is>
          <t>E15-S07</t>
        </is>
      </c>
      <c r="B133" s="39" t="inlineStr">
        <is>
          <t>E15</t>
        </is>
      </c>
      <c r="C133" s="40" t="inlineStr">
        <is>
          <t>EXECUTION &amp; POSITIONS</t>
        </is>
      </c>
      <c r="D133" s="40" t="inlineStr">
        <is>
          <t>Exit precedence</t>
        </is>
      </c>
      <c r="E133" s="40" t="inlineStr">
        <is>
          <t>New</t>
        </is>
      </c>
      <c r="F133" s="41" t="inlineStr">
        <is>
          <t>P0</t>
        </is>
      </c>
      <c r="G133" s="39" t="inlineStr">
        <is>
          <t>5</t>
        </is>
      </c>
      <c r="H133" s="51" t="inlineStr">
        <is>
          <t>Safety-critical</t>
        </is>
      </c>
      <c r="I133" s="39" t="inlineStr">
        <is>
          <t>FEAT</t>
        </is>
      </c>
      <c r="J133" s="43" t="n">
        <v>1</v>
      </c>
      <c r="K133" s="40" t="inlineStr">
        <is>
          <t>E15-S06</t>
        </is>
      </c>
      <c r="L133" s="40" t="n"/>
      <c r="M133" s="44" t="n"/>
      <c r="N133" s="45" t="n"/>
      <c r="O133" s="46" t="n"/>
      <c r="P133" s="46" t="n"/>
      <c r="Q133" s="47" t="n"/>
      <c r="R133" s="39" t="n">
        <v>0</v>
      </c>
      <c r="S133" s="48" t="n"/>
      <c r="T133" s="48" t="n"/>
      <c r="U133" s="48" t="n"/>
      <c r="V133" s="48" t="inlineStr">
        <is>
          <t>Order: kill switch → deadline → stop → target → trailing → thesis invalidation → manual.</t>
        </is>
      </c>
      <c r="W133" s="49" t="n"/>
    </row>
    <row r="134" ht="30" customHeight="1" s="59">
      <c r="A134" s="38" t="inlineStr">
        <is>
          <t>E15-S08</t>
        </is>
      </c>
      <c r="B134" s="39" t="inlineStr">
        <is>
          <t>E15</t>
        </is>
      </c>
      <c r="C134" s="40" t="inlineStr">
        <is>
          <t>EXECUTION &amp; POSITIONS</t>
        </is>
      </c>
      <c r="D134" s="40" t="inlineStr">
        <is>
          <t>Trailing stops and partial exits</t>
        </is>
      </c>
      <c r="E134" s="40" t="inlineStr">
        <is>
          <t>New</t>
        </is>
      </c>
      <c r="F134" s="53" t="inlineStr">
        <is>
          <t>P1</t>
        </is>
      </c>
      <c r="G134" s="39" t="inlineStr">
        <is>
          <t>6</t>
        </is>
      </c>
      <c r="H134" s="50" t="inlineStr">
        <is>
          <t>Correctness-critical</t>
        </is>
      </c>
      <c r="I134" s="39" t="inlineStr">
        <is>
          <t>FEAT</t>
        </is>
      </c>
      <c r="J134" s="43" t="n">
        <v>1.5</v>
      </c>
      <c r="K134" s="40" t="inlineStr">
        <is>
          <t>E15-S05</t>
        </is>
      </c>
      <c r="L134" s="40" t="n"/>
      <c r="M134" s="44" t="n"/>
      <c r="N134" s="45" t="n"/>
      <c r="O134" s="46" t="n"/>
      <c r="P134" s="46" t="n"/>
      <c r="Q134" s="47" t="n"/>
      <c r="R134" s="39" t="n">
        <v>0</v>
      </c>
      <c r="S134" s="48" t="n"/>
      <c r="T134" s="48" t="n"/>
      <c r="U134" s="48" t="n"/>
      <c r="V134" s="48" t="inlineStr">
        <is>
          <t>Activate trailing after N R; partial booking at configured levels.</t>
        </is>
      </c>
      <c r="W134" s="49" t="n"/>
    </row>
    <row r="135" ht="30" customHeight="1" s="59">
      <c r="A135" s="38" t="inlineStr">
        <is>
          <t>E15-S09</t>
        </is>
      </c>
      <c r="B135" s="39" t="inlineStr">
        <is>
          <t>E15</t>
        </is>
      </c>
      <c r="C135" s="40" t="inlineStr">
        <is>
          <t>EXECUTION &amp; POSITIONS</t>
        </is>
      </c>
      <c r="D135" s="40" t="inlineStr">
        <is>
          <t>Reconciliation loop</t>
        </is>
      </c>
      <c r="E135" s="40" t="inlineStr">
        <is>
          <t>New</t>
        </is>
      </c>
      <c r="F135" s="41" t="inlineStr">
        <is>
          <t>P0</t>
        </is>
      </c>
      <c r="G135" s="39" t="inlineStr">
        <is>
          <t>5</t>
        </is>
      </c>
      <c r="H135" s="51" t="inlineStr">
        <is>
          <t>Safety-critical</t>
        </is>
      </c>
      <c r="I135" s="39" t="inlineStr">
        <is>
          <t>SEC</t>
        </is>
      </c>
      <c r="J135" s="43" t="n">
        <v>2</v>
      </c>
      <c r="K135" s="40" t="inlineStr">
        <is>
          <t>E15-S03</t>
        </is>
      </c>
      <c r="L135" s="40" t="n"/>
      <c r="M135" s="44" t="n"/>
      <c r="N135" s="45" t="n"/>
      <c r="O135" s="46" t="n"/>
      <c r="P135" s="46" t="n"/>
      <c r="Q135" s="47" t="n"/>
      <c r="R135" s="39" t="n">
        <v>5</v>
      </c>
      <c r="S135" s="48" t="inlineStr">
        <is>
          <t>As an operator, I want local state continuously compared against the broker's, so that drift is detected rather than discovered.</t>
        </is>
      </c>
      <c r="T135" s="48" t="inlineStr">
        <is>
          <t>1. Every 30s during market hours, plus on every reconnect
2. Diff orders and positions
3. Broker state wins — it is the legal record
4. `RECONCILIATION_DRIFT` audit event per difference
5. Unknown position → kill switch + P0 alert immediately</t>
        </is>
      </c>
      <c r="U135" s="48" t="inlineStr">
        <is>
          <t>• 🔴 An unknown position halts the system within one reconciliation cycle</t>
        </is>
      </c>
      <c r="V135" s="48" t="n"/>
      <c r="W135" s="49" t="n"/>
    </row>
    <row r="136" ht="30" customHeight="1" s="59">
      <c r="A136" s="38" t="inlineStr">
        <is>
          <t>E15-S10</t>
        </is>
      </c>
      <c r="B136" s="39" t="inlineStr">
        <is>
          <t>E15</t>
        </is>
      </c>
      <c r="C136" s="40" t="inlineStr">
        <is>
          <t>EXECUTION &amp; POSITIONS</t>
        </is>
      </c>
      <c r="D136" s="40" t="inlineStr">
        <is>
          <t>Paper trading mode</t>
        </is>
      </c>
      <c r="E136" s="40" t="inlineStr">
        <is>
          <t>New</t>
        </is>
      </c>
      <c r="F136" s="41" t="inlineStr">
        <is>
          <t>P0</t>
        </is>
      </c>
      <c r="G136" s="39" t="inlineStr">
        <is>
          <t>5</t>
        </is>
      </c>
      <c r="H136" s="51" t="inlineStr">
        <is>
          <t>Safety-critical</t>
        </is>
      </c>
      <c r="I136" s="39" t="inlineStr">
        <is>
          <t>FEAT</t>
        </is>
      </c>
      <c r="J136" s="43" t="n">
        <v>1.5</v>
      </c>
      <c r="K136" s="40" t="inlineStr">
        <is>
          <t>E15-S01</t>
        </is>
      </c>
      <c r="L136" s="40" t="n"/>
      <c r="M136" s="44" t="n"/>
      <c r="N136" s="45" t="n"/>
      <c r="O136" s="46" t="n"/>
      <c r="P136" s="46" t="n"/>
      <c r="Q136" s="47" t="n"/>
      <c r="R136" s="39" t="n">
        <v>4</v>
      </c>
      <c r="S136" s="48" t="inlineStr">
        <is>
          <t>As a validator, I want paper trading to use the identical code path, so that what I validate is what will run live.</t>
        </is>
      </c>
      <c r="T136" s="48" t="inlineStr">
        <is>
          <t>1. Simulated broker with realistic fills, rejections, partial fills
2. Same risk engine, same order gateway, same position manager
3. Only the adapter differs
4. Simulated slippage and costs</t>
        </is>
      </c>
      <c r="U136" s="48" t="inlineStr">
        <is>
          <t>• 🔴 Switching paper→live changes exactly one dependency injection</t>
        </is>
      </c>
      <c r="V136" s="48" t="n"/>
      <c r="W136" s="49" t="n"/>
    </row>
    <row r="137" ht="30" customHeight="1" s="59">
      <c r="A137" s="38" t="inlineStr">
        <is>
          <t>E15-S11</t>
        </is>
      </c>
      <c r="B137" s="39" t="inlineStr">
        <is>
          <t>E15</t>
        </is>
      </c>
      <c r="C137" s="40" t="inlineStr">
        <is>
          <t>EXECUTION &amp; POSITIONS</t>
        </is>
      </c>
      <c r="D137" s="40" t="inlineStr">
        <is>
          <t>EOD reconciliation and journal</t>
        </is>
      </c>
      <c r="E137" s="40" t="inlineStr">
        <is>
          <t>New</t>
        </is>
      </c>
      <c r="F137" s="41" t="inlineStr">
        <is>
          <t>P0</t>
        </is>
      </c>
      <c r="G137" s="39" t="inlineStr">
        <is>
          <t>5</t>
        </is>
      </c>
      <c r="H137" s="50" t="inlineStr">
        <is>
          <t>Correctness-critical</t>
        </is>
      </c>
      <c r="I137" s="39" t="inlineStr">
        <is>
          <t>FEAT</t>
        </is>
      </c>
      <c r="J137" s="43" t="n">
        <v>1</v>
      </c>
      <c r="K137" s="40" t="inlineStr">
        <is>
          <t>E15-S09</t>
        </is>
      </c>
      <c r="L137" s="40" t="n"/>
      <c r="M137" s="44" t="n"/>
      <c r="N137" s="45" t="n"/>
      <c r="O137" s="46" t="n"/>
      <c r="P137" s="46" t="n"/>
      <c r="Q137" s="47" t="n"/>
      <c r="R137" s="39" t="n">
        <v>0</v>
      </c>
      <c r="S137" s="48" t="n"/>
      <c r="T137" s="48" t="n"/>
      <c r="U137" s="48" t="n"/>
      <c r="V137" s="48" t="inlineStr">
        <is>
          <t>Final reconciliation, journal entries with setup/regime/outcome attribution, daily statistics.</t>
        </is>
      </c>
      <c r="W137" s="49" t="n"/>
    </row>
    <row r="138" ht="30" customHeight="1" s="59">
      <c r="A138" s="38" t="inlineStr">
        <is>
          <t>E16-S01</t>
        </is>
      </c>
      <c r="B138" s="39" t="inlineStr">
        <is>
          <t>E16</t>
        </is>
      </c>
      <c r="C138" s="40" t="inlineStr">
        <is>
          <t>AUTONOMY &amp; APPROVAL</t>
        </is>
      </c>
      <c r="D138" s="40" t="inlineStr">
        <is>
          <t>Autonomy level management</t>
        </is>
      </c>
      <c r="E138" s="40" t="inlineStr">
        <is>
          <t>New</t>
        </is>
      </c>
      <c r="F138" s="41" t="inlineStr">
        <is>
          <t>P0</t>
        </is>
      </c>
      <c r="G138" s="39" t="inlineStr">
        <is>
          <t>5</t>
        </is>
      </c>
      <c r="H138" s="51" t="inlineStr">
        <is>
          <t>Safety-critical</t>
        </is>
      </c>
      <c r="I138" s="39" t="inlineStr">
        <is>
          <t>FEAT</t>
        </is>
      </c>
      <c r="J138" s="43" t="n">
        <v>1</v>
      </c>
      <c r="K138" s="40" t="inlineStr">
        <is>
          <t>E14-S01</t>
        </is>
      </c>
      <c r="L138" s="40" t="n"/>
      <c r="M138" s="44" t="n"/>
      <c r="N138" s="45" t="n"/>
      <c r="O138" s="46" t="n"/>
      <c r="P138" s="46" t="n"/>
      <c r="Q138" s="47" t="n"/>
      <c r="R138" s="39" t="n">
        <v>0</v>
      </c>
      <c r="S138" s="48" t="n"/>
      <c r="T138" s="48" t="n"/>
      <c r="U138" s="48" t="n"/>
      <c r="V138" s="48" t="inlineStr">
        <is>
          <t>L0–L4 levels controlling system behaviour; level change requires re-auth.</t>
        </is>
      </c>
      <c r="W138" s="49" t="n"/>
    </row>
    <row r="139" ht="30" customHeight="1" s="59">
      <c r="A139" s="38" t="inlineStr">
        <is>
          <t>E16-S02</t>
        </is>
      </c>
      <c r="B139" s="39" t="inlineStr">
        <is>
          <t>E16</t>
        </is>
      </c>
      <c r="C139" s="40" t="inlineStr">
        <is>
          <t>AUTONOMY &amp; APPROVAL</t>
        </is>
      </c>
      <c r="D139" s="40" t="inlineStr">
        <is>
          <t>Envelope evaluation</t>
        </is>
      </c>
      <c r="E139" s="40" t="inlineStr">
        <is>
          <t>New</t>
        </is>
      </c>
      <c r="F139" s="41" t="inlineStr">
        <is>
          <t>P0</t>
        </is>
      </c>
      <c r="G139" s="39" t="inlineStr">
        <is>
          <t>5</t>
        </is>
      </c>
      <c r="H139" s="51" t="inlineStr">
        <is>
          <t>Safety-critical</t>
        </is>
      </c>
      <c r="I139" s="39" t="inlineStr">
        <is>
          <t>FEAT</t>
        </is>
      </c>
      <c r="J139" s="43" t="n">
        <v>1.5</v>
      </c>
      <c r="K139" s="40" t="inlineStr">
        <is>
          <t>E16-S01</t>
        </is>
      </c>
      <c r="L139" s="40" t="n"/>
      <c r="M139" s="44" t="n"/>
      <c r="N139" s="45" t="n"/>
      <c r="O139" s="46" t="n"/>
      <c r="P139" s="46" t="n"/>
      <c r="Q139" s="47" t="n"/>
      <c r="R139" s="39" t="n">
        <v>3</v>
      </c>
      <c r="S139" s="48" t="n"/>
      <c r="T139" s="48" t="inlineStr">
        <is>
          <t>1. Evaluate each trade against the autonomy envelope
2. Inside → auto-execute; outside → escalate
3. Record which envelope condition triggered escalation</t>
        </is>
      </c>
      <c r="U139" s="48" t="n"/>
      <c r="V139" s="48" t="n"/>
      <c r="W139" s="49" t="n"/>
    </row>
    <row r="140" ht="30" customHeight="1" s="59">
      <c r="A140" s="38" t="inlineStr">
        <is>
          <t>E16-S03</t>
        </is>
      </c>
      <c r="B140" s="39" t="inlineStr">
        <is>
          <t>E16</t>
        </is>
      </c>
      <c r="C140" s="40" t="inlineStr">
        <is>
          <t>AUTONOMY &amp; APPROVAL</t>
        </is>
      </c>
      <c r="D140" s="40" t="inlineStr">
        <is>
          <t>Escalation and approval flow</t>
        </is>
      </c>
      <c r="E140" s="40" t="inlineStr">
        <is>
          <t>New</t>
        </is>
      </c>
      <c r="F140" s="41" t="inlineStr">
        <is>
          <t>P0</t>
        </is>
      </c>
      <c r="G140" s="39" t="inlineStr">
        <is>
          <t>5</t>
        </is>
      </c>
      <c r="H140" s="51" t="inlineStr">
        <is>
          <t>Safety-critical</t>
        </is>
      </c>
      <c r="I140" s="39" t="inlineStr">
        <is>
          <t>FEAT</t>
        </is>
      </c>
      <c r="J140" s="43" t="n">
        <v>2</v>
      </c>
      <c r="K140" s="40" t="inlineStr">
        <is>
          <t>E16-S02, E19-S03</t>
        </is>
      </c>
      <c r="L140" s="40" t="n"/>
      <c r="M140" s="44" t="n"/>
      <c r="N140" s="45" t="n"/>
      <c r="O140" s="46" t="n"/>
      <c r="P140" s="46" t="n"/>
      <c r="Q140" s="47" t="n"/>
      <c r="R140" s="39" t="n">
        <v>5</v>
      </c>
      <c r="S140" s="48" t="n"/>
      <c r="T140" s="48" t="inlineStr">
        <is>
          <t>1. Send approval request with full context
2. 60-second window
3. Timeout → skip the trade (never auto-approve)
4. Approve/reject handling
5. Audit the decision and who made it</t>
        </is>
      </c>
      <c r="U140" s="48" t="inlineStr">
        <is>
          <t>• 🔴 An unanswered approval request never results in a trade</t>
        </is>
      </c>
      <c r="V140" s="48" t="n"/>
      <c r="W140" s="49" t="n"/>
    </row>
    <row r="141" ht="30" customHeight="1" s="59">
      <c r="A141" s="38" t="inlineStr">
        <is>
          <t>E16-S04</t>
        </is>
      </c>
      <c r="B141" s="39" t="inlineStr">
        <is>
          <t>E16</t>
        </is>
      </c>
      <c r="C141" s="40" t="inlineStr">
        <is>
          <t>AUTONOMY &amp; APPROVAL</t>
        </is>
      </c>
      <c r="D141" s="40" t="inlineStr">
        <is>
          <t>Auto-demotion</t>
        </is>
      </c>
      <c r="E141" s="40" t="inlineStr">
        <is>
          <t>New</t>
        </is>
      </c>
      <c r="F141" s="41" t="inlineStr">
        <is>
          <t>P0</t>
        </is>
      </c>
      <c r="G141" s="39" t="inlineStr">
        <is>
          <t>5</t>
        </is>
      </c>
      <c r="H141" s="51" t="inlineStr">
        <is>
          <t>Safety-critical</t>
        </is>
      </c>
      <c r="I141" s="39" t="inlineStr">
        <is>
          <t>FEAT</t>
        </is>
      </c>
      <c r="J141" s="43" t="n">
        <v>1</v>
      </c>
      <c r="K141" s="40" t="inlineStr">
        <is>
          <t>E16-S01</t>
        </is>
      </c>
      <c r="L141" s="40" t="n"/>
      <c r="M141" s="44" t="n"/>
      <c r="N141" s="45" t="n"/>
      <c r="O141" s="46" t="n"/>
      <c r="P141" s="46" t="n"/>
      <c r="Q141" s="47" t="n"/>
      <c r="R141" s="39" t="n">
        <v>4</v>
      </c>
      <c r="S141" s="48" t="inlineStr">
        <is>
          <t>As a trader, I want the system to ask for more supervision when it is doing badly, so that autonomy is not retained through a losing streak.</t>
        </is>
      </c>
      <c r="T141" s="48" t="inlineStr">
        <is>
          <t>1. Triggers: daily loss %, consecutive losses, AI disagreement rate, 7-day win rate
2. Demote L3 → L2 automatically
3. Alert with the reason
4. Manual re-promotion only</t>
        </is>
      </c>
      <c r="U141" s="48" t="n"/>
      <c r="V141" s="48" t="n"/>
      <c r="W141" s="49" t="n"/>
    </row>
    <row r="142" ht="30" customHeight="1" s="59">
      <c r="A142" s="38" t="inlineStr">
        <is>
          <t>E16-S05</t>
        </is>
      </c>
      <c r="B142" s="39" t="inlineStr">
        <is>
          <t>E16</t>
        </is>
      </c>
      <c r="C142" s="40" t="inlineStr">
        <is>
          <t>AUTONOMY &amp; APPROVAL</t>
        </is>
      </c>
      <c r="D142" s="40" t="inlineStr">
        <is>
          <t>Escalation trigger conditions</t>
        </is>
      </c>
      <c r="E142" s="40" t="inlineStr">
        <is>
          <t>New</t>
        </is>
      </c>
      <c r="F142" s="41" t="inlineStr">
        <is>
          <t>P0</t>
        </is>
      </c>
      <c r="G142" s="39" t="inlineStr">
        <is>
          <t>5</t>
        </is>
      </c>
      <c r="H142" s="50" t="inlineStr">
        <is>
          <t>Correctness-critical</t>
        </is>
      </c>
      <c r="I142" s="39" t="inlineStr">
        <is>
          <t>FEAT</t>
        </is>
      </c>
      <c r="J142" s="43" t="n">
        <v>1</v>
      </c>
      <c r="K142" s="40" t="inlineStr">
        <is>
          <t>E16-S02</t>
        </is>
      </c>
      <c r="L142" s="40" t="n"/>
      <c r="M142" s="44" t="n"/>
      <c r="N142" s="45" t="n"/>
      <c r="O142" s="46" t="n"/>
      <c r="P142" s="46" t="n"/>
      <c r="Q142" s="47" t="n"/>
      <c r="R142" s="39" t="n">
        <v>0</v>
      </c>
      <c r="S142" s="48" t="n"/>
      <c r="T142" s="48" t="n"/>
      <c r="U142" s="48" t="n"/>
      <c r="V142" s="48" t="inlineStr">
        <is>
          <t>News unmatched to thesis · intraday regime change · correlation spike · broker reject streak · reconciliation drift.</t>
        </is>
      </c>
      <c r="W142" s="49" t="n"/>
    </row>
    <row r="143" ht="30" customHeight="1" s="59">
      <c r="A143" s="38" t="inlineStr">
        <is>
          <t>E16-S06</t>
        </is>
      </c>
      <c r="B143" s="39" t="inlineStr">
        <is>
          <t>E16</t>
        </is>
      </c>
      <c r="C143" s="40" t="inlineStr">
        <is>
          <t>AUTONOMY &amp; APPROVAL</t>
        </is>
      </c>
      <c r="D143" s="40" t="inlineStr">
        <is>
          <t>Autonomy audit trail</t>
        </is>
      </c>
      <c r="E143" s="40" t="inlineStr">
        <is>
          <t>New</t>
        </is>
      </c>
      <c r="F143" s="53" t="inlineStr">
        <is>
          <t>P1</t>
        </is>
      </c>
      <c r="G143" s="39" t="inlineStr">
        <is>
          <t>6</t>
        </is>
      </c>
      <c r="H143" s="42" t="inlineStr">
        <is>
          <t>Low</t>
        </is>
      </c>
      <c r="I143" s="39" t="inlineStr">
        <is>
          <t>FEAT</t>
        </is>
      </c>
      <c r="J143" s="43" t="n">
        <v>0.5</v>
      </c>
      <c r="K143" s="40" t="n"/>
      <c r="L143" s="40" t="n"/>
      <c r="M143" s="44" t="n"/>
      <c r="N143" s="45" t="n"/>
      <c r="O143" s="46" t="n"/>
      <c r="P143" s="46" t="n"/>
      <c r="Q143" s="47" t="n"/>
      <c r="R143" s="39" t="n">
        <v>0</v>
      </c>
      <c r="S143" s="48" t="n"/>
      <c r="T143" s="48" t="n"/>
      <c r="U143" s="48" t="n"/>
      <c r="V143" s="48" t="inlineStr">
        <is>
          <t>History of level changes, escalations, approvals, demotions.</t>
        </is>
      </c>
      <c r="W143" s="49" t="n"/>
    </row>
    <row r="144" ht="30" customHeight="1" s="59">
      <c r="A144" s="38" t="inlineStr">
        <is>
          <t>E17-S01</t>
        </is>
      </c>
      <c r="B144" s="39" t="inlineStr">
        <is>
          <t>E17</t>
        </is>
      </c>
      <c r="C144" s="40" t="inlineStr">
        <is>
          <t>DASHBOARD UI</t>
        </is>
      </c>
      <c r="D144" s="40" t="inlineStr">
        <is>
          <t>Application shell and authentication</t>
        </is>
      </c>
      <c r="E144" s="40" t="inlineStr">
        <is>
          <t>New</t>
        </is>
      </c>
      <c r="F144" s="41" t="inlineStr">
        <is>
          <t>P0</t>
        </is>
      </c>
      <c r="G144" s="39" t="inlineStr">
        <is>
          <t>4</t>
        </is>
      </c>
      <c r="H144" s="51" t="inlineStr">
        <is>
          <t>Safety-critical</t>
        </is>
      </c>
      <c r="I144" s="39" t="inlineStr">
        <is>
          <t>SEC</t>
        </is>
      </c>
      <c r="J144" s="43" t="n">
        <v>2</v>
      </c>
      <c r="K144" s="40" t="n"/>
      <c r="L144" s="40" t="n"/>
      <c r="M144" s="44" t="n"/>
      <c r="N144" s="45" t="n"/>
      <c r="O144" s="46" t="n"/>
      <c r="P144" s="46" t="n"/>
      <c r="Q144" s="47" t="n"/>
      <c r="R144" s="39" t="n">
        <v>7</v>
      </c>
      <c r="S144" s="48" t="n"/>
      <c r="T144" s="48" t="inlineStr">
        <is>
          <t>1. FastAPI + Jinja2 + HTMX skeleton
2. Bind to 127.0.0.1 only
3. WebAuthn passkey registration and login
4. TOTP fallback
5. Session management: rotation, HttpOnly/Secure/SameSite=Strict, absolute timeout
6. CSRF token on every mutating request
7. Strict CSP, no external origins, no CDN</t>
        </is>
      </c>
      <c r="U144" s="48" t="inlineStr">
        <is>
          <t>• 🔴 External port scan shows the dashboard closed
• 🔴 No inline scripts; CSP violations logged</t>
        </is>
      </c>
      <c r="V144" s="48" t="n"/>
      <c r="W144" s="49" t="n"/>
    </row>
    <row r="145" ht="30" customHeight="1" s="59">
      <c r="A145" s="38" t="inlineStr">
        <is>
          <t>E17-S02</t>
        </is>
      </c>
      <c r="B145" s="39" t="inlineStr">
        <is>
          <t>E17</t>
        </is>
      </c>
      <c r="C145" s="40" t="inlineStr">
        <is>
          <t>DASHBOARD UI</t>
        </is>
      </c>
      <c r="D145" s="40" t="inlineStr">
        <is>
          <t>SSE live update channel</t>
        </is>
      </c>
      <c r="E145" s="40" t="inlineStr">
        <is>
          <t>New</t>
        </is>
      </c>
      <c r="F145" s="41" t="inlineStr">
        <is>
          <t>P0</t>
        </is>
      </c>
      <c r="G145" s="39" t="inlineStr">
        <is>
          <t>4</t>
        </is>
      </c>
      <c r="H145" s="50" t="inlineStr">
        <is>
          <t>Correctness-critical</t>
        </is>
      </c>
      <c r="I145" s="39" t="inlineStr">
        <is>
          <t>FEAT</t>
        </is>
      </c>
      <c r="J145" s="43" t="n">
        <v>1.5</v>
      </c>
      <c r="K145" s="40" t="inlineStr">
        <is>
          <t>E17-S01</t>
        </is>
      </c>
      <c r="L145" s="40" t="n"/>
      <c r="M145" s="44" t="n"/>
      <c r="N145" s="45" t="n"/>
      <c r="O145" s="46" t="n"/>
      <c r="P145" s="46" t="n"/>
      <c r="Q145" s="47" t="n"/>
      <c r="R145" s="39" t="n">
        <v>0</v>
      </c>
      <c r="S145" s="48" t="n"/>
      <c r="T145" s="48" t="n"/>
      <c r="U145" s="48" t="n"/>
      <c r="V145" s="48" t="inlineStr">
        <is>
          <t>Single stream for positions, P&amp;L, health, activity. Auto-reconnect with visible banner. Throttled to 4 Hz.</t>
        </is>
      </c>
      <c r="W145" s="49" t="n"/>
    </row>
    <row r="146" ht="30" customHeight="1" s="59">
      <c r="A146" s="38" t="inlineStr">
        <is>
          <t>E17-S03</t>
        </is>
      </c>
      <c r="B146" s="39" t="inlineStr">
        <is>
          <t>E17</t>
        </is>
      </c>
      <c r="C146" s="40" t="inlineStr">
        <is>
          <t>DASHBOARD UI</t>
        </is>
      </c>
      <c r="D146" s="40" t="inlineStr">
        <is>
          <t>Live dashboard</t>
        </is>
      </c>
      <c r="E146" s="40" t="inlineStr">
        <is>
          <t>New</t>
        </is>
      </c>
      <c r="F146" s="41" t="inlineStr">
        <is>
          <t>P0</t>
        </is>
      </c>
      <c r="G146" s="39" t="inlineStr">
        <is>
          <t>4</t>
        </is>
      </c>
      <c r="H146" s="50" t="inlineStr">
        <is>
          <t>Correctness-critical</t>
        </is>
      </c>
      <c r="I146" s="39" t="inlineStr">
        <is>
          <t>FEAT</t>
        </is>
      </c>
      <c r="J146" s="43" t="n">
        <v>2.5</v>
      </c>
      <c r="K146" s="40" t="inlineStr">
        <is>
          <t>E17-S02</t>
        </is>
      </c>
      <c r="L146" s="40" t="n"/>
      <c r="M146" s="44" t="n"/>
      <c r="N146" s="45" t="n"/>
      <c r="O146" s="46" t="n"/>
      <c r="P146" s="46" t="n"/>
      <c r="Q146" s="47" t="n"/>
      <c r="R146" s="39" t="n">
        <v>8</v>
      </c>
      <c r="S146" s="48" t="n"/>
      <c r="T146" s="48" t="inlineStr">
        <is>
          <t>1. Status bar with mode, autonomy, interval, clock
2. Kill switch always visible, top-right, with confirm
3. Metrics row: P&amp;L, open risk, slots, win/loss, drawdown
4. Positions table with per-stock square-off warning
5. Watchlist with trigger status
6. Market context panel
7. Activity feed showing rejections, not just actions
8. System health panel</t>
        </is>
      </c>
      <c r="U146" s="48" t="inlineStr">
        <is>
          <t>• "Is everything OK?" answerable in under 2 seconds
• Direction never encoded by colour alone (arrow + sign + colour)</t>
        </is>
      </c>
      <c r="V146" s="48" t="n"/>
      <c r="W146" s="49" t="n"/>
    </row>
    <row r="147" ht="30" customHeight="1" s="59">
      <c r="A147" s="38" t="inlineStr">
        <is>
          <t>E17-S04</t>
        </is>
      </c>
      <c r="B147" s="39" t="inlineStr">
        <is>
          <t>E17</t>
        </is>
      </c>
      <c r="C147" s="40" t="inlineStr">
        <is>
          <t>DASHBOARD UI</t>
        </is>
      </c>
      <c r="D147" s="40" t="inlineStr">
        <is>
          <t>Chart component</t>
        </is>
      </c>
      <c r="E147" s="40" t="inlineStr">
        <is>
          <t>New</t>
        </is>
      </c>
      <c r="F147" s="41" t="inlineStr">
        <is>
          <t>P0</t>
        </is>
      </c>
      <c r="G147" s="39" t="inlineStr">
        <is>
          <t>4</t>
        </is>
      </c>
      <c r="H147" s="50" t="inlineStr">
        <is>
          <t>Correctness-critical</t>
        </is>
      </c>
      <c r="I147" s="39" t="inlineStr">
        <is>
          <t>FEAT</t>
        </is>
      </c>
      <c r="J147" s="43" t="n">
        <v>2</v>
      </c>
      <c r="K147" s="40" t="inlineStr">
        <is>
          <t>E17-S02</t>
        </is>
      </c>
      <c r="L147" s="40" t="n"/>
      <c r="M147" s="44" t="n"/>
      <c r="N147" s="45" t="n"/>
      <c r="O147" s="46" t="n"/>
      <c r="P147" s="46" t="n"/>
      <c r="Q147" s="47" t="n"/>
      <c r="R147" s="39" t="n">
        <v>6</v>
      </c>
      <c r="S147" s="48" t="n"/>
      <c r="T147" s="48" t="inlineStr">
        <is>
          <t>1. `lightweight-charts` integration, self-hosted
2. Candlestick + volume subplot
3. EMA overlays, opening range band, S/R levels
4. Entry/stop/target markers
5. `series.update()` for streaming — never full re-render
6. Visible stale state when the feed lags</t>
        </is>
      </c>
      <c r="U147" s="48" t="n"/>
      <c r="V147" s="48" t="n"/>
      <c r="W147" s="49" t="n"/>
    </row>
    <row r="148" ht="30" customHeight="1" s="59">
      <c r="A148" s="38" t="inlineStr">
        <is>
          <t>E17-S05</t>
        </is>
      </c>
      <c r="B148" s="39" t="inlineStr">
        <is>
          <t>E17</t>
        </is>
      </c>
      <c r="C148" s="40" t="inlineStr">
        <is>
          <t>DASHBOARD UI</t>
        </is>
      </c>
      <c r="D148" s="40" t="inlineStr">
        <is>
          <t>Symbol detail view</t>
        </is>
      </c>
      <c r="E148" s="40" t="inlineStr">
        <is>
          <t>New</t>
        </is>
      </c>
      <c r="F148" s="53" t="inlineStr">
        <is>
          <t>P1</t>
        </is>
      </c>
      <c r="G148" s="39" t="inlineStr">
        <is>
          <t>4</t>
        </is>
      </c>
      <c r="H148" s="42" t="inlineStr">
        <is>
          <t>Low</t>
        </is>
      </c>
      <c r="I148" s="39" t="inlineStr">
        <is>
          <t>FEAT</t>
        </is>
      </c>
      <c r="J148" s="43" t="n">
        <v>2</v>
      </c>
      <c r="K148" s="40" t="inlineStr">
        <is>
          <t>E17-S04</t>
        </is>
      </c>
      <c r="L148" s="40" t="n"/>
      <c r="M148" s="44" t="n"/>
      <c r="N148" s="45" t="n"/>
      <c r="O148" s="46" t="n"/>
      <c r="P148" s="46" t="n"/>
      <c r="Q148" s="47" t="n"/>
      <c r="R148" s="39" t="n">
        <v>0</v>
      </c>
      <c r="S148" s="48" t="n"/>
      <c r="T148" s="48" t="n"/>
      <c r="U148" s="48" t="n"/>
      <c r="V148" s="48" t="inlineStr">
        <is>
          <t>Chart + multi-timeframe panel + AI assessment + news (with decayed older items) + position panel with manual actions.</t>
        </is>
      </c>
      <c r="W148" s="49" t="n"/>
    </row>
    <row r="149" ht="30" customHeight="1" s="59">
      <c r="A149" s="38" t="inlineStr">
        <is>
          <t>E17-S06</t>
        </is>
      </c>
      <c r="B149" s="39" t="inlineStr">
        <is>
          <t>E17</t>
        </is>
      </c>
      <c r="C149" s="40" t="inlineStr">
        <is>
          <t>DASHBOARD UI</t>
        </is>
      </c>
      <c r="D149" s="40" t="inlineStr">
        <is>
          <t>Daily plan view</t>
        </is>
      </c>
      <c r="E149" s="40" t="inlineStr">
        <is>
          <t>New</t>
        </is>
      </c>
      <c r="F149" s="53" t="inlineStr">
        <is>
          <t>P1</t>
        </is>
      </c>
      <c r="G149" s="39" t="inlineStr">
        <is>
          <t>4</t>
        </is>
      </c>
      <c r="H149" s="42" t="inlineStr">
        <is>
          <t>Low</t>
        </is>
      </c>
      <c r="I149" s="39" t="inlineStr">
        <is>
          <t>FEAT</t>
        </is>
      </c>
      <c r="J149" s="43" t="n">
        <v>1.5</v>
      </c>
      <c r="K149" s="40" t="inlineStr">
        <is>
          <t>E11-S08</t>
        </is>
      </c>
      <c r="L149" s="40" t="n"/>
      <c r="M149" s="44" t="n"/>
      <c r="N149" s="45" t="n"/>
      <c r="O149" s="46" t="n"/>
      <c r="P149" s="46" t="n"/>
      <c r="Q149" s="47" t="n"/>
      <c r="R149" s="39" t="n">
        <v>0</v>
      </c>
      <c r="S149" s="48" t="n"/>
      <c r="T149" s="48" t="n"/>
      <c r="U149" s="48" t="n"/>
      <c r="V149" s="48" t="inlineStr">
        <is>
          <t>Thesis, ranked candidates with score breakdown, expandable playbooks, gap-invalidated candidates kept visible with reason.</t>
        </is>
      </c>
      <c r="W149" s="49" t="n"/>
    </row>
    <row r="150" ht="30" customHeight="1" s="59">
      <c r="A150" s="38" t="inlineStr">
        <is>
          <t>E17-S07</t>
        </is>
      </c>
      <c r="B150" s="39" t="inlineStr">
        <is>
          <t>E17</t>
        </is>
      </c>
      <c r="C150" s="40" t="inlineStr">
        <is>
          <t>DASHBOARD UI</t>
        </is>
      </c>
      <c r="D150" s="40" t="inlineStr">
        <is>
          <t>Positions and orders view</t>
        </is>
      </c>
      <c r="E150" s="40" t="inlineStr">
        <is>
          <t>New</t>
        </is>
      </c>
      <c r="F150" s="53" t="inlineStr">
        <is>
          <t>P1</t>
        </is>
      </c>
      <c r="G150" s="39" t="inlineStr">
        <is>
          <t>4</t>
        </is>
      </c>
      <c r="H150" s="42" t="inlineStr">
        <is>
          <t>Low</t>
        </is>
      </c>
      <c r="I150" s="39" t="inlineStr">
        <is>
          <t>FEAT</t>
        </is>
      </c>
      <c r="J150" s="43" t="n">
        <v>1</v>
      </c>
      <c r="K150" s="40" t="n"/>
      <c r="L150" s="40" t="n"/>
      <c r="M150" s="44" t="n"/>
      <c r="N150" s="45" t="n"/>
      <c r="O150" s="46" t="n"/>
      <c r="P150" s="46" t="n"/>
      <c r="Q150" s="47" t="n"/>
      <c r="R150" s="39" t="n">
        <v>0</v>
      </c>
      <c r="S150" s="48" t="n"/>
      <c r="T150" s="48" t="n"/>
      <c r="U150" s="48" t="n"/>
      <c r="V150" s="48" t="n"/>
      <c r="W150" s="49" t="n"/>
    </row>
    <row r="151" ht="30" customHeight="1" s="59">
      <c r="A151" s="38" t="inlineStr">
        <is>
          <t>E17-S08</t>
        </is>
      </c>
      <c r="B151" s="39" t="inlineStr">
        <is>
          <t>E17</t>
        </is>
      </c>
      <c r="C151" s="40" t="inlineStr">
        <is>
          <t>DASHBOARD UI</t>
        </is>
      </c>
      <c r="D151" s="40" t="inlineStr">
        <is>
          <t>Data visualisation standards</t>
        </is>
      </c>
      <c r="E151" s="40" t="inlineStr">
        <is>
          <t>New</t>
        </is>
      </c>
      <c r="F151" s="53" t="inlineStr">
        <is>
          <t>P1</t>
        </is>
      </c>
      <c r="G151" s="39" t="inlineStr">
        <is>
          <t>6</t>
        </is>
      </c>
      <c r="H151" s="50" t="inlineStr">
        <is>
          <t>Correctness-critical</t>
        </is>
      </c>
      <c r="I151" s="39" t="inlineStr">
        <is>
          <t>FEAT</t>
        </is>
      </c>
      <c r="J151" s="43" t="n">
        <v>1</v>
      </c>
      <c r="K151" s="40" t="n"/>
      <c r="L151" s="40" t="n"/>
      <c r="M151" s="44" t="n"/>
      <c r="N151" s="45" t="n"/>
      <c r="O151" s="46" t="n"/>
      <c r="P151" s="46" t="n"/>
      <c r="Q151" s="47" t="n"/>
      <c r="R151" s="39" t="n">
        <v>5</v>
      </c>
      <c r="S151" s="48" t="n"/>
      <c r="T151" s="48" t="inlineStr">
        <is>
          <t>1. Palette validated for CVD in light and dark
2. Direction never colour-alone — arrow + sign + colour
3. P&amp;L as diverging scale with grey midpoint
4. No dual-axis charts anywhere
5. Status colours reserved, never reused as series colours</t>
        </is>
      </c>
      <c r="U151" s="48" t="n"/>
      <c r="V151" s="48" t="n"/>
      <c r="W151" s="49" t="n"/>
    </row>
    <row r="152" ht="30" customHeight="1" s="59">
      <c r="A152" s="38" t="inlineStr">
        <is>
          <t>E17-S09</t>
        </is>
      </c>
      <c r="B152" s="39" t="inlineStr">
        <is>
          <t>E17</t>
        </is>
      </c>
      <c r="C152" s="40" t="inlineStr">
        <is>
          <t>DASHBOARD UI</t>
        </is>
      </c>
      <c r="D152" s="40" t="inlineStr">
        <is>
          <t>Performance analytics</t>
        </is>
      </c>
      <c r="E152" s="40" t="inlineStr">
        <is>
          <t>New</t>
        </is>
      </c>
      <c r="F152" s="52" t="inlineStr">
        <is>
          <t>P2</t>
        </is>
      </c>
      <c r="G152" s="39" t="inlineStr">
        <is>
          <t>6</t>
        </is>
      </c>
      <c r="H152" s="42" t="inlineStr">
        <is>
          <t>Low</t>
        </is>
      </c>
      <c r="I152" s="39" t="inlineStr">
        <is>
          <t>FEAT</t>
        </is>
      </c>
      <c r="J152" s="43" t="n">
        <v>1.5</v>
      </c>
      <c r="K152" s="40" t="n"/>
      <c r="L152" s="40" t="n"/>
      <c r="M152" s="44" t="n"/>
      <c r="N152" s="45" t="n"/>
      <c r="O152" s="46" t="n"/>
      <c r="P152" s="46" t="n"/>
      <c r="Q152" s="47" t="n"/>
      <c r="R152" s="39" t="n">
        <v>0</v>
      </c>
      <c r="S152" s="48" t="n"/>
      <c r="T152" s="48" t="n"/>
      <c r="U152" s="48" t="n"/>
      <c r="V152" s="48" t="inlineStr">
        <is>
          <t>Equity curve, R-multiple distribution, win rate by setup and regime.</t>
        </is>
      </c>
      <c r="W152" s="49" t="n"/>
    </row>
    <row r="153" ht="30" customHeight="1" s="59">
      <c r="A153" s="38" t="inlineStr">
        <is>
          <t>E18-S01</t>
        </is>
      </c>
      <c r="B153" s="39" t="inlineStr">
        <is>
          <t>E18</t>
        </is>
      </c>
      <c r="C153" s="40" t="inlineStr">
        <is>
          <t>ADMIN UI</t>
        </is>
      </c>
      <c r="D153" s="40" t="inlineStr">
        <is>
          <t>Admin shell and compliance panel</t>
        </is>
      </c>
      <c r="E153" s="40" t="inlineStr">
        <is>
          <t>New</t>
        </is>
      </c>
      <c r="F153" s="53" t="inlineStr">
        <is>
          <t>P1</t>
        </is>
      </c>
      <c r="G153" s="39" t="inlineStr">
        <is>
          <t>6</t>
        </is>
      </c>
      <c r="H153" s="50" t="inlineStr">
        <is>
          <t>Correctness-critical</t>
        </is>
      </c>
      <c r="I153" s="39" t="inlineStr">
        <is>
          <t>FEAT</t>
        </is>
      </c>
      <c r="J153" s="43" t="n">
        <v>1.5</v>
      </c>
      <c r="K153" s="40" t="inlineStr">
        <is>
          <t>E17-S01</t>
        </is>
      </c>
      <c r="L153" s="40" t="n"/>
      <c r="M153" s="44" t="n"/>
      <c r="N153" s="45" t="n"/>
      <c r="O153" s="46" t="n"/>
      <c r="P153" s="46" t="n"/>
      <c r="Q153" s="47" t="n"/>
      <c r="R153" s="39" t="n">
        <v>0</v>
      </c>
      <c r="S153" s="48" t="n"/>
      <c r="T153" s="48" t="n"/>
      <c r="U153" s="48" t="n"/>
      <c r="V153" s="48" t="inlineStr">
        <is>
          <t>Live status of every compliance constraint; read-only.</t>
        </is>
      </c>
      <c r="W153" s="49" t="n"/>
    </row>
    <row r="154" ht="30" customHeight="1" s="59">
      <c r="A154" s="38" t="inlineStr">
        <is>
          <t>E18-S02</t>
        </is>
      </c>
      <c r="B154" s="39" t="inlineStr">
        <is>
          <t>E18</t>
        </is>
      </c>
      <c r="C154" s="40" t="inlineStr">
        <is>
          <t>ADMIN UI</t>
        </is>
      </c>
      <c r="D154" s="40" t="inlineStr">
        <is>
          <t>Configuration editor</t>
        </is>
      </c>
      <c r="E154" s="40" t="inlineStr">
        <is>
          <t>New</t>
        </is>
      </c>
      <c r="F154" s="53" t="inlineStr">
        <is>
          <t>P1</t>
        </is>
      </c>
      <c r="G154" s="39" t="inlineStr">
        <is>
          <t>6</t>
        </is>
      </c>
      <c r="H154" s="51" t="inlineStr">
        <is>
          <t>Safety-critical</t>
        </is>
      </c>
      <c r="I154" s="39" t="inlineStr">
        <is>
          <t>FEAT</t>
        </is>
      </c>
      <c r="J154" s="43" t="n">
        <v>2.5</v>
      </c>
      <c r="K154" s="40" t="inlineStr">
        <is>
          <t>E18-S01</t>
        </is>
      </c>
      <c r="L154" s="40" t="n"/>
      <c r="M154" s="44" t="n"/>
      <c r="N154" s="45" t="n"/>
      <c r="O154" s="46" t="n"/>
      <c r="P154" s="46" t="n"/>
      <c r="Q154" s="47" t="n"/>
      <c r="R154" s="39" t="n">
        <v>7</v>
      </c>
      <c r="S154" s="48" t="n"/>
      <c r="T154" s="48" t="inlineStr">
        <is>
          <t>1. Section-based editor mirroring `system.yaml`
2. Derived values shown live ("1.0% → ₹5,000 per trade")
3. Inline explanation of trade-offs
4. Three-gate validation with clear errors
5. Save produces a git commit with a diff shown before confirmation
6. Re-authentication required to save
7. Immutable during an active session</t>
        </is>
      </c>
      <c r="U154" s="48" t="inlineStr">
        <is>
          <t>• 🔴 Hard bounds cannot be exceeded from the UI
• Every change is a reviewable commit</t>
        </is>
      </c>
      <c r="V154" s="48" t="n"/>
      <c r="W154" s="49" t="n"/>
    </row>
    <row r="155" ht="30" customHeight="1" s="59">
      <c r="A155" s="38" t="inlineStr">
        <is>
          <t>E18-S03</t>
        </is>
      </c>
      <c r="B155" s="39" t="inlineStr">
        <is>
          <t>E18</t>
        </is>
      </c>
      <c r="C155" s="40" t="inlineStr">
        <is>
          <t>ADMIN UI</t>
        </is>
      </c>
      <c r="D155" s="40" t="inlineStr">
        <is>
          <t>Universe and filter management</t>
        </is>
      </c>
      <c r="E155" s="40" t="inlineStr">
        <is>
          <t>New</t>
        </is>
      </c>
      <c r="F155" s="53" t="inlineStr">
        <is>
          <t>P1</t>
        </is>
      </c>
      <c r="G155" s="39" t="inlineStr">
        <is>
          <t>6</t>
        </is>
      </c>
      <c r="H155" s="42" t="inlineStr">
        <is>
          <t>Low</t>
        </is>
      </c>
      <c r="I155" s="39" t="inlineStr">
        <is>
          <t>FEAT</t>
        </is>
      </c>
      <c r="J155" s="43" t="n">
        <v>1.5</v>
      </c>
      <c r="K155" s="40" t="n"/>
      <c r="L155" s="40" t="n"/>
      <c r="M155" s="44" t="n"/>
      <c r="N155" s="45" t="n"/>
      <c r="O155" s="46" t="n"/>
      <c r="P155" s="46" t="n"/>
      <c r="Q155" s="47" t="n"/>
      <c r="R155" s="39" t="n">
        <v>0</v>
      </c>
      <c r="S155" s="48" t="n"/>
      <c r="T155" s="48" t="n"/>
      <c r="U155" s="48" t="n"/>
      <c r="V155" s="48" t="inlineStr">
        <is>
          <t>Filter config with live preview of survivors per filter; weight editor enforcing sum to 1.0.</t>
        </is>
      </c>
      <c r="W155" s="49" t="n"/>
    </row>
    <row r="156" ht="30" customHeight="1" s="59">
      <c r="A156" s="38" t="inlineStr">
        <is>
          <t>E18-S04</t>
        </is>
      </c>
      <c r="B156" s="39" t="inlineStr">
        <is>
          <t>E18</t>
        </is>
      </c>
      <c r="C156" s="40" t="inlineStr">
        <is>
          <t>ADMIN UI</t>
        </is>
      </c>
      <c r="D156" s="40" t="inlineStr">
        <is>
          <t>Strategy management</t>
        </is>
      </c>
      <c r="E156" s="40" t="inlineStr">
        <is>
          <t>New</t>
        </is>
      </c>
      <c r="F156" s="53" t="inlineStr">
        <is>
          <t>P1</t>
        </is>
      </c>
      <c r="G156" s="39" t="inlineStr">
        <is>
          <t>6</t>
        </is>
      </c>
      <c r="H156" s="51" t="inlineStr">
        <is>
          <t>Safety-critical</t>
        </is>
      </c>
      <c r="I156" s="39" t="inlineStr">
        <is>
          <t>FEAT</t>
        </is>
      </c>
      <c r="J156" s="43" t="n">
        <v>2.5</v>
      </c>
      <c r="K156" s="40" t="inlineStr">
        <is>
          <t>E12-S02</t>
        </is>
      </c>
      <c r="L156" s="40" t="n"/>
      <c r="M156" s="44" t="n"/>
      <c r="N156" s="45" t="n"/>
      <c r="O156" s="46" t="n"/>
      <c r="P156" s="46" t="n"/>
      <c r="Q156" s="47" t="n"/>
      <c r="R156" s="39" t="n">
        <v>5</v>
      </c>
      <c r="S156" s="48" t="n"/>
      <c r="T156" s="48" t="inlineStr">
        <is>
          <t>1. Registry list with state, DSR, PBO, vs-backtest ratio
2. Detail tabs: definition, hypothesis, validation, live performance
3. YAML editor with live validation and primitive autocomplete
4. Approval screen requiring re-auth AND typing the strategy name
5. Trial log showing search cost and the implied DSR bar</t>
        </is>
      </c>
      <c r="U156" s="48" t="inlineStr">
        <is>
          <t>• 🔴 Promotion to ACTIVE requires deliberate, high-friction confirmation</t>
        </is>
      </c>
      <c r="V156" s="48" t="n"/>
      <c r="W156" s="49" t="n"/>
    </row>
    <row r="157" ht="30" customHeight="1" s="59">
      <c r="A157" s="38" t="inlineStr">
        <is>
          <t>E18-S05</t>
        </is>
      </c>
      <c r="B157" s="39" t="inlineStr">
        <is>
          <t>E18</t>
        </is>
      </c>
      <c r="C157" s="40" t="inlineStr">
        <is>
          <t>ADMIN UI</t>
        </is>
      </c>
      <c r="D157" s="40" t="inlineStr">
        <is>
          <t>Risk limits editor</t>
        </is>
      </c>
      <c r="E157" s="40" t="inlineStr">
        <is>
          <t>New</t>
        </is>
      </c>
      <c r="F157" s="53" t="inlineStr">
        <is>
          <t>P1</t>
        </is>
      </c>
      <c r="G157" s="39" t="inlineStr">
        <is>
          <t>6</t>
        </is>
      </c>
      <c r="H157" s="51" t="inlineStr">
        <is>
          <t>Safety-critical</t>
        </is>
      </c>
      <c r="I157" s="39" t="inlineStr">
        <is>
          <t>FEAT</t>
        </is>
      </c>
      <c r="J157" s="43" t="n">
        <v>1.5</v>
      </c>
      <c r="K157" s="40" t="inlineStr">
        <is>
          <t>E18-S02</t>
        </is>
      </c>
      <c r="L157" s="40" t="n"/>
      <c r="M157" s="44" t="n"/>
      <c r="N157" s="45" t="n"/>
      <c r="O157" s="46" t="n"/>
      <c r="P157" s="46" t="n"/>
      <c r="Q157" s="47" t="n"/>
      <c r="R157" s="39" t="n">
        <v>0</v>
      </c>
      <c r="S157" s="48" t="n"/>
      <c r="T157" s="48" t="n"/>
      <c r="U157" s="48" t="n"/>
      <c r="V157" s="48" t="inlineStr">
        <is>
          <t>With impact preview from backtest where available.</t>
        </is>
      </c>
      <c r="W157" s="49" t="n"/>
    </row>
    <row r="158" ht="30" customHeight="1" s="59">
      <c r="A158" s="38" t="inlineStr">
        <is>
          <t>E18-S06</t>
        </is>
      </c>
      <c r="B158" s="39" t="inlineStr">
        <is>
          <t>E18</t>
        </is>
      </c>
      <c r="C158" s="40" t="inlineStr">
        <is>
          <t>ADMIN UI</t>
        </is>
      </c>
      <c r="D158" s="40" t="inlineStr">
        <is>
          <t>AI settings and budget</t>
        </is>
      </c>
      <c r="E158" s="40" t="inlineStr">
        <is>
          <t>New</t>
        </is>
      </c>
      <c r="F158" s="53" t="inlineStr">
        <is>
          <t>P1</t>
        </is>
      </c>
      <c r="G158" s="39" t="inlineStr">
        <is>
          <t>6</t>
        </is>
      </c>
      <c r="H158" s="42" t="inlineStr">
        <is>
          <t>Low</t>
        </is>
      </c>
      <c r="I158" s="39" t="inlineStr">
        <is>
          <t>FEAT</t>
        </is>
      </c>
      <c r="J158" s="43" t="n">
        <v>1</v>
      </c>
      <c r="K158" s="40" t="n"/>
      <c r="L158" s="40" t="n"/>
      <c r="M158" s="44" t="n"/>
      <c r="N158" s="45" t="n"/>
      <c r="O158" s="46" t="n"/>
      <c r="P158" s="46" t="n"/>
      <c r="Q158" s="47" t="n"/>
      <c r="R158" s="39" t="n">
        <v>0</v>
      </c>
      <c r="S158" s="48" t="n"/>
      <c r="T158" s="48" t="n"/>
      <c r="U158" s="48" t="n"/>
      <c r="V158" s="48" t="inlineStr">
        <is>
          <t>Model selection, thresholds, live spend gauge, cache hit rate.</t>
        </is>
      </c>
      <c r="W158" s="49" t="n"/>
    </row>
    <row r="159" ht="30" customHeight="1" s="59">
      <c r="A159" s="38" t="inlineStr">
        <is>
          <t>E18-S07</t>
        </is>
      </c>
      <c r="B159" s="39" t="inlineStr">
        <is>
          <t>E18</t>
        </is>
      </c>
      <c r="C159" s="40" t="inlineStr">
        <is>
          <t>ADMIN UI</t>
        </is>
      </c>
      <c r="D159" s="40" t="inlineStr">
        <is>
          <t>News sources and injection monitor</t>
        </is>
      </c>
      <c r="E159" s="40" t="inlineStr">
        <is>
          <t>New</t>
        </is>
      </c>
      <c r="F159" s="53" t="inlineStr">
        <is>
          <t>P1</t>
        </is>
      </c>
      <c r="G159" s="39" t="inlineStr">
        <is>
          <t>6</t>
        </is>
      </c>
      <c r="H159" s="51" t="inlineStr">
        <is>
          <t>Safety-critical</t>
        </is>
      </c>
      <c r="I159" s="39" t="inlineStr">
        <is>
          <t>SEC</t>
        </is>
      </c>
      <c r="J159" s="43" t="n">
        <v>1</v>
      </c>
      <c r="K159" s="40" t="inlineStr">
        <is>
          <t>E08-S03</t>
        </is>
      </c>
      <c r="L159" s="40" t="n"/>
      <c r="M159" s="44" t="n"/>
      <c r="N159" s="45" t="n"/>
      <c r="O159" s="46" t="n"/>
      <c r="P159" s="46" t="n"/>
      <c r="Q159" s="47" t="n"/>
      <c r="R159" s="39" t="n">
        <v>4</v>
      </c>
      <c r="S159" s="48" t="n"/>
      <c r="T159" s="48" t="inlineStr">
        <is>
          <t>1. Provider allowlist management
2. Decay half-life configuration
3. Sanitiser hit counts by source with samples
4. A source with rising hits is a source to drop</t>
        </is>
      </c>
      <c r="U159" s="48" t="n"/>
      <c r="V159" s="48" t="n"/>
      <c r="W159" s="49" t="n"/>
    </row>
    <row r="160" ht="30" customHeight="1" s="59">
      <c r="A160" s="38" t="inlineStr">
        <is>
          <t>E18-S08</t>
        </is>
      </c>
      <c r="B160" s="39" t="inlineStr">
        <is>
          <t>E18</t>
        </is>
      </c>
      <c r="C160" s="40" t="inlineStr">
        <is>
          <t>ADMIN UI</t>
        </is>
      </c>
      <c r="D160" s="40" t="inlineStr">
        <is>
          <t>Audit log explorer</t>
        </is>
      </c>
      <c r="E160" s="40" t="inlineStr">
        <is>
          <t>New</t>
        </is>
      </c>
      <c r="F160" s="53" t="inlineStr">
        <is>
          <t>P1</t>
        </is>
      </c>
      <c r="G160" s="39" t="inlineStr">
        <is>
          <t>6</t>
        </is>
      </c>
      <c r="H160" s="50" t="inlineStr">
        <is>
          <t>Correctness-critical</t>
        </is>
      </c>
      <c r="I160" s="39" t="inlineStr">
        <is>
          <t>FEAT</t>
        </is>
      </c>
      <c r="J160" s="43" t="n">
        <v>1.5</v>
      </c>
      <c r="K160" s="40" t="inlineStr">
        <is>
          <t>E01-S05</t>
        </is>
      </c>
      <c r="L160" s="40" t="n"/>
      <c r="M160" s="44" t="n"/>
      <c r="N160" s="45" t="n"/>
      <c r="O160" s="46" t="n"/>
      <c r="P160" s="46" t="n"/>
      <c r="Q160" s="47" t="n"/>
      <c r="R160" s="39" t="n">
        <v>0</v>
      </c>
      <c r="S160" s="48" t="n"/>
      <c r="T160" s="48" t="n"/>
      <c r="U160" s="48" t="n"/>
      <c r="V160" s="48" t="inlineStr">
        <is>
          <t>Search by correlation ID; full trade life from candidacy to exit with every stage, latency, and rejection reason.</t>
        </is>
      </c>
      <c r="W160" s="49" t="n"/>
    </row>
    <row r="161" ht="30" customHeight="1" s="59">
      <c r="A161" s="38" t="inlineStr">
        <is>
          <t>E19-S01</t>
        </is>
      </c>
      <c r="B161" s="39" t="inlineStr">
        <is>
          <t>E19</t>
        </is>
      </c>
      <c r="C161" s="40" t="inlineStr">
        <is>
          <t>NOTIFICATIONS</t>
        </is>
      </c>
      <c r="D161" s="40" t="inlineStr">
        <is>
          <t>Telegram bot foundation</t>
        </is>
      </c>
      <c r="E161" s="40" t="inlineStr">
        <is>
          <t>New</t>
        </is>
      </c>
      <c r="F161" s="41" t="inlineStr">
        <is>
          <t>P0</t>
        </is>
      </c>
      <c r="G161" s="39" t="inlineStr">
        <is>
          <t>3</t>
        </is>
      </c>
      <c r="H161" s="51" t="inlineStr">
        <is>
          <t>Safety-critical</t>
        </is>
      </c>
      <c r="I161" s="39" t="inlineStr">
        <is>
          <t>SEC</t>
        </is>
      </c>
      <c r="J161" s="43" t="n">
        <v>1.5</v>
      </c>
      <c r="K161" s="40" t="n"/>
      <c r="L161" s="40" t="n"/>
      <c r="M161" s="44" t="n"/>
      <c r="N161" s="45" t="n"/>
      <c r="O161" s="46" t="n"/>
      <c r="P161" s="46" t="n"/>
      <c r="Q161" s="47" t="n"/>
      <c r="R161" s="39" t="n">
        <v>4</v>
      </c>
      <c r="S161" s="48" t="n"/>
      <c r="T161" s="48" t="inlineStr">
        <is>
          <t>1. Bot setup with token from secrets
2. Respond only to one hard-configured chat ID — ignore and log all others
3. Single recipient enforced (config validation already does this)
4. Message templating</t>
        </is>
      </c>
      <c r="U161" s="48" t="inlineStr">
        <is>
          <t>• 🔴 A message from any other chat ID is ignored and logged</t>
        </is>
      </c>
      <c r="V161" s="48" t="n"/>
      <c r="W161" s="49" t="n"/>
    </row>
    <row r="162" ht="30" customHeight="1" s="59">
      <c r="A162" s="38" t="inlineStr">
        <is>
          <t>E19-S02</t>
        </is>
      </c>
      <c r="B162" s="39" t="inlineStr">
        <is>
          <t>E19</t>
        </is>
      </c>
      <c r="C162" s="40" t="inlineStr">
        <is>
          <t>NOTIFICATIONS</t>
        </is>
      </c>
      <c r="D162" s="40" t="inlineStr">
        <is>
          <t>Pre-market briefing delivery</t>
        </is>
      </c>
      <c r="E162" s="40" t="inlineStr">
        <is>
          <t>New</t>
        </is>
      </c>
      <c r="F162" s="41" t="inlineStr">
        <is>
          <t>P0</t>
        </is>
      </c>
      <c r="G162" s="39" t="inlineStr">
        <is>
          <t>3</t>
        </is>
      </c>
      <c r="H162" s="42" t="inlineStr">
        <is>
          <t>Low</t>
        </is>
      </c>
      <c r="I162" s="39" t="inlineStr">
        <is>
          <t>FEAT</t>
        </is>
      </c>
      <c r="J162" s="43" t="n">
        <v>1</v>
      </c>
      <c r="K162" s="40" t="inlineStr">
        <is>
          <t>E11-S08, E19-S01</t>
        </is>
      </c>
      <c r="L162" s="40" t="n"/>
      <c r="M162" s="44" t="n"/>
      <c r="N162" s="45" t="n"/>
      <c r="O162" s="46" t="n"/>
      <c r="P162" s="46" t="n"/>
      <c r="Q162" s="47" t="n"/>
      <c r="R162" s="39" t="n">
        <v>0</v>
      </c>
      <c r="S162" s="48" t="n"/>
      <c r="T162" s="48" t="n"/>
      <c r="U162" s="48" t="n"/>
      <c r="V162" s="48" t="n"/>
      <c r="W162" s="49" t="n"/>
    </row>
    <row r="163" ht="30" customHeight="1" s="59">
      <c r="A163" s="38" t="inlineStr">
        <is>
          <t>E19-S03</t>
        </is>
      </c>
      <c r="B163" s="39" t="inlineStr">
        <is>
          <t>E19</t>
        </is>
      </c>
      <c r="C163" s="40" t="inlineStr">
        <is>
          <t>NOTIFICATIONS</t>
        </is>
      </c>
      <c r="D163" s="40" t="inlineStr">
        <is>
          <t>Trade alerts and approval buttons</t>
        </is>
      </c>
      <c r="E163" s="40" t="inlineStr">
        <is>
          <t>New</t>
        </is>
      </c>
      <c r="F163" s="41" t="inlineStr">
        <is>
          <t>P0</t>
        </is>
      </c>
      <c r="G163" s="39" t="inlineStr">
        <is>
          <t>4</t>
        </is>
      </c>
      <c r="H163" s="51" t="inlineStr">
        <is>
          <t>Safety-critical</t>
        </is>
      </c>
      <c r="I163" s="39" t="inlineStr">
        <is>
          <t>FEAT</t>
        </is>
      </c>
      <c r="J163" s="43" t="n">
        <v>1.5</v>
      </c>
      <c r="K163" s="40" t="inlineStr">
        <is>
          <t>E19-S01</t>
        </is>
      </c>
      <c r="L163" s="40" t="n"/>
      <c r="M163" s="44" t="n"/>
      <c r="N163" s="45" t="n"/>
      <c r="O163" s="46" t="n"/>
      <c r="P163" s="46" t="n"/>
      <c r="Q163" s="47" t="n"/>
      <c r="R163" s="39" t="n">
        <v>4</v>
      </c>
      <c r="S163" s="48" t="n"/>
      <c r="T163" s="48" t="inlineStr">
        <is>
          <t>1. Trade opened/closed alerts with rationale
2. Approval requests with inline buttons and countdown
3. Expiry → skip (never auto-approve)
4. No sensitive data — no account numbers, no absolute capital</t>
        </is>
      </c>
      <c r="U163" s="48" t="n"/>
      <c r="V163" s="48" t="n"/>
      <c r="W163" s="49" t="n"/>
    </row>
    <row r="164" ht="30" customHeight="1" s="59">
      <c r="A164" s="38" t="inlineStr">
        <is>
          <t>E19-S04</t>
        </is>
      </c>
      <c r="B164" s="39" t="inlineStr">
        <is>
          <t>E19</t>
        </is>
      </c>
      <c r="C164" s="40" t="inlineStr">
        <is>
          <t>NOTIFICATIONS</t>
        </is>
      </c>
      <c r="D164" s="40" t="inlineStr">
        <is>
          <t>Command handlers</t>
        </is>
      </c>
      <c r="E164" s="40" t="inlineStr">
        <is>
          <t>New</t>
        </is>
      </c>
      <c r="F164" s="41" t="inlineStr">
        <is>
          <t>P0</t>
        </is>
      </c>
      <c r="G164" s="39" t="inlineStr">
        <is>
          <t>4</t>
        </is>
      </c>
      <c r="H164" s="51" t="inlineStr">
        <is>
          <t>Safety-critical</t>
        </is>
      </c>
      <c r="I164" s="39" t="inlineStr">
        <is>
          <t>FEAT</t>
        </is>
      </c>
      <c r="J164" s="43" t="n">
        <v>1.5</v>
      </c>
      <c r="K164" s="40" t="inlineStr">
        <is>
          <t>E19-S01</t>
        </is>
      </c>
      <c r="L164" s="40" t="n"/>
      <c r="M164" s="44" t="n"/>
      <c r="N164" s="45" t="n"/>
      <c r="O164" s="46" t="n"/>
      <c r="P164" s="46" t="n"/>
      <c r="Q164" s="47" t="n"/>
      <c r="R164" s="39" t="n">
        <v>0</v>
      </c>
      <c r="S164" s="48" t="n"/>
      <c r="T164" s="48" t="n"/>
      <c r="U164" s="48" t="n"/>
      <c r="V164" s="48" t="inlineStr">
        <is>
          <t>`/status` `/positions` `/plan` `/pause` `/resume` `/kill` `/close` `/closeall` `/why` `/health`. Destructive commands require confirmation; `/kill` and `/closeall` require two steps.</t>
        </is>
      </c>
      <c r="W164" s="49" t="n"/>
    </row>
    <row r="165" ht="30" customHeight="1" s="59">
      <c r="A165" s="38" t="inlineStr">
        <is>
          <t>E19-S05</t>
        </is>
      </c>
      <c r="B165" s="39" t="inlineStr">
        <is>
          <t>E19</t>
        </is>
      </c>
      <c r="C165" s="40" t="inlineStr">
        <is>
          <t>NOTIFICATIONS</t>
        </is>
      </c>
      <c r="D165" s="40" t="inlineStr">
        <is>
          <t>Alert budgets and batching</t>
        </is>
      </c>
      <c r="E165" s="40" t="inlineStr">
        <is>
          <t>New</t>
        </is>
      </c>
      <c r="F165" s="53" t="inlineStr">
        <is>
          <t>P1</t>
        </is>
      </c>
      <c r="G165" s="39" t="inlineStr">
        <is>
          <t>4</t>
        </is>
      </c>
      <c r="H165" s="42" t="inlineStr">
        <is>
          <t>Low</t>
        </is>
      </c>
      <c r="I165" s="39" t="inlineStr">
        <is>
          <t>FEAT</t>
        </is>
      </c>
      <c r="J165" s="43" t="n">
        <v>0.5</v>
      </c>
      <c r="K165" s="40" t="inlineStr">
        <is>
          <t>E19-S03</t>
        </is>
      </c>
      <c r="L165" s="40" t="n"/>
      <c r="M165" s="44" t="n"/>
      <c r="N165" s="45" t="n"/>
      <c r="O165" s="46" t="n"/>
      <c r="P165" s="46" t="n"/>
      <c r="Q165" s="47" t="n"/>
      <c r="R165" s="39" t="n">
        <v>0</v>
      </c>
      <c r="S165" s="48" t="n"/>
      <c r="T165" s="48" t="n"/>
      <c r="U165" s="48" t="n"/>
      <c r="V165" s="48" t="inlineStr">
        <is>
          <t>P0 immediate · P1 ≤3/day · P2 ≤6/day batched into a digest beyond budget.</t>
        </is>
      </c>
      <c r="W165" s="49" t="n"/>
    </row>
    <row r="166" ht="30" customHeight="1" s="59">
      <c r="A166" s="38" t="inlineStr">
        <is>
          <t>E19-S06</t>
        </is>
      </c>
      <c r="B166" s="39" t="inlineStr">
        <is>
          <t>E19</t>
        </is>
      </c>
      <c r="C166" s="40" t="inlineStr">
        <is>
          <t>NOTIFICATIONS</t>
        </is>
      </c>
      <c r="D166" s="40" t="inlineStr">
        <is>
          <t>Email fallback</t>
        </is>
      </c>
      <c r="E166" s="40" t="inlineStr">
        <is>
          <t>New</t>
        </is>
      </c>
      <c r="F166" s="52" t="inlineStr">
        <is>
          <t>P2</t>
        </is>
      </c>
      <c r="G166" s="39" t="inlineStr">
        <is>
          <t>6</t>
        </is>
      </c>
      <c r="H166" s="42" t="inlineStr">
        <is>
          <t>Low</t>
        </is>
      </c>
      <c r="I166" s="39" t="inlineStr">
        <is>
          <t>FEAT</t>
        </is>
      </c>
      <c r="J166" s="43" t="n">
        <v>0.5</v>
      </c>
      <c r="K166" s="40" t="n"/>
      <c r="L166" s="40" t="n"/>
      <c r="M166" s="44" t="n"/>
      <c r="N166" s="45" t="n"/>
      <c r="O166" s="46" t="n"/>
      <c r="P166" s="46" t="n"/>
      <c r="Q166" s="47" t="n"/>
      <c r="R166" s="39" t="n">
        <v>0</v>
      </c>
      <c r="S166" s="48" t="n"/>
      <c r="T166" s="48" t="n"/>
      <c r="U166" s="48" t="n"/>
      <c r="V166" s="48" t="n"/>
      <c r="W166" s="49" t="n"/>
    </row>
    <row r="167" ht="30" customHeight="1" s="59">
      <c r="A167" s="38" t="inlineStr">
        <is>
          <t>E20-S01</t>
        </is>
      </c>
      <c r="B167" s="39" t="inlineStr">
        <is>
          <t>E20</t>
        </is>
      </c>
      <c r="C167" s="40" t="inlineStr">
        <is>
          <t>OBSERVABILITY</t>
        </is>
      </c>
      <c r="D167" s="40" t="inlineStr">
        <is>
          <t>Metrics instrumentation</t>
        </is>
      </c>
      <c r="E167" s="40" t="inlineStr">
        <is>
          <t>New</t>
        </is>
      </c>
      <c r="F167" s="53" t="inlineStr">
        <is>
          <t>P1</t>
        </is>
      </c>
      <c r="G167" s="39" t="inlineStr">
        <is>
          <t>6</t>
        </is>
      </c>
      <c r="H167" s="50" t="inlineStr">
        <is>
          <t>Correctness-critical</t>
        </is>
      </c>
      <c r="I167" s="39" t="inlineStr">
        <is>
          <t>OPS</t>
        </is>
      </c>
      <c r="J167" s="43" t="n">
        <v>1.5</v>
      </c>
      <c r="K167" s="40" t="n"/>
      <c r="L167" s="40" t="n"/>
      <c r="M167" s="44" t="n"/>
      <c r="N167" s="45" t="n"/>
      <c r="O167" s="46" t="n"/>
      <c r="P167" s="46" t="n"/>
      <c r="Q167" s="47" t="n"/>
      <c r="R167" s="39" t="n">
        <v>0</v>
      </c>
      <c r="S167" s="48" t="n"/>
      <c r="T167" s="48" t="n"/>
      <c r="U167" s="48" t="n"/>
      <c r="V167" s="48" t="inlineStr">
        <is>
          <t>Latency histograms per stage · data quality counters · AI metrics including cache hit ratio · trading counters · risk gauges · health.</t>
        </is>
      </c>
      <c r="W167" s="49" t="n"/>
    </row>
    <row r="168" ht="30" customHeight="1" s="59">
      <c r="A168" s="38" t="inlineStr">
        <is>
          <t>E20-S02</t>
        </is>
      </c>
      <c r="B168" s="39" t="inlineStr">
        <is>
          <t>E20</t>
        </is>
      </c>
      <c r="C168" s="40" t="inlineStr">
        <is>
          <t>OBSERVABILITY</t>
        </is>
      </c>
      <c r="D168" s="40" t="inlineStr">
        <is>
          <t>Latency profiler and adaptive interval</t>
        </is>
      </c>
      <c r="E168" s="40" t="inlineStr">
        <is>
          <t>New</t>
        </is>
      </c>
      <c r="F168" s="53" t="inlineStr">
        <is>
          <t>P1</t>
        </is>
      </c>
      <c r="G168" s="39" t="inlineStr">
        <is>
          <t>6</t>
        </is>
      </c>
      <c r="H168" s="51" t="inlineStr">
        <is>
          <t>Safety-critical</t>
        </is>
      </c>
      <c r="I168" s="39" t="inlineStr">
        <is>
          <t>FEAT</t>
        </is>
      </c>
      <c r="J168" s="43" t="n">
        <v>2</v>
      </c>
      <c r="K168" s="40" t="inlineStr">
        <is>
          <t>E20-S01</t>
        </is>
      </c>
      <c r="L168" s="40" t="n"/>
      <c r="M168" s="44" t="n"/>
      <c r="N168" s="45" t="n"/>
      <c r="O168" s="46" t="n"/>
      <c r="P168" s="46" t="n"/>
      <c r="Q168" s="47" t="n"/>
      <c r="R168" s="39" t="n">
        <v>5</v>
      </c>
      <c r="S168" s="48" t="inlineStr">
        <is>
          <t>As a system, I want my trading interval derived from measured latency, so that I never act on analysis I have not finished.</t>
        </is>
      </c>
      <c r="T168" s="48" t="inlineStr">
        <is>
          <t>1. Record per-stage latency in a rolling window
2. Compute p95 of the full pipeline
3. Apply headroom multiplier
4. Round up to the nearest supported interval
5. Recalibrate daily; publish to `control:interval`</t>
        </is>
      </c>
      <c r="U168" s="48" t="inlineStr">
        <is>
          <t>• 🔴 Degraded latency automatically steps the interval down, never up</t>
        </is>
      </c>
      <c r="V168" s="48" t="n"/>
      <c r="W168" s="49" t="n"/>
    </row>
    <row r="169" ht="30" customHeight="1" s="59">
      <c r="A169" s="38" t="inlineStr">
        <is>
          <t>E20-S03</t>
        </is>
      </c>
      <c r="B169" s="39" t="inlineStr">
        <is>
          <t>E20</t>
        </is>
      </c>
      <c r="C169" s="40" t="inlineStr">
        <is>
          <t>OBSERVABILITY</t>
        </is>
      </c>
      <c r="D169" s="40" t="inlineStr">
        <is>
          <t>Grafana dashboards</t>
        </is>
      </c>
      <c r="E169" s="40" t="inlineStr">
        <is>
          <t>New</t>
        </is>
      </c>
      <c r="F169" s="53" t="inlineStr">
        <is>
          <t>P1</t>
        </is>
      </c>
      <c r="G169" s="39" t="inlineStr">
        <is>
          <t>6</t>
        </is>
      </c>
      <c r="H169" s="42" t="inlineStr">
        <is>
          <t>Low</t>
        </is>
      </c>
      <c r="I169" s="39" t="inlineStr">
        <is>
          <t>OPS</t>
        </is>
      </c>
      <c r="J169" s="43" t="n">
        <v>1.5</v>
      </c>
      <c r="K169" s="40" t="inlineStr">
        <is>
          <t>E20-S01</t>
        </is>
      </c>
      <c r="L169" s="40" t="n"/>
      <c r="M169" s="44" t="n"/>
      <c r="N169" s="45" t="n"/>
      <c r="O169" s="46" t="n"/>
      <c r="P169" s="46" t="n"/>
      <c r="Q169" s="47" t="n"/>
      <c r="R169" s="39" t="n">
        <v>0</v>
      </c>
      <c r="S169" s="48" t="n"/>
      <c r="T169" s="48" t="n"/>
      <c r="U169" s="48" t="n"/>
      <c r="V169" s="48" t="n"/>
      <c r="W169" s="49" t="n"/>
    </row>
    <row r="170" ht="30" customHeight="1" s="59">
      <c r="A170" s="38" t="inlineStr">
        <is>
          <t>E20-S04</t>
        </is>
      </c>
      <c r="B170" s="39" t="inlineStr">
        <is>
          <t>E20</t>
        </is>
      </c>
      <c r="C170" s="40" t="inlineStr">
        <is>
          <t>OBSERVABILITY</t>
        </is>
      </c>
      <c r="D170" s="40" t="inlineStr">
        <is>
          <t>Alerting rules</t>
        </is>
      </c>
      <c r="E170" s="40" t="inlineStr">
        <is>
          <t>New</t>
        </is>
      </c>
      <c r="F170" s="53" t="inlineStr">
        <is>
          <t>P1</t>
        </is>
      </c>
      <c r="G170" s="39" t="inlineStr">
        <is>
          <t>6</t>
        </is>
      </c>
      <c r="H170" s="50" t="inlineStr">
        <is>
          <t>Correctness-critical</t>
        </is>
      </c>
      <c r="I170" s="39" t="inlineStr">
        <is>
          <t>OPS</t>
        </is>
      </c>
      <c r="J170" s="43" t="n">
        <v>1</v>
      </c>
      <c r="K170" s="40" t="inlineStr">
        <is>
          <t>E20-S01</t>
        </is>
      </c>
      <c r="L170" s="40" t="n"/>
      <c r="M170" s="44" t="n"/>
      <c r="N170" s="45" t="n"/>
      <c r="O170" s="46" t="n"/>
      <c r="P170" s="46" t="n"/>
      <c r="Q170" s="47" t="n"/>
      <c r="R170" s="39" t="n">
        <v>0</v>
      </c>
      <c r="S170" s="48" t="n"/>
      <c r="T170" s="48" t="n"/>
      <c r="U170" s="48" t="n"/>
      <c r="V170" s="48" t="inlineStr">
        <is>
          <t>P0/P1/P2/P3 routing per the priority scheme.</t>
        </is>
      </c>
      <c r="W170" s="49" t="n"/>
    </row>
    <row r="171" ht="30" customHeight="1" s="59">
      <c r="A171" s="38" t="inlineStr">
        <is>
          <t>E20-S05</t>
        </is>
      </c>
      <c r="B171" s="39" t="inlineStr">
        <is>
          <t>E20</t>
        </is>
      </c>
      <c r="C171" s="40" t="inlineStr">
        <is>
          <t>OBSERVABILITY</t>
        </is>
      </c>
      <c r="D171" s="40" t="inlineStr">
        <is>
          <t>Health check framework</t>
        </is>
      </c>
      <c r="E171" s="40" t="inlineStr">
        <is>
          <t>New</t>
        </is>
      </c>
      <c r="F171" s="41" t="inlineStr">
        <is>
          <t>P0</t>
        </is>
      </c>
      <c r="G171" s="39" t="inlineStr">
        <is>
          <t>5</t>
        </is>
      </c>
      <c r="H171" s="51" t="inlineStr">
        <is>
          <t>Safety-critical</t>
        </is>
      </c>
      <c r="I171" s="39" t="inlineStr">
        <is>
          <t>OPS</t>
        </is>
      </c>
      <c r="J171" s="43" t="n">
        <v>1</v>
      </c>
      <c r="K171" s="40" t="n"/>
      <c r="L171" s="40" t="n"/>
      <c r="M171" s="44" t="n"/>
      <c r="N171" s="45" t="n"/>
      <c r="O171" s="46" t="n"/>
      <c r="P171" s="46" t="n"/>
      <c r="Q171" s="47" t="n"/>
      <c r="R171" s="39" t="n">
        <v>0</v>
      </c>
      <c r="S171" s="48" t="n"/>
      <c r="T171" s="48" t="n"/>
      <c r="U171" s="48" t="n"/>
      <c r="V171" s="48" t="inlineStr">
        <is>
          <t>Per-service `/health`; heartbeat to Redis with TTL; aggregated health gate that blocks trading when any critical service is unhealthy.</t>
        </is>
      </c>
      <c r="W171" s="49" t="n"/>
    </row>
    <row r="172" ht="30" customHeight="1" s="59">
      <c r="A172" s="38" t="inlineStr">
        <is>
          <t>E20-S06</t>
        </is>
      </c>
      <c r="B172" s="39" t="inlineStr">
        <is>
          <t>E20</t>
        </is>
      </c>
      <c r="C172" s="40" t="inlineStr">
        <is>
          <t>OBSERVABILITY</t>
        </is>
      </c>
      <c r="D172" s="40" t="inlineStr">
        <is>
          <t>Structured logging rollout</t>
        </is>
      </c>
      <c r="E172" s="40" t="inlineStr">
        <is>
          <t>New</t>
        </is>
      </c>
      <c r="F172" s="53" t="inlineStr">
        <is>
          <t>P1</t>
        </is>
      </c>
      <c r="G172" s="39" t="inlineStr">
        <is>
          <t>6</t>
        </is>
      </c>
      <c r="H172" s="42" t="inlineStr">
        <is>
          <t>Low</t>
        </is>
      </c>
      <c r="I172" s="39" t="inlineStr">
        <is>
          <t>OPS</t>
        </is>
      </c>
      <c r="J172" s="43" t="n">
        <v>0.5</v>
      </c>
      <c r="K172" s="40" t="n"/>
      <c r="L172" s="40" t="n"/>
      <c r="M172" s="44" t="n"/>
      <c r="N172" s="45" t="n"/>
      <c r="O172" s="46" t="n"/>
      <c r="P172" s="46" t="n"/>
      <c r="Q172" s="47" t="n"/>
      <c r="R172" s="39" t="n">
        <v>0</v>
      </c>
      <c r="S172" s="48" t="n"/>
      <c r="T172" s="48" t="n"/>
      <c r="U172" s="48" t="n"/>
      <c r="V172" s="48" t="inlineStr">
        <is>
          <t>Correlation ID binding across all services.</t>
        </is>
      </c>
      <c r="W172" s="49" t="n"/>
    </row>
    <row r="173" ht="30" customHeight="1" s="59">
      <c r="A173" s="38" t="inlineStr">
        <is>
          <t>E21-S01</t>
        </is>
      </c>
      <c r="B173" s="39" t="inlineStr">
        <is>
          <t>E21</t>
        </is>
      </c>
      <c r="C173" s="40" t="inlineStr">
        <is>
          <t>COMPLIANCE &amp; TAX</t>
        </is>
      </c>
      <c r="D173" s="40" t="inlineStr">
        <is>
          <t>Algo-ID attachment</t>
        </is>
      </c>
      <c r="E173" s="40" t="inlineStr">
        <is>
          <t>New</t>
        </is>
      </c>
      <c r="F173" s="41" t="inlineStr">
        <is>
          <t>P0</t>
        </is>
      </c>
      <c r="G173" s="39" t="inlineStr">
        <is>
          <t>5</t>
        </is>
      </c>
      <c r="H173" s="51" t="inlineStr">
        <is>
          <t>Safety-critical</t>
        </is>
      </c>
      <c r="I173" s="39" t="inlineStr">
        <is>
          <t>SEC</t>
        </is>
      </c>
      <c r="J173" s="43" t="n">
        <v>0.5</v>
      </c>
      <c r="K173" s="40" t="n"/>
      <c r="L173" s="40" t="inlineStr">
        <is>
          <t>blocked on B1</t>
        </is>
      </c>
      <c r="M173" s="44" t="n"/>
      <c r="N173" s="45" t="n"/>
      <c r="O173" s="46" t="n"/>
      <c r="P173" s="46" t="n"/>
      <c r="Q173" s="47" t="n"/>
      <c r="R173" s="39" t="n">
        <v>0</v>
      </c>
      <c r="S173" s="48" t="n"/>
      <c r="T173" s="48" t="n"/>
      <c r="U173" s="48" t="n"/>
      <c r="V173" s="48" t="inlineStr">
        <is>
          <t>Attach per the confirmed mechanic; verify present on every order.</t>
        </is>
      </c>
      <c r="W173" s="49" t="n"/>
    </row>
    <row r="174" ht="30" customHeight="1" s="59">
      <c r="A174" s="38" t="inlineStr">
        <is>
          <t>E21-S02</t>
        </is>
      </c>
      <c r="B174" s="39" t="inlineStr">
        <is>
          <t>E21</t>
        </is>
      </c>
      <c r="C174" s="40" t="inlineStr">
        <is>
          <t>COMPLIANCE &amp; TAX</t>
        </is>
      </c>
      <c r="D174" s="40" t="inlineStr">
        <is>
          <t>Static IP verification at startup</t>
        </is>
      </c>
      <c r="E174" s="40" t="inlineStr">
        <is>
          <t>New</t>
        </is>
      </c>
      <c r="F174" s="41" t="inlineStr">
        <is>
          <t>P0</t>
        </is>
      </c>
      <c r="G174" s="39" t="inlineStr">
        <is>
          <t>5</t>
        </is>
      </c>
      <c r="H174" s="51" t="inlineStr">
        <is>
          <t>Safety-critical</t>
        </is>
      </c>
      <c r="I174" s="39" t="inlineStr">
        <is>
          <t>SEC</t>
        </is>
      </c>
      <c r="J174" s="43" t="n">
        <v>0.5</v>
      </c>
      <c r="K174" s="40" t="n"/>
      <c r="L174" s="40" t="n"/>
      <c r="M174" s="44" t="n"/>
      <c r="N174" s="45" t="n"/>
      <c r="O174" s="46" t="n"/>
      <c r="P174" s="46" t="n"/>
      <c r="Q174" s="47" t="n"/>
      <c r="R174" s="39" t="n">
        <v>0</v>
      </c>
      <c r="S174" s="48" t="n"/>
      <c r="T174" s="48" t="n"/>
      <c r="U174" s="48" t="n"/>
      <c r="V174" s="48" t="inlineStr">
        <is>
          <t>Compare actual egress IP against config; refuse to start on mismatch in live mode.</t>
        </is>
      </c>
      <c r="W174" s="49" t="n"/>
    </row>
    <row r="175" ht="30" customHeight="1" s="59">
      <c r="A175" s="38" t="inlineStr">
        <is>
          <t>E21-S03</t>
        </is>
      </c>
      <c r="B175" s="39" t="inlineStr">
        <is>
          <t>E21</t>
        </is>
      </c>
      <c r="C175" s="40" t="inlineStr">
        <is>
          <t>COMPLIANCE &amp; TAX</t>
        </is>
      </c>
      <c r="D175" s="40" t="inlineStr">
        <is>
          <t>Charge-level fill accounting</t>
        </is>
      </c>
      <c r="E175" s="40" t="inlineStr">
        <is>
          <t>New</t>
        </is>
      </c>
      <c r="F175" s="41" t="inlineStr">
        <is>
          <t>P0</t>
        </is>
      </c>
      <c r="G175" s="39" t="inlineStr">
        <is>
          <t>6</t>
        </is>
      </c>
      <c r="H175" s="51" t="inlineStr">
        <is>
          <t>Safety-critical</t>
        </is>
      </c>
      <c r="I175" s="39" t="inlineStr">
        <is>
          <t>FEAT</t>
        </is>
      </c>
      <c r="J175" s="43" t="n">
        <v>2</v>
      </c>
      <c r="K175" s="40" t="inlineStr">
        <is>
          <t>E15-S03</t>
        </is>
      </c>
      <c r="L175" s="40" t="n"/>
      <c r="M175" s="44" t="n"/>
      <c r="N175" s="45" t="n"/>
      <c r="O175" s="46" t="n"/>
      <c r="P175" s="46" t="n"/>
      <c r="Q175" s="47" t="n"/>
      <c r="R175" s="39" t="n">
        <v>3</v>
      </c>
      <c r="S175" s="48" t="inlineStr">
        <is>
          <t>As a taxpayer, I want every charge recorded separately, so that year-end reconstruction from contract notes is unnecessary.</t>
        </is>
      </c>
      <c r="T175" s="48" t="inlineStr">
        <is>
          <t>1. Record STT, brokerage, GST, exchange charges, stamp duty, SEBI fees per fill
2. Reconcile against the broker contract note
3. Alert on divergence</t>
        </is>
      </c>
      <c r="U175" s="48" t="inlineStr">
        <is>
          <t>• 🔴 Charges match a real contract note to the paisa</t>
        </is>
      </c>
      <c r="V175" s="48" t="n"/>
      <c r="W175" s="49" t="n"/>
    </row>
    <row r="176" ht="30" customHeight="1" s="59">
      <c r="A176" s="38" t="inlineStr">
        <is>
          <t>E21-S04</t>
        </is>
      </c>
      <c r="B176" s="39" t="inlineStr">
        <is>
          <t>E21</t>
        </is>
      </c>
      <c r="C176" s="40" t="inlineStr">
        <is>
          <t>COMPLIANCE &amp; TAX</t>
        </is>
      </c>
      <c r="D176" s="40" t="inlineStr">
        <is>
          <t>Intraday turnover computation</t>
        </is>
      </c>
      <c r="E176" s="40" t="inlineStr">
        <is>
          <t>New</t>
        </is>
      </c>
      <c r="F176" s="41" t="inlineStr">
        <is>
          <t>P0</t>
        </is>
      </c>
      <c r="G176" s="39" t="inlineStr">
        <is>
          <t>6</t>
        </is>
      </c>
      <c r="H176" s="51" t="inlineStr">
        <is>
          <t>Safety-critical</t>
        </is>
      </c>
      <c r="I176" s="39" t="inlineStr">
        <is>
          <t>FEAT</t>
        </is>
      </c>
      <c r="J176" s="43" t="n">
        <v>1</v>
      </c>
      <c r="K176" s="40" t="inlineStr">
        <is>
          <t>E21-S03</t>
        </is>
      </c>
      <c r="L176" s="40" t="n"/>
      <c r="M176" s="44" t="n"/>
      <c r="N176" s="45" t="n"/>
      <c r="O176" s="46" t="n"/>
      <c r="P176" s="46" t="n"/>
      <c r="Q176" s="47" t="n"/>
      <c r="R176" s="39" t="n">
        <v>0</v>
      </c>
      <c r="S176" s="48" t="inlineStr">
        <is>
          <t>As a taxpayer, I want turnover computed as the **absolute sum of profits and losses**, so that the ITR-3 figure is correct.</t>
        </is>
      </c>
      <c r="T176" s="48" t="n"/>
      <c r="U176" s="48" t="inlineStr">
        <is>
          <t>• 🔴 ₹2,000 profit + ₹1,500 loss = ₹3,500 turnover (verified on test data)</t>
        </is>
      </c>
      <c r="V176" s="48" t="n"/>
      <c r="W176" s="49" t="n"/>
    </row>
    <row r="177" ht="30" customHeight="1" s="59">
      <c r="A177" s="38" t="inlineStr">
        <is>
          <t>E21-S05</t>
        </is>
      </c>
      <c r="B177" s="39" t="inlineStr">
        <is>
          <t>E21</t>
        </is>
      </c>
      <c r="C177" s="40" t="inlineStr">
        <is>
          <t>COMPLIANCE &amp; TAX</t>
        </is>
      </c>
      <c r="D177" s="40" t="inlineStr">
        <is>
          <t>Business expense register</t>
        </is>
      </c>
      <c r="E177" s="40" t="inlineStr">
        <is>
          <t>New</t>
        </is>
      </c>
      <c r="F177" s="53" t="inlineStr">
        <is>
          <t>P1</t>
        </is>
      </c>
      <c r="G177" s="39" t="inlineStr">
        <is>
          <t>6</t>
        </is>
      </c>
      <c r="H177" s="42" t="inlineStr">
        <is>
          <t>Low</t>
        </is>
      </c>
      <c r="I177" s="39" t="inlineStr">
        <is>
          <t>FEAT</t>
        </is>
      </c>
      <c r="J177" s="43" t="n">
        <v>1</v>
      </c>
      <c r="K177" s="40" t="n"/>
      <c r="L177" s="40" t="n"/>
      <c r="M177" s="44" t="n"/>
      <c r="N177" s="45" t="n"/>
      <c r="O177" s="46" t="n"/>
      <c r="P177" s="46" t="n"/>
      <c r="Q177" s="47" t="n"/>
      <c r="R177" s="39" t="n">
        <v>0</v>
      </c>
      <c r="S177" s="48" t="n"/>
      <c r="T177" s="48" t="n"/>
      <c r="U177" s="48" t="n"/>
      <c r="V177" s="48" t="inlineStr">
        <is>
          <t>Categorised entry for VPS, API spend, data subscriptions — all deductible.</t>
        </is>
      </c>
      <c r="W177" s="49" t="n"/>
    </row>
    <row r="178" ht="30" customHeight="1" s="59">
      <c r="A178" s="38" t="inlineStr">
        <is>
          <t>E21-S06</t>
        </is>
      </c>
      <c r="B178" s="39" t="inlineStr">
        <is>
          <t>E21</t>
        </is>
      </c>
      <c r="C178" s="40" t="inlineStr">
        <is>
          <t>COMPLIANCE &amp; TAX</t>
        </is>
      </c>
      <c r="D178" s="40" t="inlineStr">
        <is>
          <t>Tax report generator</t>
        </is>
      </c>
      <c r="E178" s="40" t="inlineStr">
        <is>
          <t>New</t>
        </is>
      </c>
      <c r="F178" s="53" t="inlineStr">
        <is>
          <t>P1</t>
        </is>
      </c>
      <c r="G178" s="39" t="inlineStr">
        <is>
          <t>6</t>
        </is>
      </c>
      <c r="H178" s="50" t="inlineStr">
        <is>
          <t>Correctness-critical</t>
        </is>
      </c>
      <c r="I178" s="39" t="inlineStr">
        <is>
          <t>FEAT</t>
        </is>
      </c>
      <c r="J178" s="43" t="n">
        <v>2</v>
      </c>
      <c r="K178" s="40" t="inlineStr">
        <is>
          <t>E21-S04, E21-S05</t>
        </is>
      </c>
      <c r="L178" s="40" t="n"/>
      <c r="M178" s="44" t="n"/>
      <c r="N178" s="45" t="n"/>
      <c r="O178" s="46" t="n"/>
      <c r="P178" s="46" t="n"/>
      <c r="Q178" s="47" t="n"/>
      <c r="R178" s="39" t="n">
        <v>0</v>
      </c>
      <c r="S178" s="48" t="n"/>
      <c r="T178" s="48" t="n"/>
      <c r="U178" s="48" t="n"/>
      <c r="V178" s="48" t="inlineStr">
        <is>
          <t>Speculative turnover, gross profit/loss, net income, itemised expenses, carry-forward position, financial-year selection, export.</t>
        </is>
      </c>
      <c r="W178" s="49" t="n"/>
    </row>
    <row r="179" ht="30" customHeight="1" s="59">
      <c r="A179" s="38" t="inlineStr">
        <is>
          <t>E21-S07</t>
        </is>
      </c>
      <c r="B179" s="39" t="inlineStr">
        <is>
          <t>E21</t>
        </is>
      </c>
      <c r="C179" s="40" t="inlineStr">
        <is>
          <t>COMPLIANCE &amp; TAX</t>
        </is>
      </c>
      <c r="D179" s="40" t="inlineStr">
        <is>
          <t>Compliance status panel</t>
        </is>
      </c>
      <c r="E179" s="40" t="inlineStr">
        <is>
          <t>New</t>
        </is>
      </c>
      <c r="F179" s="53" t="inlineStr">
        <is>
          <t>P1</t>
        </is>
      </c>
      <c r="G179" s="39" t="inlineStr">
        <is>
          <t>6</t>
        </is>
      </c>
      <c r="H179" s="42" t="inlineStr">
        <is>
          <t>Low</t>
        </is>
      </c>
      <c r="I179" s="39" t="inlineStr">
        <is>
          <t>FEAT</t>
        </is>
      </c>
      <c r="J179" s="43" t="n">
        <v>1</v>
      </c>
      <c r="K179" s="40" t="inlineStr">
        <is>
          <t>E18-S01</t>
        </is>
      </c>
      <c r="L179" s="40" t="n"/>
      <c r="M179" s="44" t="n"/>
      <c r="N179" s="45" t="n"/>
      <c r="O179" s="46" t="n"/>
      <c r="P179" s="46" t="n"/>
      <c r="Q179" s="47" t="n"/>
      <c r="R179" s="39" t="n">
        <v>0</v>
      </c>
      <c r="S179" s="48" t="n"/>
      <c r="T179" s="48" t="n"/>
      <c r="U179" s="48" t="n"/>
      <c r="V179" s="48" t="inlineStr">
        <is>
          <t>Live status of every constraint with a pre-live readiness summary.</t>
        </is>
      </c>
      <c r="W179" s="49" t="n"/>
    </row>
    <row r="180" ht="30" customHeight="1" s="59">
      <c r="A180" s="38" t="inlineStr">
        <is>
          <t>E21-S08</t>
        </is>
      </c>
      <c r="B180" s="39" t="inlineStr">
        <is>
          <t>E21</t>
        </is>
      </c>
      <c r="C180" s="40" t="inlineStr">
        <is>
          <t>COMPLIANCE &amp; TAX</t>
        </is>
      </c>
      <c r="D180" s="40" t="inlineStr">
        <is>
          <t>Audit chain verification utility</t>
        </is>
      </c>
      <c r="E180" s="40" t="inlineStr">
        <is>
          <t>New</t>
        </is>
      </c>
      <c r="F180" s="53" t="inlineStr">
        <is>
          <t>P1</t>
        </is>
      </c>
      <c r="G180" s="39" t="inlineStr">
        <is>
          <t>6</t>
        </is>
      </c>
      <c r="H180" s="51" t="inlineStr">
        <is>
          <t>Safety-critical</t>
        </is>
      </c>
      <c r="I180" s="39" t="inlineStr">
        <is>
          <t>SEC</t>
        </is>
      </c>
      <c r="J180" s="43" t="n">
        <v>1</v>
      </c>
      <c r="K180" s="40" t="inlineStr">
        <is>
          <t>E01-S05</t>
        </is>
      </c>
      <c r="L180" s="40" t="n"/>
      <c r="M180" s="44" t="n"/>
      <c r="N180" s="45" t="n"/>
      <c r="O180" s="46" t="n"/>
      <c r="P180" s="46" t="n"/>
      <c r="Q180" s="47" t="n"/>
      <c r="R180" s="39" t="n">
        <v>0</v>
      </c>
      <c r="S180" s="48" t="n"/>
      <c r="T180" s="48" t="n"/>
      <c r="U180" s="48" t="n"/>
      <c r="V180" s="48" t="inlineStr">
        <is>
          <t>Verify the hash chain end to end; detect any retroactive modification.</t>
        </is>
      </c>
      <c r="W180" s="49" t="n"/>
    </row>
    <row r="181" ht="30" customHeight="1" s="59">
      <c r="A181" s="38" t="inlineStr">
        <is>
          <t>E22-S01</t>
        </is>
      </c>
      <c r="B181" s="39" t="inlineStr">
        <is>
          <t>E22</t>
        </is>
      </c>
      <c r="C181" s="40" t="inlineStr">
        <is>
          <t>TESTING &amp; VALIDATION</t>
        </is>
      </c>
      <c r="D181" s="40" t="inlineStr">
        <is>
          <t>Property-based risk engine tests</t>
        </is>
      </c>
      <c r="E181" s="40" t="inlineStr">
        <is>
          <t>New</t>
        </is>
      </c>
      <c r="F181" s="41" t="inlineStr">
        <is>
          <t>P0</t>
        </is>
      </c>
      <c r="G181" s="39" t="inlineStr">
        <is>
          <t>5</t>
        </is>
      </c>
      <c r="H181" s="51" t="inlineStr">
        <is>
          <t>Safety-critical</t>
        </is>
      </c>
      <c r="I181" s="39" t="inlineStr">
        <is>
          <t>TEST</t>
        </is>
      </c>
      <c r="J181" s="43" t="n">
        <v>2</v>
      </c>
      <c r="K181" s="40" t="inlineStr">
        <is>
          <t>E14-S07</t>
        </is>
      </c>
      <c r="L181" s="40" t="n"/>
      <c r="M181" s="44" t="n"/>
      <c r="N181" s="45" t="n"/>
      <c r="O181" s="46" t="n"/>
      <c r="P181" s="46" t="n"/>
      <c r="Q181" s="47" t="n"/>
      <c r="R181" s="39" t="n">
        <v>5</v>
      </c>
      <c r="S181" s="48" t="n"/>
      <c r="T181" s="48" t="inlineStr">
        <is>
          <t>1. Position size never exceeds configured risk, for any input
2. Never exceeds slot count
3. Approved order always has a stop
4. Square-off always precedes broker deadline
5. Sizing clamps are monotonic</t>
        </is>
      </c>
      <c r="U181" s="48" t="n"/>
      <c r="V181" s="48" t="n"/>
      <c r="W181" s="49" t="n"/>
    </row>
    <row r="182" ht="30" customHeight="1" s="59">
      <c r="A182" s="38" t="inlineStr">
        <is>
          <t>E22-S02</t>
        </is>
      </c>
      <c r="B182" s="39" t="inlineStr">
        <is>
          <t>E22</t>
        </is>
      </c>
      <c r="C182" s="40" t="inlineStr">
        <is>
          <t>TESTING &amp; VALIDATION</t>
        </is>
      </c>
      <c r="D182" s="40" t="inlineStr">
        <is>
          <t>Integration test suite</t>
        </is>
      </c>
      <c r="E182" s="40" t="inlineStr">
        <is>
          <t>New</t>
        </is>
      </c>
      <c r="F182" s="53" t="inlineStr">
        <is>
          <t>P1</t>
        </is>
      </c>
      <c r="G182" s="39" t="inlineStr">
        <is>
          <t>7</t>
        </is>
      </c>
      <c r="H182" s="50" t="inlineStr">
        <is>
          <t>Correctness-critical</t>
        </is>
      </c>
      <c r="I182" s="39" t="inlineStr">
        <is>
          <t>TEST</t>
        </is>
      </c>
      <c r="J182" s="43" t="n">
        <v>2</v>
      </c>
      <c r="K182" s="40" t="n"/>
      <c r="L182" s="40" t="n"/>
      <c r="M182" s="44" t="n"/>
      <c r="N182" s="45" t="n"/>
      <c r="O182" s="46" t="n"/>
      <c r="P182" s="46" t="n"/>
      <c r="Q182" s="47" t="n"/>
      <c r="R182" s="39" t="n">
        <v>0</v>
      </c>
      <c r="S182" s="48" t="n"/>
      <c r="T182" s="48" t="n"/>
      <c r="U182" s="48" t="n"/>
      <c r="V182" s="48" t="inlineStr">
        <is>
          <t>Testcontainers for Redis and Postgres; every inter-service contract exercised.</t>
        </is>
      </c>
      <c r="W182" s="49" t="n"/>
    </row>
    <row r="183" ht="30" customHeight="1" s="59">
      <c r="A183" s="38" t="inlineStr">
        <is>
          <t>E22-S03</t>
        </is>
      </c>
      <c r="B183" s="39" t="inlineStr">
        <is>
          <t>E22</t>
        </is>
      </c>
      <c r="C183" s="40" t="inlineStr">
        <is>
          <t>TESTING &amp; VALIDATION</t>
        </is>
      </c>
      <c r="D183" s="40" t="inlineStr">
        <is>
          <t>Replay harness</t>
        </is>
      </c>
      <c r="E183" s="40" t="inlineStr">
        <is>
          <t>New</t>
        </is>
      </c>
      <c r="F183" s="53" t="inlineStr">
        <is>
          <t>P1</t>
        </is>
      </c>
      <c r="G183" s="39" t="inlineStr">
        <is>
          <t>7</t>
        </is>
      </c>
      <c r="H183" s="50" t="inlineStr">
        <is>
          <t>Correctness-critical</t>
        </is>
      </c>
      <c r="I183" s="39" t="inlineStr">
        <is>
          <t>TEST</t>
        </is>
      </c>
      <c r="J183" s="43" t="n">
        <v>2.5</v>
      </c>
      <c r="K183" s="40" t="inlineStr">
        <is>
          <t>E03-S06</t>
        </is>
      </c>
      <c r="L183" s="40" t="n"/>
      <c r="M183" s="44" t="n"/>
      <c r="N183" s="45" t="n"/>
      <c r="O183" s="46" t="n"/>
      <c r="P183" s="46" t="n"/>
      <c r="Q183" s="47" t="n"/>
      <c r="R183" s="39" t="n">
        <v>0</v>
      </c>
      <c r="S183" s="48" t="n"/>
      <c r="T183" s="48" t="n"/>
      <c r="U183" s="48" t="n"/>
      <c r="V183" s="48" t="inlineStr">
        <is>
          <t>Replay a recorded session through the full pipeline; assert deterministic outputs; regression on every change.</t>
        </is>
      </c>
      <c r="W183" s="49" t="n"/>
    </row>
    <row r="184" ht="30" customHeight="1" s="59">
      <c r="A184" s="38" t="inlineStr">
        <is>
          <t>E22-S04</t>
        </is>
      </c>
      <c r="B184" s="39" t="inlineStr">
        <is>
          <t>E22</t>
        </is>
      </c>
      <c r="C184" s="40" t="inlineStr">
        <is>
          <t>TESTING &amp; VALIDATION</t>
        </is>
      </c>
      <c r="D184" s="40" t="inlineStr">
        <is>
          <t>Chaos test suite</t>
        </is>
      </c>
      <c r="E184" s="40" t="inlineStr">
        <is>
          <t>New</t>
        </is>
      </c>
      <c r="F184" s="41" t="inlineStr">
        <is>
          <t>P0</t>
        </is>
      </c>
      <c r="G184" s="39" t="inlineStr">
        <is>
          <t>7</t>
        </is>
      </c>
      <c r="H184" s="51" t="inlineStr">
        <is>
          <t>Safety-critical</t>
        </is>
      </c>
      <c r="I184" s="39" t="inlineStr">
        <is>
          <t>TEST</t>
        </is>
      </c>
      <c r="J184" s="43" t="n">
        <v>2.5</v>
      </c>
      <c r="K184" s="40" t="n"/>
      <c r="L184" s="40" t="n"/>
      <c r="M184" s="44" t="n"/>
      <c r="N184" s="45" t="n"/>
      <c r="O184" s="46" t="n"/>
      <c r="P184" s="46" t="n"/>
      <c r="Q184" s="47" t="n"/>
      <c r="R184" s="39" t="n">
        <v>0</v>
      </c>
      <c r="S184" s="48" t="n"/>
      <c r="T184" s="48" t="n"/>
      <c r="U184" s="48" t="inlineStr">
        <is>
          <t>• 🔴 Every scenario fails closed; none opens new risk</t>
        </is>
      </c>
      <c r="V184" s="48" t="inlineStr">
        <is>
          <t>All nine scenarios from LOW_LEVEL_ARCHITECTURE §12.3 — kill each service, Redis restart, WebSocket drop, AI outage, broker 500, clock jump, disk full, duplicate tick flood.</t>
        </is>
      </c>
      <c r="W184" s="49" t="n"/>
    </row>
    <row r="185" ht="30" customHeight="1" s="59">
      <c r="A185" s="38" t="inlineStr">
        <is>
          <t>E22-S05</t>
        </is>
      </c>
      <c r="B185" s="39" t="inlineStr">
        <is>
          <t>E22</t>
        </is>
      </c>
      <c r="C185" s="40" t="inlineStr">
        <is>
          <t>TESTING &amp; VALIDATION</t>
        </is>
      </c>
      <c r="D185" s="40" t="inlineStr">
        <is>
          <t>Contract tests</t>
        </is>
      </c>
      <c r="E185" s="40" t="inlineStr">
        <is>
          <t>New</t>
        </is>
      </c>
      <c r="F185" s="53" t="inlineStr">
        <is>
          <t>P1</t>
        </is>
      </c>
      <c r="G185" s="39" t="inlineStr">
        <is>
          <t>7</t>
        </is>
      </c>
      <c r="H185" s="42" t="inlineStr">
        <is>
          <t>Low</t>
        </is>
      </c>
      <c r="I185" s="39" t="inlineStr">
        <is>
          <t>TEST</t>
        </is>
      </c>
      <c r="J185" s="43" t="n">
        <v>1</v>
      </c>
      <c r="K185" s="40" t="n"/>
      <c r="L185" s="40" t="n"/>
      <c r="M185" s="44" t="n"/>
      <c r="N185" s="45" t="n"/>
      <c r="O185" s="46" t="n"/>
      <c r="P185" s="46" t="n"/>
      <c r="Q185" s="47" t="n"/>
      <c r="R185" s="39" t="n">
        <v>0</v>
      </c>
      <c r="S185" s="48" t="n"/>
      <c r="T185" s="48" t="n"/>
      <c r="U185" s="48" t="n"/>
      <c r="V185" s="48" t="inlineStr">
        <is>
          <t>Recorded fixtures for broker and AI APIs; detect upstream shape drift.</t>
        </is>
      </c>
      <c r="W185" s="49" t="n"/>
    </row>
    <row r="186" ht="30" customHeight="1" s="59">
      <c r="A186" s="38" t="inlineStr">
        <is>
          <t>E22-S06</t>
        </is>
      </c>
      <c r="B186" s="39" t="inlineStr">
        <is>
          <t>E22</t>
        </is>
      </c>
      <c r="C186" s="40" t="inlineStr">
        <is>
          <t>TESTING &amp; VALIDATION</t>
        </is>
      </c>
      <c r="D186" s="40" t="inlineStr">
        <is>
          <t>Prompt injection corpus</t>
        </is>
      </c>
      <c r="E186" s="40" t="inlineStr">
        <is>
          <t>New</t>
        </is>
      </c>
      <c r="F186" s="41" t="inlineStr">
        <is>
          <t>P0</t>
        </is>
      </c>
      <c r="G186" s="39" t="inlineStr">
        <is>
          <t>7</t>
        </is>
      </c>
      <c r="H186" s="51" t="inlineStr">
        <is>
          <t>Safety-critical</t>
        </is>
      </c>
      <c r="I186" s="39" t="inlineStr">
        <is>
          <t>TEST</t>
        </is>
      </c>
      <c r="J186" s="43" t="n">
        <v>1.5</v>
      </c>
      <c r="K186" s="40" t="inlineStr">
        <is>
          <t>E08-S03</t>
        </is>
      </c>
      <c r="L186" s="40" t="n"/>
      <c r="M186" s="44" t="n"/>
      <c r="N186" s="45" t="n"/>
      <c r="O186" s="46" t="n"/>
      <c r="P186" s="46" t="n"/>
      <c r="Q186" s="47" t="n"/>
      <c r="R186" s="39" t="n">
        <v>0</v>
      </c>
      <c r="S186" s="48" t="n"/>
      <c r="T186" s="48" t="n"/>
      <c r="U186" s="48" t="n"/>
      <c r="V186" s="48" t="inlineStr">
        <is>
          <t>Adversarial news snippets: instruction override, role confusion, delimiter escape, Unicode obfuscation, nested encoding. Runs in CI because prompt changes can silently reopen a closed hole.</t>
        </is>
      </c>
      <c r="W186" s="49" t="n"/>
    </row>
    <row r="187" ht="30" customHeight="1" s="59">
      <c r="A187" s="38" t="inlineStr">
        <is>
          <t>E22-S07</t>
        </is>
      </c>
      <c r="B187" s="39" t="inlineStr">
        <is>
          <t>E22</t>
        </is>
      </c>
      <c r="C187" s="40" t="inlineStr">
        <is>
          <t>TESTING &amp; VALIDATION</t>
        </is>
      </c>
      <c r="D187" s="40" t="inlineStr">
        <is>
          <t>Coverage enforcement</t>
        </is>
      </c>
      <c r="E187" s="40" t="inlineStr">
        <is>
          <t>New</t>
        </is>
      </c>
      <c r="F187" s="41" t="inlineStr">
        <is>
          <t>P0</t>
        </is>
      </c>
      <c r="G187" s="39" t="inlineStr">
        <is>
          <t>7</t>
        </is>
      </c>
      <c r="H187" s="50" t="inlineStr">
        <is>
          <t>Correctness-critical</t>
        </is>
      </c>
      <c r="I187" s="39" t="inlineStr">
        <is>
          <t>TEST</t>
        </is>
      </c>
      <c r="J187" s="43" t="n">
        <v>0.5</v>
      </c>
      <c r="K187" s="40" t="n"/>
      <c r="L187" s="40" t="n"/>
      <c r="M187" s="44" t="n"/>
      <c r="N187" s="45" t="n"/>
      <c r="O187" s="46" t="n"/>
      <c r="P187" s="46" t="n"/>
      <c r="Q187" s="47" t="n"/>
      <c r="R187" s="39" t="n">
        <v>0</v>
      </c>
      <c r="S187" s="48" t="n"/>
      <c r="T187" s="48" t="n"/>
      <c r="U187" s="48" t="n"/>
      <c r="V187" s="48" t="inlineStr">
        <is>
          <t>100% line coverage gate on `execution/risk_engine.py` and `execution/sizer.py`.</t>
        </is>
      </c>
      <c r="W187" s="49" t="n"/>
    </row>
    <row r="188" ht="30" customHeight="1" s="59">
      <c r="A188" s="38" t="inlineStr">
        <is>
          <t>E22-S08</t>
        </is>
      </c>
      <c r="B188" s="39" t="inlineStr">
        <is>
          <t>E22</t>
        </is>
      </c>
      <c r="C188" s="40" t="inlineStr">
        <is>
          <t>TESTING &amp; VALIDATION</t>
        </is>
      </c>
      <c r="D188" s="40" t="inlineStr">
        <is>
          <t>Load and soak testing</t>
        </is>
      </c>
      <c r="E188" s="40" t="inlineStr">
        <is>
          <t>New</t>
        </is>
      </c>
      <c r="F188" s="52" t="inlineStr">
        <is>
          <t>P2</t>
        </is>
      </c>
      <c r="G188" s="39" t="inlineStr">
        <is>
          <t>7</t>
        </is>
      </c>
      <c r="H188" s="42" t="inlineStr">
        <is>
          <t>Low</t>
        </is>
      </c>
      <c r="I188" s="39" t="inlineStr">
        <is>
          <t>TEST</t>
        </is>
      </c>
      <c r="J188" s="43" t="n">
        <v>1</v>
      </c>
      <c r="K188" s="40" t="n"/>
      <c r="L188" s="40" t="n"/>
      <c r="M188" s="44" t="n"/>
      <c r="N188" s="45" t="n"/>
      <c r="O188" s="46" t="n"/>
      <c r="P188" s="46" t="n"/>
      <c r="Q188" s="47" t="n"/>
      <c r="R188" s="39" t="n">
        <v>0</v>
      </c>
      <c r="S188" s="48" t="n"/>
      <c r="T188" s="48" t="n"/>
      <c r="U188" s="48" t="n"/>
      <c r="V188" s="48" t="inlineStr">
        <is>
          <t>Full universe tick rates; multi-day soak for memory leaks.</t>
        </is>
      </c>
      <c r="W188" s="49" t="n"/>
    </row>
    <row r="189" ht="30" customHeight="1" s="59">
      <c r="A189" s="38" t="inlineStr">
        <is>
          <t>E23-S01</t>
        </is>
      </c>
      <c r="B189" s="39" t="inlineStr">
        <is>
          <t>E23</t>
        </is>
      </c>
      <c r="C189" s="40" t="inlineStr">
        <is>
          <t>DEPLOYMENT &amp; OPS</t>
        </is>
      </c>
      <c r="D189" s="40" t="inlineStr">
        <is>
          <t>VPS provisioning and hardening</t>
        </is>
      </c>
      <c r="E189" s="40" t="inlineStr">
        <is>
          <t>New</t>
        </is>
      </c>
      <c r="F189" s="41" t="inlineStr">
        <is>
          <t>P0</t>
        </is>
      </c>
      <c r="G189" s="39" t="inlineStr">
        <is>
          <t>7</t>
        </is>
      </c>
      <c r="H189" s="51" t="inlineStr">
        <is>
          <t>Safety-critical</t>
        </is>
      </c>
      <c r="I189" s="39" t="inlineStr">
        <is>
          <t>OPS</t>
        </is>
      </c>
      <c r="J189" s="43" t="n">
        <v>1.5</v>
      </c>
      <c r="K189" s="40" t="n"/>
      <c r="L189" s="40" t="n"/>
      <c r="M189" s="44" t="n"/>
      <c r="N189" s="45" t="n"/>
      <c r="O189" s="46" t="n"/>
      <c r="P189" s="46" t="n"/>
      <c r="Q189" s="47" t="n"/>
      <c r="R189" s="39" t="n">
        <v>0</v>
      </c>
      <c r="S189" s="48" t="n"/>
      <c r="T189" s="48" t="n"/>
      <c r="U189" s="48" t="n"/>
      <c r="V189" s="48" t="inlineStr">
        <is>
          <t>India-region host · static IP · firewall default-deny · SSH key-only, root disabled, fail2ban · unattended security upgrades outside market hours.</t>
        </is>
      </c>
      <c r="W189" s="49" t="n"/>
    </row>
    <row r="190" ht="30" customHeight="1" s="59">
      <c r="A190" s="38" t="inlineStr">
        <is>
          <t>E23-S02</t>
        </is>
      </c>
      <c r="B190" s="39" t="inlineStr">
        <is>
          <t>E23</t>
        </is>
      </c>
      <c r="C190" s="40" t="inlineStr">
        <is>
          <t>DEPLOYMENT &amp; OPS</t>
        </is>
      </c>
      <c r="D190" s="40" t="inlineStr">
        <is>
          <t>Static IP whitelisting</t>
        </is>
      </c>
      <c r="E190" s="40" t="inlineStr">
        <is>
          <t>New</t>
        </is>
      </c>
      <c r="F190" s="41" t="inlineStr">
        <is>
          <t>P0</t>
        </is>
      </c>
      <c r="G190" s="39" t="inlineStr">
        <is>
          <t>7</t>
        </is>
      </c>
      <c r="H190" s="51" t="inlineStr">
        <is>
          <t>Safety-critical</t>
        </is>
      </c>
      <c r="I190" s="39" t="inlineStr">
        <is>
          <t>SEC</t>
        </is>
      </c>
      <c r="J190" s="43" t="n">
        <v>0.5</v>
      </c>
      <c r="K190" s="40" t="inlineStr">
        <is>
          <t>E23-S01</t>
        </is>
      </c>
      <c r="L190" s="40" t="n"/>
      <c r="M190" s="44" t="n"/>
      <c r="N190" s="45" t="n"/>
      <c r="O190" s="46" t="n"/>
      <c r="P190" s="46" t="n"/>
      <c r="Q190" s="47" t="n"/>
      <c r="R190" s="39" t="n">
        <v>0</v>
      </c>
      <c r="S190" s="48" t="n"/>
      <c r="T190" s="48" t="n"/>
      <c r="U190" s="48" t="n"/>
      <c r="V190" s="48" t="inlineStr">
        <is>
          <t>Register at `developers.kite.trade`; verify orders succeed from the whitelisted IP and fail from elsewhere.</t>
        </is>
      </c>
      <c r="W190" s="49" t="n"/>
    </row>
    <row r="191" ht="30" customHeight="1" s="59">
      <c r="A191" s="38" t="inlineStr">
        <is>
          <t>E23-S03</t>
        </is>
      </c>
      <c r="B191" s="39" t="inlineStr">
        <is>
          <t>E23</t>
        </is>
      </c>
      <c r="C191" s="40" t="inlineStr">
        <is>
          <t>DEPLOYMENT &amp; OPS</t>
        </is>
      </c>
      <c r="D191" s="40" t="inlineStr">
        <is>
          <t>Docker Compose deployment</t>
        </is>
      </c>
      <c r="E191" s="40" t="inlineStr">
        <is>
          <t>New</t>
        </is>
      </c>
      <c r="F191" s="41" t="inlineStr">
        <is>
          <t>P0</t>
        </is>
      </c>
      <c r="G191" s="39" t="inlineStr">
        <is>
          <t>7</t>
        </is>
      </c>
      <c r="H191" s="51" t="inlineStr">
        <is>
          <t>Safety-critical</t>
        </is>
      </c>
      <c r="I191" s="39" t="inlineStr">
        <is>
          <t>OPS</t>
        </is>
      </c>
      <c r="J191" s="43" t="n">
        <v>1.5</v>
      </c>
      <c r="K191" s="40" t="inlineStr">
        <is>
          <t>E23-S01</t>
        </is>
      </c>
      <c r="L191" s="40" t="n"/>
      <c r="M191" s="44" t="n"/>
      <c r="N191" s="45" t="n"/>
      <c r="O191" s="46" t="n"/>
      <c r="P191" s="46" t="n"/>
      <c r="Q191" s="47" t="n"/>
      <c r="R191" s="39" t="n">
        <v>5</v>
      </c>
      <c r="S191" s="48" t="n"/>
      <c r="T191" s="48" t="inlineStr">
        <is>
          <t>1. First actual run of the topology
2. Verify `core` network has no internet access
3. Verify egress allowlists hold
4. Startup ordering and health gates
5. Resource limits tuned</t>
        </is>
      </c>
      <c r="U191" s="48" t="inlineStr">
        <is>
          <t>• 🔴 A container on `core` cannot reach the internet (verified by attempt)</t>
        </is>
      </c>
      <c r="V191" s="48" t="n"/>
      <c r="W191" s="49" t="n"/>
    </row>
    <row r="192" ht="30" customHeight="1" s="59">
      <c r="A192" s="38" t="inlineStr">
        <is>
          <t>E23-S04</t>
        </is>
      </c>
      <c r="B192" s="39" t="inlineStr">
        <is>
          <t>E23</t>
        </is>
      </c>
      <c r="C192" s="40" t="inlineStr">
        <is>
          <t>DEPLOYMENT &amp; OPS</t>
        </is>
      </c>
      <c r="D192" s="40" t="inlineStr">
        <is>
          <t>Backup and restore</t>
        </is>
      </c>
      <c r="E192" s="40" t="inlineStr">
        <is>
          <t>New</t>
        </is>
      </c>
      <c r="F192" s="41" t="inlineStr">
        <is>
          <t>P0</t>
        </is>
      </c>
      <c r="G192" s="39" t="inlineStr">
        <is>
          <t>7</t>
        </is>
      </c>
      <c r="H192" s="51" t="inlineStr">
        <is>
          <t>Safety-critical</t>
        </is>
      </c>
      <c r="I192" s="39" t="inlineStr">
        <is>
          <t>OPS</t>
        </is>
      </c>
      <c r="J192" s="43" t="n">
        <v>1</v>
      </c>
      <c r="K192" s="40" t="n"/>
      <c r="L192" s="40" t="n"/>
      <c r="M192" s="44" t="n"/>
      <c r="N192" s="45" t="n"/>
      <c r="O192" s="46" t="n"/>
      <c r="P192" s="46" t="n"/>
      <c r="Q192" s="47" t="n"/>
      <c r="R192" s="39" t="n">
        <v>0</v>
      </c>
      <c r="S192" s="48" t="n"/>
      <c r="T192" s="48" t="n"/>
      <c r="U192" s="48" t="n"/>
      <c r="V192" s="48" t="inlineStr">
        <is>
          <t>Nightly DB dump + config + audit export to off-host storage with separate credentials. Restore drill required.</t>
        </is>
      </c>
      <c r="W192" s="49" t="n"/>
    </row>
    <row r="193" ht="30" customHeight="1" s="59">
      <c r="A193" s="38" t="inlineStr">
        <is>
          <t>E23-S05</t>
        </is>
      </c>
      <c r="B193" s="39" t="inlineStr">
        <is>
          <t>E23</t>
        </is>
      </c>
      <c r="C193" s="40" t="inlineStr">
        <is>
          <t>DEPLOYMENT &amp; OPS</t>
        </is>
      </c>
      <c r="D193" s="40" t="inlineStr">
        <is>
          <t>CI pipeline</t>
        </is>
      </c>
      <c r="E193" s="40" t="inlineStr">
        <is>
          <t>New</t>
        </is>
      </c>
      <c r="F193" s="53" t="inlineStr">
        <is>
          <t>P1</t>
        </is>
      </c>
      <c r="G193" s="39" t="inlineStr">
        <is>
          <t>7</t>
        </is>
      </c>
      <c r="H193" s="42" t="inlineStr">
        <is>
          <t>Low</t>
        </is>
      </c>
      <c r="I193" s="39" t="inlineStr">
        <is>
          <t>OPS</t>
        </is>
      </c>
      <c r="J193" s="43" t="n">
        <v>1</v>
      </c>
      <c r="K193" s="40" t="n"/>
      <c r="L193" s="40" t="n"/>
      <c r="M193" s="44" t="n"/>
      <c r="N193" s="45" t="n"/>
      <c r="O193" s="46" t="n"/>
      <c r="P193" s="46" t="n"/>
      <c r="Q193" s="47" t="n"/>
      <c r="R193" s="39" t="n">
        <v>0</v>
      </c>
      <c r="S193" s="48" t="n"/>
      <c r="T193" s="48" t="n"/>
      <c r="U193" s="48" t="n"/>
      <c r="V193" s="48" t="inlineStr">
        <is>
          <t>`make check` on every PR; gitleaks; pip-audit; safety-invariant tests as a required check on `QA` and `PROD`.</t>
        </is>
      </c>
      <c r="W193" s="49" t="n"/>
    </row>
    <row r="194" ht="52.8" customHeight="1" s="59">
      <c r="A194" s="38" t="inlineStr">
        <is>
          <t>E23-S06</t>
        </is>
      </c>
      <c r="B194" s="39" t="inlineStr">
        <is>
          <t>E23</t>
        </is>
      </c>
      <c r="C194" s="40" t="inlineStr">
        <is>
          <t>DEPLOYMENT &amp; OPS</t>
        </is>
      </c>
      <c r="D194" s="40" t="inlineStr">
        <is>
          <t>Runbooks</t>
        </is>
      </c>
      <c r="E194" s="40" t="inlineStr">
        <is>
          <t>New</t>
        </is>
      </c>
      <c r="F194" s="53" t="inlineStr">
        <is>
          <t>P1</t>
        </is>
      </c>
      <c r="G194" s="39" t="inlineStr">
        <is>
          <t>7</t>
        </is>
      </c>
      <c r="H194" s="50" t="inlineStr">
        <is>
          <t>Correctness-critical</t>
        </is>
      </c>
      <c r="I194" s="39" t="inlineStr">
        <is>
          <t>DOC</t>
        </is>
      </c>
      <c r="J194" s="43" t="n">
        <v>1.5</v>
      </c>
      <c r="K194" s="40" t="n"/>
      <c r="L194" s="40" t="n"/>
      <c r="M194" s="44" t="n"/>
      <c r="N194" s="45" t="n"/>
      <c r="O194" s="46" t="n"/>
      <c r="P194" s="46" t="n"/>
      <c r="Q194" s="47" t="n"/>
      <c r="R194" s="39" t="n">
        <v>0</v>
      </c>
      <c r="S194" s="48" t="n"/>
      <c r="T194" s="48" t="n"/>
      <c r="U194" s="48" t="n"/>
      <c r="V194" s="48" t="inlineStr">
        <is>
          <t>Auth failure · feed loss · broker outage · unknown position · kill switch triggered · restore from backup · daily operational checklist.</t>
        </is>
      </c>
      <c r="W194" s="49" t="n"/>
    </row>
    <row r="195" ht="409.6" customHeight="1" s="59">
      <c r="A195" s="38" t="inlineStr">
        <is>
          <t>E23-S07</t>
        </is>
      </c>
      <c r="B195" s="39" t="inlineStr">
        <is>
          <t>E23</t>
        </is>
      </c>
      <c r="C195" s="40" t="inlineStr">
        <is>
          <t>DEPLOYMENT &amp; OPS</t>
        </is>
      </c>
      <c r="D195" s="40" t="inlineStr">
        <is>
          <t>Secrets backend migration</t>
        </is>
      </c>
      <c r="E195" s="40" t="inlineStr">
        <is>
          <t>New</t>
        </is>
      </c>
      <c r="F195" s="52" t="inlineStr">
        <is>
          <t>P2</t>
        </is>
      </c>
      <c r="G195" s="39" t="inlineStr">
        <is>
          <t>8</t>
        </is>
      </c>
      <c r="H195" s="51" t="inlineStr">
        <is>
          <t>Safety-critical</t>
        </is>
      </c>
      <c r="I195" s="39" t="inlineStr">
        <is>
          <t>SEC</t>
        </is>
      </c>
      <c r="J195" s="43" t="n">
        <v>1</v>
      </c>
      <c r="K195" s="40" t="n"/>
      <c r="L195" s="40" t="n"/>
      <c r="M195" s="44" t="n"/>
      <c r="N195" s="45" t="n"/>
      <c r="O195" s="46" t="n"/>
      <c r="P195" s="46" t="n"/>
      <c r="Q195" s="47" t="n"/>
      <c r="R195" s="39" t="n">
        <v>0</v>
      </c>
      <c r="S195" s="48" t="n"/>
      <c r="T195" s="48" t="n"/>
      <c r="U195" s="48" t="n"/>
      <c r="V195" s="48" t="inlineStr">
        <is>
          <t>SOPS+age → Vault when a second host appears. # CROSS-CUTTING BLOCKERS These gate multiple epics and are not code. Resolve first. | ID | Blocker | Blocks | Action | |---|---|---|---| | B1 | Algo-ID attachment mechanic unconfirmed | E02-S04, E21-S01 | Ask Zerodha: `tag` field or broker-injected? | | B2 | `pykiteconnect` lacks `market_protection` | E02-S04, E15-S01 | Install from git main, or wait for release | | B3 | NSE holiday list incomplete | E04-S07, all scheduling | Transcribe the circular | | B4 | Historical data pricing unconfirmed | E03-S03 budget | Ask Zerodha | | B5 | Daily login mechanism untested | E02-S01 | Prototype the phone→callback flow | | B6 | Static IP not procured | E23-S02, all live trading | Select provider, procure | # SUGGESTED SPRINT SEQUENCE Two-week sprints, solo. Each ends with something demonstrable. | Sprint | Focus | Key deliverable | |---|---|---| | 1 | E01 + B1–B6 resolution | Schema live, blockers answered | | 2 | E03 + E04 | Historical data flowing, hazard lists daily | | 3 | E02-S01..S03, E05-S01..S05 | Live ticks arriving and cleaned | | 4 | E05-S06..S08, E06-S01..S03 | Bars building, indicators warm | | 5 | E06-S04..S07, E07 | Ranked watchlist every morning | | 6 | E09, E19-S01..S02 | Macro context + Telegram working | | 7 | E08, E10-S01..S04 | News scored, AI layer live | | 8 | E11 | ★ Pre-market plan by 09:15 — the inflection point | | 9 | E10-S05, E13, E17-S01..S03 | Live signals with rationale, dashboard | | 10 | E14 | Risk engine complete, property-tested | | 11 | E15-S01..S07 | Order execution on paper | | 12 | E15-S08..S11, E16 | Position management, autonomy, approval | | 13 | E12-S01..S08 | Strategy registry + validation gauntlet | | 14 | E12-S09..S10, E20 | Shadow mode, observability | | 15 | E17-S04..S09, E18 | UI complete | | 16 | E21, E22-S01..S04 | Compliance, tax, chaos tests | | 17 | E22-S05..S08, E23 | Hardening, deployment | | 18 | Paper trading | Multi-week validation across regimes | | 19+ | PRE_LIVE_CHECKLIST | Approval mode, small live size | # WORKING NOTES Start every 🔴 story by writing the test that proves the invariant. Two real bugs shipped past a clean code read in Phase 0; both took under a minute to find by *executing* the claim. Code review catches intent; only execution catches behaviour. Never merge a 🔴 story at the end of a session. Sleep on it, re-read the diff in the morning. Phase 3 (Sprint 8) is the inflection point. From that week the system pays for itself as a research assistant whether or not execution is ever automated. If the schedule slips, protect this milestone over everything after it. The riskiest sequencing mistake would be building E12-S11/S12 (AI strategy generation) before E12-S05..S08 (the gauntlet). That is building the dangerous half of the feature first. *Living document. Update story status as work completes; add stories as discovery reveals them. Estimates are guesses until the first sprint calibrates them.*</t>
        </is>
      </c>
      <c r="W195" s="49" t="n"/>
    </row>
  </sheetData>
  <autoFilter ref="A4:W195"/>
  <conditionalFormatting sqref="A5:D195">
    <cfRule type="expression" priority="16" dxfId="42">
      <formula>OR($E5="Removed",$E5="Closed")</formula>
    </cfRule>
  </conditionalFormatting>
  <conditionalFormatting sqref="E5:E195">
    <cfRule type="expression" priority="2" dxfId="13">
      <formula>EXACT($E5,"New")</formula>
    </cfRule>
    <cfRule type="expression" priority="3" dxfId="12">
      <formula>EXACT($E5,"Business Review")</formula>
    </cfRule>
    <cfRule type="expression" priority="4" dxfId="11">
      <formula>EXACT($E5,"Business Approved")</formula>
    </cfRule>
    <cfRule type="expression" priority="5" dxfId="10">
      <formula>EXACT($E5,"Active")</formula>
    </cfRule>
    <cfRule type="expression" priority="6" dxfId="9">
      <formula>EXACT($E5,"Development In-Progress")</formula>
    </cfRule>
    <cfRule type="expression" priority="7" dxfId="8">
      <formula>EXACT($E5,"Development Completed")</formula>
    </cfRule>
    <cfRule type="expression" priority="8" dxfId="7">
      <formula>EXACT($E5,"QA In-Progress")</formula>
    </cfRule>
    <cfRule type="expression" priority="9" dxfId="6">
      <formula>EXACT($E5,"QA-Success")</formula>
    </cfRule>
    <cfRule type="expression" priority="10" dxfId="5">
      <formula>EXACT($E5,"QA-Fail")</formula>
    </cfRule>
    <cfRule type="expression" priority="11" dxfId="4">
      <formula>EXACT($E5,"Closed")</formula>
    </cfRule>
    <cfRule type="expression" priority="12" dxfId="3">
      <formula>EXACT($E5,"Removed")</formula>
    </cfRule>
    <cfRule type="expression" priority="13" dxfId="2">
      <formula>EXACT($E5,"Moved to Backlog")</formula>
    </cfRule>
    <cfRule type="expression" priority="14" dxfId="1">
      <formula>EXACT($E5,"Blocked")</formula>
    </cfRule>
    <cfRule type="expression" priority="15" dxfId="0">
      <formula>EXACT($E5,"On Hold")</formula>
    </cfRule>
  </conditionalFormatting>
  <dataValidations count="2">
    <dataValidation sqref="E5:E195" showDropDown="0" showInputMessage="0" showErrorMessage="0" allowBlank="0" errorTitle="Invalid status" error="Pick a status from the list." promptTitle="Status" prompt="Select the current status" type="list">
      <formula1>"New,Business Review,Business Approved,Active,Development In-Progress,Development Completed,QA In-Progress,QA-Success,QA-Fail,Closed,Removed,Moved to Backlog,Blocked,On Hold"</formula1>
      <formula2>0</formula2>
    </dataValidation>
    <dataValidation sqref="Q5:Q195" showDropDown="0" showInputMessage="0" showErrorMessage="0" allowBlank="1" errorTitle="Invalid percentage" error="Enter a value between 0% and 100%." type="decimal">
      <formula1>0</formula1>
      <formula2>1</formula2>
    </dataValidation>
  </dataValidations>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outlinePr summaryBelow="1" summaryRight="1"/>
    <pageSetUpPr/>
  </sheetPr>
  <dimension ref="A1:H11"/>
  <sheetViews>
    <sheetView tabSelected="1" topLeftCell="C1" zoomScaleNormal="100" workbookViewId="0">
      <pane ySplit="4" topLeftCell="A5" activePane="bottomLeft" state="frozen"/>
      <selection pane="bottomLeft" activeCell="F10" sqref="F10"/>
    </sheetView>
  </sheetViews>
  <sheetFormatPr baseColWidth="8" defaultColWidth="8.6640625" defaultRowHeight="14.4"/>
  <cols>
    <col width="8" customWidth="1" style="59" min="1" max="1"/>
    <col width="42" customWidth="1" style="59" min="2" max="2"/>
    <col width="26" customWidth="1" style="59" min="3" max="3"/>
    <col width="44" customWidth="1" style="59" min="4" max="4"/>
    <col width="23" customWidth="1" style="59" min="5" max="5"/>
    <col width="14" customWidth="1" style="59" min="6" max="6"/>
    <col width="13" customWidth="1" style="59" min="7" max="7"/>
    <col width="74.33203125" customWidth="1" style="59" min="8" max="8"/>
  </cols>
  <sheetData>
    <row r="1" ht="17.4" customHeight="1" s="59">
      <c r="A1" s="36" t="inlineStr">
        <is>
          <t>CROSS-CUTTING BLOCKERS</t>
        </is>
      </c>
    </row>
    <row r="2">
      <c r="A2" s="2" t="inlineStr">
        <is>
          <t>These gate multiple epics and are not code. Resolve first.</t>
        </is>
      </c>
    </row>
    <row r="4" ht="30" customHeight="1" s="59">
      <c r="A4" s="37" t="inlineStr">
        <is>
          <t>ID</t>
        </is>
      </c>
      <c r="B4" s="37" t="inlineStr">
        <is>
          <t>Blocker</t>
        </is>
      </c>
      <c r="C4" s="37" t="inlineStr">
        <is>
          <t>Blocks</t>
        </is>
      </c>
      <c r="D4" s="37" t="inlineStr">
        <is>
          <t>Action Required</t>
        </is>
      </c>
      <c r="E4" s="37" t="inlineStr">
        <is>
          <t>Status</t>
        </is>
      </c>
      <c r="F4" s="37" t="inlineStr">
        <is>
          <t>Owner</t>
        </is>
      </c>
      <c r="G4" s="37" t="inlineStr">
        <is>
          <t>Target Date</t>
        </is>
      </c>
      <c r="H4" s="37" t="inlineStr">
        <is>
          <t>Resolution Notes</t>
        </is>
      </c>
    </row>
    <row r="5" ht="30" customHeight="1" s="59">
      <c r="A5" s="38" t="inlineStr">
        <is>
          <t>B1</t>
        </is>
      </c>
      <c r="B5" s="48" t="inlineStr">
        <is>
          <t>Algo-ID attachment mechanic unconfirmed</t>
        </is>
      </c>
      <c r="C5" s="48" t="inlineStr">
        <is>
          <t>E02-S04, E21-S01</t>
        </is>
      </c>
      <c r="D5" s="48" t="inlineStr">
        <is>
          <t>Ask Zerodha: tag field or broker-injected?</t>
        </is>
      </c>
      <c r="E5" s="40" t="inlineStr">
        <is>
          <t>Active</t>
        </is>
      </c>
      <c r="F5" s="44" t="inlineStr">
        <is>
          <t>Self</t>
        </is>
      </c>
      <c r="G5" s="46" t="n"/>
      <c r="H5" s="49" t="inlineStr">
        <is>
          <t>PARTIALLY RESOLVED 7 Aug 2026 — the MECHANIC is confirmed, the VALUE is not.
ANSWERED: the Algo-ID is CLIENT-SUPPLIED PER ORDER, not injected server-side by the broker. kiteconnect 5.2.1's place_order() takes an `algo_id` parameter, documented as "an optional algo ID to associate with the order". Verified against the installed SDK signature, not from docs. doctor now asserts this at runtime.
This settles the architectural question: the system must carry an Algo-ID in config and attach it to every order — which is what BrokerConfig.algo_id and the live-mode validator in common/config.py already assume. No design change needed.
STILL OPEN: WHICH value to send. For self-developed personal algos under 10 orders/sec, a GENERIC exchange-issued Algo-ID applies rather than a per-strategy registered one — that needs confirming with Zerodha, and is the remaining content of the Day-1 email.
Downgraded from a design blocker to a paperwork question. It no longer blocks E02-S04 from being BUILT, only from going live.
[YOUR ORIGINAL NOTE: "Research on this topic, and arrive at a relevant answer"]</t>
        </is>
      </c>
    </row>
    <row r="6" ht="30" customHeight="1" s="59">
      <c r="A6" s="38" t="inlineStr">
        <is>
          <t>B2</t>
        </is>
      </c>
      <c r="B6" s="48" t="inlineStr">
        <is>
          <t>pykiteconnect lacks market_protection</t>
        </is>
      </c>
      <c r="C6" s="48" t="inlineStr">
        <is>
          <t>E02-S04, E15-S01</t>
        </is>
      </c>
      <c r="D6" s="48" t="inlineStr">
        <is>
          <t>Install from git main, or wait for release</t>
        </is>
      </c>
      <c r="E6" s="40" t="inlineStr">
        <is>
          <t>Closed</t>
        </is>
      </c>
      <c r="F6" s="44" t="inlineStr">
        <is>
          <t>Self</t>
        </is>
      </c>
      <c r="G6" s="46" t="n"/>
      <c r="H6" s="49" t="inlineStr">
        <is>
          <t>RESOLVED 7 Aug 2026 — the wait is over; no action needed.
VERIFIED ON THE INSTALLED SDK: kiteconnect 5.2.1 (current on PyPI) DOES expose market_protection on KiteConnect.place_order(). The gap was in 5.1.0, which is what the design documents were written against. Confirmed by inspecting the live signature, and by its own docstring: "market_protection accepts -1 for automatic market protection applied by the system as per market protection guidelines, or a value greater than 0 up to 100 representing a percentage."
That matches EXACTLY what OrderRequest's validator already enforces (common/models/trading.py): -1 or a positive percentage, 0 rejected. The model and the broker agree without any change being needed.
scripts/doctor.py verifies this at runtime and now reports the version correctly (it previously printed a module object, because `kiteconnect.__version__` is a submodule not a string — fixed).
ACTION: pin `kiteconnect&gt;=5.2.1` in pyproject so a downgrade cannot silently reintroduce the gap.
[YOUR ORIGINAL NOTE: "I would prefer 'wait for release'."] — the release had already landed.</t>
        </is>
      </c>
    </row>
    <row r="7" ht="30" customHeight="1" s="59">
      <c r="A7" s="38" t="inlineStr">
        <is>
          <t>B3</t>
        </is>
      </c>
      <c r="B7" s="48" t="inlineStr">
        <is>
          <t>NSE holiday list incomplete</t>
        </is>
      </c>
      <c r="C7" s="48" t="inlineStr">
        <is>
          <t>E04-S07, all scheduling</t>
        </is>
      </c>
      <c r="D7" s="48" t="inlineStr">
        <is>
          <t>Transcribe the circular</t>
        </is>
      </c>
      <c r="E7" s="40" t="inlineStr">
        <is>
          <t>Active</t>
        </is>
      </c>
      <c r="F7" s="44" t="inlineStr">
        <is>
          <t>Self</t>
        </is>
      </c>
      <c r="G7" s="46" t="n"/>
      <c r="H7" s="49" t="inlineStr">
        <is>
          <t>SPRINT 1 — DAY 2. Independent desk work, no external dependency, so it pairs well with the schema day.
config/nse_holidays.yaml currently carries fixed-date holidays only (Republic Day, Maharashtra Day, Gandhi Jayanti, Christmas, Good Friday 2026-04-03) and is flagged verified_against_nse_circular: false. Transcribe the full NSE circular for the trading year, including the lunar-calendar holidays that cannot be computed, then set the flag true.
scripts/doctor.py already warns via check_market_calendar() when the list is incomplete, so the gap is not silent — but every scheduling decision in the system reads this file, which is why it blocks broadly.
[YOUR ORIGINAL NOTE: "Research on this topic, and arrive at a relevant answer"]</t>
        </is>
      </c>
    </row>
    <row r="8" ht="30" customHeight="1" s="59">
      <c r="A8" s="38" t="inlineStr">
        <is>
          <t>B4</t>
        </is>
      </c>
      <c r="B8" s="48" t="inlineStr">
        <is>
          <t>Historical data pricing unconfirmed</t>
        </is>
      </c>
      <c r="C8" s="48" t="inlineStr">
        <is>
          <t>E03-S03 budget</t>
        </is>
      </c>
      <c r="D8" s="48" t="inlineStr">
        <is>
          <t>Ask Zerodha</t>
        </is>
      </c>
      <c r="E8" s="40" t="inlineStr">
        <is>
          <t>Active</t>
        </is>
      </c>
      <c r="F8" s="44" t="inlineStr">
        <is>
          <t>Self</t>
        </is>
      </c>
      <c r="G8" s="46" t="n"/>
      <c r="H8" s="49" t="inlineStr">
        <is>
          <t>SPRINT 1 — DAY 1. Ask in the SAME email as B1; one round trip instead of two.
Working figure is ~Rs.500/month for the historical data add-on on top of the Kite Connect subscription. Affects the E03-S03 budget only — it does not block any code being written, so it should never hold up the sprint. User has confirmed they will handle pricing themselves; this is a confirm-the-number task, not a decision.</t>
        </is>
      </c>
    </row>
    <row r="9" ht="30" customHeight="1" s="59">
      <c r="A9" s="38" t="inlineStr">
        <is>
          <t>B5</t>
        </is>
      </c>
      <c r="B9" s="48" t="inlineStr">
        <is>
          <t>Daily login mechanism untested</t>
        </is>
      </c>
      <c r="C9" s="48" t="inlineStr">
        <is>
          <t>E02-S01</t>
        </is>
      </c>
      <c r="D9" s="48" t="inlineStr">
        <is>
          <t>Prototype the phone→callback flow</t>
        </is>
      </c>
      <c r="E9" s="40" t="inlineStr">
        <is>
          <t>New</t>
        </is>
      </c>
      <c r="F9" s="44" t="inlineStr">
        <is>
          <t>Self</t>
        </is>
      </c>
      <c r="G9" s="46" t="n"/>
      <c r="H9" s="49" t="inlineStr">
        <is>
          <t>NOT SPRINT 1 — needs E02 to exist before there is anything to prototype against. Scheduled to surface in Sprint 3 (E02-S01..S03).
Constraint is already accepted: Zerodha requires a browser redirect with daily token expiry, so one manual human login per trading morning before the pre-open is a permanent floor, not a temporary gap. The prototype work is the phone -&gt; callback capture flow, not an attempt to remove the touchpoint.</t>
        </is>
      </c>
    </row>
    <row r="10" ht="30" customHeight="1" s="59">
      <c r="A10" s="38" t="inlineStr">
        <is>
          <t>B6</t>
        </is>
      </c>
      <c r="B10" s="48" t="inlineStr">
        <is>
          <t>Static IP not procured</t>
        </is>
      </c>
      <c r="C10" s="48" t="inlineStr">
        <is>
          <t>E23-S02, all live trading</t>
        </is>
      </c>
      <c r="D10" s="48" t="inlineStr">
        <is>
          <t>Select provider, procure</t>
        </is>
      </c>
      <c r="E10" s="40" t="inlineStr">
        <is>
          <t>Active</t>
        </is>
      </c>
      <c r="F10" s="44" t="inlineStr">
        <is>
          <t>Self</t>
        </is>
      </c>
      <c r="G10" s="46" t="n"/>
      <c r="H10" s="49" t="inlineStr">
        <is>
          <t>SPRINT 1 — PROCEDURE NOW DOCUMENTED in EPIC01_TECHNICAL_SPEC.md §17.1. Not a coding task, but it gates ALL live trading, so start it early — procurement has lead time.
1. Choose the host: an Indian VPS with a dedicated IPv4 included (simplest/cheapest), or AWS ap-south-1 EC2 with an Elastic IP, or any provider offering a static/reserved IP in an India region. SEBI requires only that it is static AND India-hosted.
2. Provision, then confirm the actual EGRESS IP from the box itself with curl -s https://api.ipify.org — the assigned IP and the egress IP can differ behind NAT, and the egress value is what the broker sees.
3. Whitelist it: developers.kite.trade -&gt; your app's profile page -&gt; IP Whitelist. IPv4 and IPv6 both accepted.
4. Record it: system.static_ip in system.yaml and EXPECTED_EGRESS_IP in .env.
5. Verify BOTH directions: make doctor compares live egress against config and fails on mismatch; then test the negative case — an order attempt from a non-whitelisted address must be REJECTED. Only the negative test proves the whitelist is actually enforcing.
Two things to know before picking a provider: the static IP applies to ORDER ENDPOINTS ONLY (quotes, WebSocket and positions work from any IP, so a data-only fallback needs no whitelisted address); and each IP binds to ONE Zerodha account.
[YOUR ORIGINAL NOTE: "Explain on the procedure for this"]</t>
        </is>
      </c>
    </row>
    <row r="11" ht="409.6" customHeight="1" s="59">
      <c r="A11" s="38" t="inlineStr">
        <is>
          <t>B7</t>
        </is>
      </c>
      <c r="B11" s="48" t="inlineStr">
        <is>
          <t>kiteconnect pins a vulnerable autobahn (CVE-2020-35678)</t>
        </is>
      </c>
      <c r="C11" s="48" t="inlineStr">
        <is>
          <t>E02-S03 WebSocket ticker, all live market data</t>
        </is>
      </c>
      <c r="D11" s="48" t="inlineStr">
        <is>
          <t>Confirm exposure at E02; ask Zerodha to bump the pin</t>
        </is>
      </c>
      <c r="E11" s="40" t="inlineStr">
        <is>
          <t>On Hold</t>
        </is>
      </c>
      <c r="F11" s="44" t="inlineStr">
        <is>
          <t>Self</t>
        </is>
      </c>
      <c r="G11" s="46" t="inlineStr">
        <is>
          <t>None</t>
        </is>
      </c>
      <c r="H11" s="49" t="inlineStr">
        <is>
          <t>FOUND 7 Aug 2026 by pip-audit during the Sprint 1 security pass.
kiteconnect 5.2.1 declares `autobahn[twisted]==19.11.2` — an EXACT pin to a 2019 release carrying CVE-2020-35678 (redirect header injection, fixed in 20.12.3). autobahn is the WebSocket transport behind KiteTicker, i.e. the live market-data path.
CANNOT BE FIXED LOCALLY. pip will install autobahn 26.7.1 if asked, but that violates kiteconnect's declared pin and is a 7-year API jump in the exact layer KiteTicker is built on. Doing that blind to the market-data path is a worse risk than the CVE. NOT ATTEMPTED — deliberately.
EXPOSURE ASSESSMENT (why this is On Hold rather than Active): the flaw needs an attacker able to influence a redirect response. This client connects to one known endpoint (wss://ws.kite.trade) over TLS, and the compose design already puts the core network on `internal: true` with egress filtered to broker hosts. That is not a fix, but it means the practical exposure is small and does not block development.
ACTIONS: (1) add to the Zerodha email alongside B1/B4 — ask when the autobahn pin will be updated; (2) at E02-S03, verify TLS cert validation is ON and the endpoint is not permitted to redirect; (3) re-run pip-audit each sprint; (4) re-evaluate before live trading — this belongs on PRE_LIVE_CHECKLIST.
Same family as B2: both are the broker SDK holding the system back.</t>
        </is>
      </c>
    </row>
  </sheetData>
  <autoFilter ref="A4:H11"/>
  <conditionalFormatting sqref="E5:E11">
    <cfRule type="expression" priority="2" dxfId="13">
      <formula>EXACT($E5,"New")</formula>
    </cfRule>
    <cfRule type="expression" priority="3" dxfId="12">
      <formula>EXACT($E5,"Business Review")</formula>
    </cfRule>
    <cfRule type="expression" priority="4" dxfId="11">
      <formula>EXACT($E5,"Business Approved")</formula>
    </cfRule>
    <cfRule type="expression" priority="5" dxfId="10">
      <formula>EXACT($E5,"Active")</formula>
    </cfRule>
    <cfRule type="expression" priority="6" dxfId="9">
      <formula>EXACT($E5,"Development In-Progress")</formula>
    </cfRule>
    <cfRule type="expression" priority="7" dxfId="8">
      <formula>EXACT($E5,"Development Completed")</formula>
    </cfRule>
    <cfRule type="expression" priority="8" dxfId="7">
      <formula>EXACT($E5,"QA In-Progress")</formula>
    </cfRule>
    <cfRule type="expression" priority="9" dxfId="6">
      <formula>EXACT($E5,"QA-Success")</formula>
    </cfRule>
    <cfRule type="expression" priority="10" dxfId="5">
      <formula>EXACT($E5,"QA-Fail")</formula>
    </cfRule>
    <cfRule type="expression" priority="11" dxfId="4">
      <formula>EXACT($E5,"Closed")</formula>
    </cfRule>
    <cfRule type="expression" priority="12" dxfId="3">
      <formula>EXACT($E5,"Removed")</formula>
    </cfRule>
    <cfRule type="expression" priority="13" dxfId="2">
      <formula>EXACT($E5,"Moved to Backlog")</formula>
    </cfRule>
    <cfRule type="expression" priority="14" dxfId="1">
      <formula>EXACT($E5,"Blocked")</formula>
    </cfRule>
    <cfRule type="expression" priority="15" dxfId="0">
      <formula>EXACT($E5,"On Hold")</formula>
    </cfRule>
  </conditionalFormatting>
  <dataValidations count="1">
    <dataValidation sqref="E5:E11" showDropDown="0" showInputMessage="0" showErrorMessage="0" allowBlank="0" type="list">
      <formula1>"New,Business Review,Business Approved,Active,Development In-Progress,Development Completed,QA In-Progress,QA-Success,QA-Fail,Closed,Removed,Moved to Backlog,Blocked,On Hold"</formula1>
      <formula2>0</formula2>
    </dataValidation>
  </dataValidations>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outlinePr summaryBelow="1" summaryRight="1"/>
    <pageSetUpPr/>
  </sheetPr>
  <dimension ref="A1:G23"/>
  <sheetViews>
    <sheetView zoomScaleNormal="100" workbookViewId="0">
      <pane ySplit="4" topLeftCell="A5" activePane="bottomLeft" state="frozen"/>
      <selection pane="bottomLeft" activeCell="C6" sqref="C6"/>
    </sheetView>
  </sheetViews>
  <sheetFormatPr baseColWidth="8" defaultColWidth="8.6640625" defaultRowHeight="14.4"/>
  <cols>
    <col width="9" customWidth="1" style="59" min="1" max="1"/>
    <col width="34" customWidth="1" style="59" min="2" max="2"/>
    <col width="50" customWidth="1" style="59" min="3" max="3"/>
    <col width="23" customWidth="1" style="59" min="4" max="4"/>
    <col width="12" customWidth="1" style="59" min="5" max="6"/>
    <col width="34" customWidth="1" style="59" min="7" max="7"/>
  </cols>
  <sheetData>
    <row r="1" ht="17.4" customHeight="1" s="59">
      <c r="A1" s="36" t="inlineStr">
        <is>
          <t>SUGGESTED SPRINT SEQUENCE</t>
        </is>
      </c>
    </row>
    <row r="2">
      <c r="A2" s="2" t="inlineStr">
        <is>
          <t>Two-week sprints, solo. Each ends with something demonstrable.</t>
        </is>
      </c>
    </row>
    <row r="4" ht="30" customHeight="1" s="59">
      <c r="A4" s="37" t="inlineStr">
        <is>
          <t>Sprint</t>
        </is>
      </c>
      <c r="B4" s="37" t="inlineStr">
        <is>
          <t>Focus</t>
        </is>
      </c>
      <c r="C4" s="37" t="inlineStr">
        <is>
          <t>Key Deliverable</t>
        </is>
      </c>
      <c r="D4" s="37" t="inlineStr">
        <is>
          <t>Status</t>
        </is>
      </c>
      <c r="E4" s="37" t="inlineStr">
        <is>
          <t>Start Date</t>
        </is>
      </c>
      <c r="F4" s="37" t="inlineStr">
        <is>
          <t>End Date</t>
        </is>
      </c>
      <c r="G4" s="37" t="inlineStr">
        <is>
          <t>Notes</t>
        </is>
      </c>
    </row>
    <row r="5" ht="409.6" customHeight="1" s="59">
      <c r="A5" s="54" t="inlineStr">
        <is>
          <t>1</t>
        </is>
      </c>
      <c r="B5" s="48" t="inlineStr">
        <is>
          <t>E01-S01..S04 + S07/S08 (re-scoped) + B1/B3/B4/B6</t>
        </is>
      </c>
      <c r="C5" s="48" t="inlineStr">
        <is>
          <t>Schema, repositories, Redis, streams live; merge gate green; blockers actioned</t>
        </is>
      </c>
      <c r="D5" s="40" t="inlineStr">
        <is>
          <t>Active</t>
        </is>
      </c>
      <c r="E5" s="46" t="n">
        <v>46240</v>
      </c>
      <c r="F5" s="46" t="n">
        <v>46244</v>
      </c>
      <c r="G5" s="49" t="inlineStr">
        <is>
          <t>RE-SCOPED after the E01 deep dive (EPIC01_TECHNICAL_SPEC.md §16), then updated 7 Aug when two missing stories were added.
CAPACITY FINDING — READ FIRST. E01 as originally scoped was 8.5 days against a nominal 5-day sprint that ALSO carries blocker resolution. Deferring E01-S05 and E01-S06 brought it to 7 days; adding E01-S08 (lint debt, 0.5 d) makes it 7.5 d of REMAINING work. E01-S07 (1 d) is already CLOSED. There is no second developer to parallelise across. Do not close the gap by compressing estimates — that produces the same overrun with less visibility.
OPTION A (RECOMMENDED, reflected here): let Sprint 1 run to ~7.5 working days. Dates are indicative, so Sprint 1 is 'done when E01-S01..S04 and S08 are done', not a fixed calendar box.
OPTION B: hard 5-day box — Sprint 1 keeps E01-S01 + E01-S03 + E01-S08 + blockers (4 d), and E01-S02 + E01-S04 join E01-S05 in Sprint 2.
ORDER (Option A):
  Days 1-2 — E01-S01 (2 d). Send the Zerodha questions (B1 + B4) on day 1, FIRST thing; the answers take days.
  Day 2    — B3 holiday circular alongside S01; independent desk work.
  Days 3-4 — E01-S03 Redis (1.5 d). Independent of S01.
  Days 5-6 — E01-S02 repositories (2 d). Needs S01.
  Days 6-7 — E01-S04 streams (1.5 d). Needs S03.
  Day 7    — E01-S08 lint debt (0.5 d), BEFORE E01-S01 merges; sprint review.
  B6 static IP runs in the background all sprint — procurement lead time.
ALREADY DONE: E01-S07 (datastore scaffolding + Alembic bootstrap) closed 7 Aug. It was not in the original backlog even though E01-S01 task 1 assumed all of it existed. Four blockers were found by executing it — see that story's Notes and Code/SETUP.md.
DEFERRED OUT: E01-S05 audit hash chain (1 d, only safety-critical story in the epic, moved to Sprint 2) and E01-S06 retention (P2/Phase 6).
BLOCKERS: B1, B3, B4, B6 active. B2 decided — wait for release, no work. B5 not Sprint 1, needs E02.
GATE ON DAY 1: settle the TimescaleDB pin. Evidence is now empirical — 2.17.2 exposes add_compression_policy ONLY; 2.29.1 exposes BOTH, so the upgrade is backward compatible. Recommend upgrading before the first migration. See Code/SETUP.md Step 2.</t>
        </is>
      </c>
    </row>
    <row r="6" ht="132" customHeight="1" s="59">
      <c r="A6" s="54" t="inlineStr">
        <is>
          <t>2</t>
        </is>
      </c>
      <c r="B6" s="48" t="inlineStr">
        <is>
          <t>E01-S05 (deferred in) + E03 + E04</t>
        </is>
      </c>
      <c r="C6" s="48" t="inlineStr">
        <is>
          <t>Audit chain verified; historical data flowing, hazard lists daily</t>
        </is>
      </c>
      <c r="D6" s="40" t="inlineStr">
        <is>
          <t>New</t>
        </is>
      </c>
      <c r="E6" s="46" t="n"/>
      <c r="F6" s="46" t="n"/>
      <c r="G6" s="49" t="inlineStr">
        <is>
          <t>E01-S05 (audit log writer with hash chaining) carried in from Sprint 1. Safety-critical: budget the full 1 day, schedule it EARLY in the sprint, and do not merge it at the end of a session. Its DoD adds a property-based test over generated event sequences, a tamper test, an outage test, and a second read on a different day. Depends on E01-S01 only, which lands in Sprint 1.</t>
        </is>
      </c>
    </row>
    <row r="7">
      <c r="A7" s="54" t="inlineStr">
        <is>
          <t>3</t>
        </is>
      </c>
      <c r="B7" s="48" t="inlineStr">
        <is>
          <t>E02-S01..S03, E05-S01..S05</t>
        </is>
      </c>
      <c r="C7" s="48" t="inlineStr">
        <is>
          <t>Live ticks arriving and cleaned</t>
        </is>
      </c>
      <c r="D7" s="40" t="inlineStr">
        <is>
          <t>New</t>
        </is>
      </c>
      <c r="E7" s="46" t="n"/>
      <c r="F7" s="46" t="n"/>
      <c r="G7" s="49" t="n"/>
    </row>
    <row r="8">
      <c r="A8" s="54" t="inlineStr">
        <is>
          <t>4</t>
        </is>
      </c>
      <c r="B8" s="48" t="inlineStr">
        <is>
          <t>E05-S06..S08, E06-S01..S03</t>
        </is>
      </c>
      <c r="C8" s="48" t="inlineStr">
        <is>
          <t>Bars building, indicators warm</t>
        </is>
      </c>
      <c r="D8" s="40" t="inlineStr">
        <is>
          <t>New</t>
        </is>
      </c>
      <c r="E8" s="46" t="n"/>
      <c r="F8" s="46" t="n"/>
      <c r="G8" s="49" t="n"/>
    </row>
    <row r="9">
      <c r="A9" s="54" t="inlineStr">
        <is>
          <t>5</t>
        </is>
      </c>
      <c r="B9" s="48" t="inlineStr">
        <is>
          <t>E06-S04..S07, E07</t>
        </is>
      </c>
      <c r="C9" s="48" t="inlineStr">
        <is>
          <t>Ranked watchlist every morning</t>
        </is>
      </c>
      <c r="D9" s="40" t="inlineStr">
        <is>
          <t>New</t>
        </is>
      </c>
      <c r="E9" s="46" t="n"/>
      <c r="F9" s="46" t="n"/>
      <c r="G9" s="49" t="n"/>
    </row>
    <row r="10">
      <c r="A10" s="54" t="inlineStr">
        <is>
          <t>6</t>
        </is>
      </c>
      <c r="B10" s="48" t="inlineStr">
        <is>
          <t>E09, E19-S01..S02</t>
        </is>
      </c>
      <c r="C10" s="48" t="inlineStr">
        <is>
          <t>Macro context + Telegram working</t>
        </is>
      </c>
      <c r="D10" s="40" t="inlineStr">
        <is>
          <t>New</t>
        </is>
      </c>
      <c r="E10" s="46" t="n"/>
      <c r="F10" s="46" t="n"/>
      <c r="G10" s="49" t="n"/>
    </row>
    <row r="11">
      <c r="A11" s="54" t="inlineStr">
        <is>
          <t>7</t>
        </is>
      </c>
      <c r="B11" s="48" t="inlineStr">
        <is>
          <t>E08, E10-S01..S04</t>
        </is>
      </c>
      <c r="C11" s="48" t="inlineStr">
        <is>
          <t>News scored, AI layer live</t>
        </is>
      </c>
      <c r="D11" s="40" t="inlineStr">
        <is>
          <t>New</t>
        </is>
      </c>
      <c r="E11" s="46" t="n"/>
      <c r="F11" s="46" t="n"/>
      <c r="G11" s="49" t="n"/>
    </row>
    <row r="12">
      <c r="A12" s="55" t="inlineStr">
        <is>
          <t>8</t>
        </is>
      </c>
      <c r="B12" s="56" t="inlineStr">
        <is>
          <t>E11</t>
        </is>
      </c>
      <c r="C12" s="56" t="inlineStr">
        <is>
          <t>Pre-market plan by 09:15 — the inflection point</t>
        </is>
      </c>
      <c r="D12" s="40" t="inlineStr">
        <is>
          <t>New</t>
        </is>
      </c>
      <c r="E12" s="46" t="n"/>
      <c r="F12" s="46" t="n"/>
      <c r="G12" s="49" t="n"/>
    </row>
    <row r="13">
      <c r="A13" s="54" t="inlineStr">
        <is>
          <t>9</t>
        </is>
      </c>
      <c r="B13" s="48" t="inlineStr">
        <is>
          <t>E10-S05, E13, E17-S01..S03</t>
        </is>
      </c>
      <c r="C13" s="48" t="inlineStr">
        <is>
          <t>Live signals with rationale, dashboard</t>
        </is>
      </c>
      <c r="D13" s="40" t="inlineStr">
        <is>
          <t>New</t>
        </is>
      </c>
      <c r="E13" s="46" t="n"/>
      <c r="F13" s="46" t="n"/>
      <c r="G13" s="49" t="n"/>
    </row>
    <row r="14">
      <c r="A14" s="54" t="inlineStr">
        <is>
          <t>10</t>
        </is>
      </c>
      <c r="B14" s="48" t="inlineStr">
        <is>
          <t>E14</t>
        </is>
      </c>
      <c r="C14" s="48" t="inlineStr">
        <is>
          <t>Risk engine complete, property-tested</t>
        </is>
      </c>
      <c r="D14" s="40" t="inlineStr">
        <is>
          <t>New</t>
        </is>
      </c>
      <c r="E14" s="46" t="n"/>
      <c r="F14" s="46" t="n"/>
      <c r="G14" s="49" t="n"/>
    </row>
    <row r="15">
      <c r="A15" s="54" t="inlineStr">
        <is>
          <t>11</t>
        </is>
      </c>
      <c r="B15" s="48" t="inlineStr">
        <is>
          <t>E15-S01..S07</t>
        </is>
      </c>
      <c r="C15" s="48" t="inlineStr">
        <is>
          <t>Order execution on paper</t>
        </is>
      </c>
      <c r="D15" s="40" t="inlineStr">
        <is>
          <t>New</t>
        </is>
      </c>
      <c r="E15" s="46" t="n"/>
      <c r="F15" s="46" t="n"/>
      <c r="G15" s="49" t="n"/>
    </row>
    <row r="16">
      <c r="A16" s="54" t="inlineStr">
        <is>
          <t>12</t>
        </is>
      </c>
      <c r="B16" s="48" t="inlineStr">
        <is>
          <t>E15-S08..S11, E16</t>
        </is>
      </c>
      <c r="C16" s="48" t="inlineStr">
        <is>
          <t>Position management, autonomy, approval</t>
        </is>
      </c>
      <c r="D16" s="40" t="inlineStr">
        <is>
          <t>New</t>
        </is>
      </c>
      <c r="E16" s="46" t="n"/>
      <c r="F16" s="46" t="n"/>
      <c r="G16" s="49" t="n"/>
    </row>
    <row r="17">
      <c r="A17" s="54" t="inlineStr">
        <is>
          <t>13</t>
        </is>
      </c>
      <c r="B17" s="48" t="inlineStr">
        <is>
          <t>E12-S01..S08</t>
        </is>
      </c>
      <c r="C17" s="48" t="inlineStr">
        <is>
          <t>Strategy registry + validation gauntlet</t>
        </is>
      </c>
      <c r="D17" s="40" t="inlineStr">
        <is>
          <t>New</t>
        </is>
      </c>
      <c r="E17" s="46" t="n"/>
      <c r="F17" s="46" t="n"/>
      <c r="G17" s="49" t="n"/>
    </row>
    <row r="18">
      <c r="A18" s="54" t="inlineStr">
        <is>
          <t>14</t>
        </is>
      </c>
      <c r="B18" s="48" t="inlineStr">
        <is>
          <t>E12-S09..S10, E20</t>
        </is>
      </c>
      <c r="C18" s="48" t="inlineStr">
        <is>
          <t>Shadow mode, observability</t>
        </is>
      </c>
      <c r="D18" s="40" t="inlineStr">
        <is>
          <t>New</t>
        </is>
      </c>
      <c r="E18" s="46" t="n"/>
      <c r="F18" s="46" t="n"/>
      <c r="G18" s="49" t="n"/>
    </row>
    <row r="19">
      <c r="A19" s="54" t="inlineStr">
        <is>
          <t>15</t>
        </is>
      </c>
      <c r="B19" s="48" t="inlineStr">
        <is>
          <t>E17-S04..S09, E18</t>
        </is>
      </c>
      <c r="C19" s="48" t="inlineStr">
        <is>
          <t>UI complete</t>
        </is>
      </c>
      <c r="D19" s="40" t="inlineStr">
        <is>
          <t>New</t>
        </is>
      </c>
      <c r="E19" s="46" t="n"/>
      <c r="F19" s="46" t="n"/>
      <c r="G19" s="49" t="n"/>
    </row>
    <row r="20">
      <c r="A20" s="54" t="inlineStr">
        <is>
          <t>16</t>
        </is>
      </c>
      <c r="B20" s="48" t="inlineStr">
        <is>
          <t>E21, E22-S01..S04</t>
        </is>
      </c>
      <c r="C20" s="48" t="inlineStr">
        <is>
          <t>Compliance, tax, chaos tests</t>
        </is>
      </c>
      <c r="D20" s="40" t="inlineStr">
        <is>
          <t>New</t>
        </is>
      </c>
      <c r="E20" s="46" t="n"/>
      <c r="F20" s="46" t="n"/>
      <c r="G20" s="49" t="n"/>
    </row>
    <row r="21">
      <c r="A21" s="54" t="inlineStr">
        <is>
          <t>17</t>
        </is>
      </c>
      <c r="B21" s="48" t="inlineStr">
        <is>
          <t>E22-S05..S08, E23</t>
        </is>
      </c>
      <c r="C21" s="48" t="inlineStr">
        <is>
          <t>Hardening, deployment</t>
        </is>
      </c>
      <c r="D21" s="40" t="inlineStr">
        <is>
          <t>New</t>
        </is>
      </c>
      <c r="E21" s="46" t="n"/>
      <c r="F21" s="46" t="n"/>
      <c r="G21" s="49" t="n"/>
    </row>
    <row r="22">
      <c r="A22" s="54" t="inlineStr">
        <is>
          <t>18</t>
        </is>
      </c>
      <c r="B22" s="48" t="inlineStr">
        <is>
          <t>Paper trading</t>
        </is>
      </c>
      <c r="C22" s="48" t="inlineStr">
        <is>
          <t>Multi-week validation across regimes</t>
        </is>
      </c>
      <c r="D22" s="40" t="inlineStr">
        <is>
          <t>New</t>
        </is>
      </c>
      <c r="E22" s="46" t="n"/>
      <c r="F22" s="46" t="n"/>
      <c r="G22" s="49" t="n"/>
    </row>
    <row r="23">
      <c r="A23" s="54" t="inlineStr">
        <is>
          <t>19+</t>
        </is>
      </c>
      <c r="B23" s="48" t="inlineStr">
        <is>
          <t>PRE_LIVE_CHECKLIST</t>
        </is>
      </c>
      <c r="C23" s="48" t="inlineStr">
        <is>
          <t>Approval mode, small live size</t>
        </is>
      </c>
      <c r="D23" s="40" t="inlineStr">
        <is>
          <t>New</t>
        </is>
      </c>
      <c r="E23" s="46" t="n"/>
      <c r="F23" s="46" t="n"/>
      <c r="G23" s="49" t="n"/>
    </row>
  </sheetData>
  <autoFilter ref="A4:G23"/>
  <conditionalFormatting sqref="D5:D23">
    <cfRule type="expression" priority="2" dxfId="13">
      <formula>EXACT($D5,"New")</formula>
    </cfRule>
    <cfRule type="expression" priority="3" dxfId="12">
      <formula>EXACT($D5,"Business Review")</formula>
    </cfRule>
    <cfRule type="expression" priority="4" dxfId="11">
      <formula>EXACT($D5,"Business Approved")</formula>
    </cfRule>
    <cfRule type="expression" priority="5" dxfId="10">
      <formula>EXACT($D5,"Active")</formula>
    </cfRule>
    <cfRule type="expression" priority="6" dxfId="9">
      <formula>EXACT($D5,"Development In-Progress")</formula>
    </cfRule>
    <cfRule type="expression" priority="7" dxfId="8">
      <formula>EXACT($D5,"Development Completed")</formula>
    </cfRule>
    <cfRule type="expression" priority="8" dxfId="7">
      <formula>EXACT($D5,"QA In-Progress")</formula>
    </cfRule>
    <cfRule type="expression" priority="9" dxfId="6">
      <formula>EXACT($D5,"QA-Success")</formula>
    </cfRule>
    <cfRule type="expression" priority="10" dxfId="5">
      <formula>EXACT($D5,"QA-Fail")</formula>
    </cfRule>
    <cfRule type="expression" priority="11" dxfId="4">
      <formula>EXACT($D5,"Closed")</formula>
    </cfRule>
    <cfRule type="expression" priority="12" dxfId="3">
      <formula>EXACT($D5,"Removed")</formula>
    </cfRule>
    <cfRule type="expression" priority="13" dxfId="2">
      <formula>EXACT($D5,"Moved to Backlog")</formula>
    </cfRule>
    <cfRule type="expression" priority="14" dxfId="1">
      <formula>EXACT($D5,"Blocked")</formula>
    </cfRule>
    <cfRule type="expression" priority="15" dxfId="0">
      <formula>EXACT($D5,"On Hold")</formula>
    </cfRule>
  </conditionalFormatting>
  <dataValidations count="1">
    <dataValidation sqref="D5:D23" showDropDown="0" showInputMessage="0" showErrorMessage="0" allowBlank="0" type="list">
      <formula1>"New,Business Review,Business Approved,Active,Development In-Progress,Development Completed,QA In-Progress,QA-Success,QA-Fail,Closed,Removed,Moved to Backlog,Blocked,On Hold"</formula1>
      <formula2>0</formula2>
    </dataValidation>
  </dataValidations>
  <pageMargins left="0.75" right="0.75" top="1" bottom="1" header="0.511811023622047" footer="0.511811023622047"/>
  <pageSetup orientation="portrait" paperSize="9" horizontalDpi="300" verticalDpi="300"/>
</worksheet>
</file>

<file path=xl/worksheets/sheet5.xml><?xml version="1.0" encoding="utf-8"?>
<worksheet xmlns="http://schemas.openxmlformats.org/spreadsheetml/2006/main">
  <sheetPr>
    <outlinePr summaryBelow="1" summaryRight="1"/>
    <pageSetUpPr/>
  </sheetPr>
  <dimension ref="A1:B60"/>
  <sheetViews>
    <sheetView topLeftCell="A45" zoomScaleNormal="100" workbookViewId="0">
      <selection activeCell="A1" sqref="A1"/>
    </sheetView>
  </sheetViews>
  <sheetFormatPr baseColWidth="8" defaultColWidth="8.6640625" defaultRowHeight="14.4"/>
  <cols>
    <col width="26" customWidth="1" style="59" min="1" max="1"/>
    <col width="92" customWidth="1" style="59" min="2" max="2"/>
  </cols>
  <sheetData>
    <row r="1" ht="17.4" customHeight="1" s="59">
      <c r="A1" s="36" t="inlineStr">
        <is>
          <t>REFERENCE &amp; LEGEND</t>
        </is>
      </c>
    </row>
    <row r="2">
      <c r="A2" s="2" t="inlineStr">
        <is>
          <t>Definitions for every classifier used in the Backlog sheet.</t>
        </is>
      </c>
    </row>
    <row r="4">
      <c r="A4" s="57" t="inlineStr">
        <is>
          <t>STATUS VALUES (dropdown in Backlog column E)</t>
        </is>
      </c>
    </row>
    <row r="5" ht="30" customHeight="1" s="59">
      <c r="A5" s="37" t="inlineStr">
        <is>
          <t>Status</t>
        </is>
      </c>
      <c r="B5" s="37" t="inlineStr">
        <is>
          <t>Meaning</t>
        </is>
      </c>
    </row>
    <row r="6">
      <c r="A6" s="13" t="inlineStr">
        <is>
          <t>New</t>
        </is>
      </c>
      <c r="B6" s="5" t="inlineStr">
        <is>
          <t>Captured, not yet triaged.</t>
        </is>
      </c>
    </row>
    <row r="7">
      <c r="A7" s="15" t="inlineStr">
        <is>
          <t>Business Review</t>
        </is>
      </c>
      <c r="B7" s="5" t="inlineStr">
        <is>
          <t>Under review for business value / scope.</t>
        </is>
      </c>
    </row>
    <row r="8">
      <c r="A8" s="16" t="inlineStr">
        <is>
          <t>Business Approved</t>
        </is>
      </c>
      <c r="B8" s="5" t="inlineStr">
        <is>
          <t>Signed off; cleared to be scheduled.</t>
        </is>
      </c>
    </row>
    <row r="9">
      <c r="A9" s="17" t="inlineStr">
        <is>
          <t>Active</t>
        </is>
      </c>
      <c r="B9" s="5" t="inlineStr">
        <is>
          <t>Scheduled into the current sprint; not yet started.</t>
        </is>
      </c>
    </row>
    <row r="10">
      <c r="A10" s="18" t="inlineStr">
        <is>
          <t>Development In-Progress</t>
        </is>
      </c>
      <c r="B10" s="5" t="inlineStr">
        <is>
          <t>Being built.</t>
        </is>
      </c>
    </row>
    <row r="11">
      <c r="A11" s="19" t="inlineStr">
        <is>
          <t>Development Completed</t>
        </is>
      </c>
      <c r="B11" s="5" t="inlineStr">
        <is>
          <t>Code complete, awaiting QA.</t>
        </is>
      </c>
    </row>
    <row r="12">
      <c r="A12" s="20" t="inlineStr">
        <is>
          <t>QA In-Progress</t>
        </is>
      </c>
      <c r="B12" s="5" t="inlineStr">
        <is>
          <t>Under test.</t>
        </is>
      </c>
    </row>
    <row r="13">
      <c r="A13" s="21" t="inlineStr">
        <is>
          <t>QA-Success</t>
        </is>
      </c>
      <c r="B13" s="5" t="inlineStr">
        <is>
          <t>Passed test; ready to close.</t>
        </is>
      </c>
    </row>
    <row r="14">
      <c r="A14" s="22" t="inlineStr">
        <is>
          <t>QA-Fail</t>
        </is>
      </c>
      <c r="B14" s="5" t="inlineStr">
        <is>
          <t>Failed test; returns to development.</t>
        </is>
      </c>
    </row>
    <row r="15">
      <c r="A15" s="23" t="inlineStr">
        <is>
          <t>Closed</t>
        </is>
      </c>
      <c r="B15" s="5" t="inlineStr">
        <is>
          <t>Done and accepted. Definition of Done met.</t>
        </is>
      </c>
    </row>
    <row r="16">
      <c r="A16" s="24" t="inlineStr">
        <is>
          <t>Removed</t>
        </is>
      </c>
      <c r="B16" s="5" t="inlineStr">
        <is>
          <t>Cancelled; will not be built.</t>
        </is>
      </c>
    </row>
    <row r="17">
      <c r="A17" s="25" t="inlineStr">
        <is>
          <t>Moved to Backlog</t>
        </is>
      </c>
      <c r="B17" s="5" t="inlineStr">
        <is>
          <t>Deferred out of the current plan.</t>
        </is>
      </c>
    </row>
    <row r="18">
      <c r="A18" s="26" t="inlineStr">
        <is>
          <t>Blocked</t>
        </is>
      </c>
      <c r="B18" s="5" t="inlineStr">
        <is>
          <t>Cannot proceed — see Blocked By / Blockers sheet.</t>
        </is>
      </c>
    </row>
    <row r="19">
      <c r="A19" s="30" t="inlineStr">
        <is>
          <t>On Hold</t>
        </is>
      </c>
      <c r="B19" s="5" t="inlineStr">
        <is>
          <t>Paused by choice rather than by a blocker.</t>
        </is>
      </c>
    </row>
    <row r="22">
      <c r="A22" s="57" t="inlineStr">
        <is>
          <t>PRIORITY</t>
        </is>
      </c>
    </row>
    <row r="23" ht="30" customHeight="1" s="59">
      <c r="A23" s="37" t="inlineStr">
        <is>
          <t>Value</t>
        </is>
      </c>
      <c r="B23" s="37" t="inlineStr">
        <is>
          <t>Meaning</t>
        </is>
      </c>
    </row>
    <row r="24">
      <c r="A24" s="22" t="inlineStr">
        <is>
          <t>P0</t>
        </is>
      </c>
      <c r="B24" s="5" t="inlineStr">
        <is>
          <t>Blocker — cannot ship without it</t>
        </is>
      </c>
    </row>
    <row r="25">
      <c r="A25" s="15" t="inlineStr">
        <is>
          <t>P1</t>
        </is>
      </c>
      <c r="B25" s="5" t="inlineStr">
        <is>
          <t>MVP scope</t>
        </is>
      </c>
    </row>
    <row r="26">
      <c r="A26" s="21" t="inlineStr">
        <is>
          <t>P2</t>
        </is>
      </c>
      <c r="B26" s="5" t="inlineStr">
        <is>
          <t>Post-MVP</t>
        </is>
      </c>
    </row>
    <row r="27">
      <c r="A27" s="32" t="inlineStr">
        <is>
          <t>P3</t>
        </is>
      </c>
      <c r="B27" s="5" t="inlineStr">
        <is>
          <t>Nice-to-have</t>
        </is>
      </c>
    </row>
    <row r="30">
      <c r="A30" s="57" t="inlineStr">
        <is>
          <t>RISK</t>
        </is>
      </c>
    </row>
    <row r="31" ht="30" customHeight="1" s="59">
      <c r="A31" s="37" t="inlineStr">
        <is>
          <t>Value</t>
        </is>
      </c>
      <c r="B31" s="37" t="inlineStr">
        <is>
          <t>Meaning</t>
        </is>
      </c>
    </row>
    <row r="32" ht="30" customHeight="1" s="59">
      <c r="A32" s="33" t="inlineStr">
        <is>
          <t>Safety-critical</t>
        </is>
      </c>
      <c r="B32" s="48" t="inlineStr">
        <is>
          <t>🔴 A defect can lose money or breach regulation. Needs property-based tests, 100% line coverage, and a second read before merge. Never merge at the end of a session.</t>
        </is>
      </c>
    </row>
    <row r="33" ht="30" customHeight="1" s="59">
      <c r="A33" s="34" t="inlineStr">
        <is>
          <t>Correctness-critical</t>
        </is>
      </c>
      <c r="B33" s="48" t="inlineStr">
        <is>
          <t>🟠 A defect produces wrong results but does not directly risk capital.</t>
        </is>
      </c>
    </row>
    <row r="34" ht="30" customHeight="1" s="59">
      <c r="A34" s="35" t="inlineStr">
        <is>
          <t>Low</t>
        </is>
      </c>
      <c r="B34" s="48" t="inlineStr">
        <is>
          <t>🟢 Ordinary care applies.</t>
        </is>
      </c>
    </row>
    <row r="37">
      <c r="A37" s="57" t="inlineStr">
        <is>
          <t>TYPE</t>
        </is>
      </c>
    </row>
    <row r="38" ht="30" customHeight="1" s="59">
      <c r="A38" s="37" t="inlineStr">
        <is>
          <t>Value</t>
        </is>
      </c>
      <c r="B38" s="37" t="inlineStr">
        <is>
          <t>Meaning</t>
        </is>
      </c>
    </row>
    <row r="39">
      <c r="A39" s="7" t="inlineStr">
        <is>
          <t>FEAT</t>
        </is>
      </c>
      <c r="B39" s="5" t="inlineStr">
        <is>
          <t>Feature work</t>
        </is>
      </c>
    </row>
    <row r="40">
      <c r="A40" s="7" t="inlineStr">
        <is>
          <t>INFRA</t>
        </is>
      </c>
      <c r="B40" s="5" t="inlineStr">
        <is>
          <t>Infrastructure / plumbing</t>
        </is>
      </c>
    </row>
    <row r="41">
      <c r="A41" s="7" t="inlineStr">
        <is>
          <t>SEC</t>
        </is>
      </c>
      <c r="B41" s="5" t="inlineStr">
        <is>
          <t>Security</t>
        </is>
      </c>
    </row>
    <row r="42">
      <c r="A42" s="7" t="inlineStr">
        <is>
          <t>TEST</t>
        </is>
      </c>
      <c r="B42" s="5" t="inlineStr">
        <is>
          <t>Testing</t>
        </is>
      </c>
    </row>
    <row r="43">
      <c r="A43" s="7" t="inlineStr">
        <is>
          <t>OPS</t>
        </is>
      </c>
      <c r="B43" s="5" t="inlineStr">
        <is>
          <t>Operations / deployment</t>
        </is>
      </c>
    </row>
    <row r="44">
      <c r="A44" s="7" t="inlineStr">
        <is>
          <t>DOC</t>
        </is>
      </c>
      <c r="B44" s="5" t="inlineStr">
        <is>
          <t>Documentation</t>
        </is>
      </c>
    </row>
    <row r="47">
      <c r="A47" s="57" t="inlineStr">
        <is>
          <t>DEFINITION OF DONE (every story)</t>
        </is>
      </c>
    </row>
    <row r="48">
      <c r="A48" s="58" t="inlineStr">
        <is>
          <t>☐  Code written and passing `make check` (lint + types + tests)</t>
        </is>
      </c>
    </row>
    <row r="49">
      <c r="A49" s="58" t="inlineStr">
        <is>
          <t>☐  Tests written that FAIL if the story's claim is false — not tests that assert the code shape</t>
        </is>
      </c>
    </row>
    <row r="50">
      <c r="A50" s="58" t="inlineStr">
        <is>
          <t>☐  Safety-critical stories: property-based test covering the invariant</t>
        </is>
      </c>
    </row>
    <row r="51">
      <c r="A51" s="58" t="inlineStr">
        <is>
          <t>☐  Docstrings explain why, not what</t>
        </is>
      </c>
    </row>
    <row r="52">
      <c r="A52" s="58" t="inlineStr">
        <is>
          <t>☐  No secret, no float in a money path, no naive datetime</t>
        </is>
      </c>
    </row>
    <row r="53">
      <c r="A53" s="58" t="inlineStr">
        <is>
          <t>☐  `make doctor` still exits 0</t>
        </is>
      </c>
    </row>
    <row r="54">
      <c r="A54" s="58" t="inlineStr">
        <is>
          <t>☐  Relevant design document updated if behaviour diverged from spec</t>
        </is>
      </c>
    </row>
    <row r="57">
      <c r="A57" s="57" t="inlineStr">
        <is>
          <t>NOTE ON SOURCE DATA</t>
        </is>
      </c>
    </row>
    <row r="58" ht="15" customHeight="1" s="59">
      <c r="A58" s="60" t="inlineStr">
        <is>
          <t>The epic map in BACKLOG.md lists E21 as 7 stories, but the document actually defines 8 (E21-S01 … E21-S08). This workbook uses the actual 8. Totals here are therefore 189 stories / ~242 days, against the 188 / ~234 stated in the source.</t>
        </is>
      </c>
    </row>
    <row r="59"/>
    <row r="60"/>
  </sheetData>
  <mergeCells count="8">
    <mergeCell ref="A48:B48"/>
    <mergeCell ref="A54:B54"/>
    <mergeCell ref="A52:B52"/>
    <mergeCell ref="A49:B49"/>
    <mergeCell ref="A51:B51"/>
    <mergeCell ref="A58:B60"/>
    <mergeCell ref="A53:B53"/>
    <mergeCell ref="A50:B50"/>
  </mergeCells>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2026-08-05T16:21:12Z</dcterms:created>
  <dcterms:modified xmlns:dcterms="http://purl.org/dc/terms/" xmlns:xsi="http://www.w3.org/2001/XMLSchema-instance" xsi:type="dcterms:W3CDTF">2026-08-07T06:59:43Z</dcterms:modified>
  <cp:lastModifiedBy>Gopikrishnan Sreekumar</cp:lastModifiedBy>
  <cp:revision>0</cp:revision>
</cp:coreProperties>
</file>