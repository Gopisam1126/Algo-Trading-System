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xmlns:r="http://schemas.openxmlformats.org/officeDocument/2006/relationships" name="Dashboard" sheetId="1" state="visible" r:id="rId1"/>
    <sheet xmlns:r="http://schemas.openxmlformats.org/officeDocument/2006/relationships" name="Backlog" sheetId="2" state="visible" r:id="rId2"/>
    <sheet xmlns:r="http://schemas.openxmlformats.org/officeDocument/2006/relationships" name="Blockers" sheetId="3" state="visible" r:id="rId3"/>
    <sheet xmlns:r="http://schemas.openxmlformats.org/officeDocument/2006/relationships" name="E01 Blockers" sheetId="4" state="visible" r:id="rId4"/>
    <sheet xmlns:r="http://schemas.openxmlformats.org/officeDocument/2006/relationships" name="QA Results" sheetId="5" state="visible" r:id="rId5"/>
    <sheet xmlns:r="http://schemas.openxmlformats.org/officeDocument/2006/relationships" name="Security Findings" sheetId="6" state="visible" r:id="rId6"/>
    <sheet xmlns:r="http://schemas.openxmlformats.org/officeDocument/2006/relationships" name="Sprint Plan" sheetId="7" state="visible" r:id="rId7"/>
    <sheet xmlns:r="http://schemas.openxmlformats.org/officeDocument/2006/relationships" name="Reference" sheetId="8" state="visible" r:id="rId8"/>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6"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Stories by status</a:t>
            </a:r>
          </a:p>
        </rich>
      </tx>
    </title>
    <plotArea>
      <pieChart>
        <varyColors val="1"/>
        <ser>
          <idx val="0"/>
          <order val="0"/>
          <tx>
            <strRef>
              <f>'Dashboard'!B60</f>
            </strRef>
          </tx>
          <spPr>
            <a:ln xmlns:a="http://schemas.openxmlformats.org/drawingml/2006/mai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Effort by phase — closed vs remaining</a:t>
            </a:r>
          </a:p>
        </rich>
      </tx>
    </title>
    <plotArea>
      <barChart>
        <barDir val="col"/>
        <grouping val="stacked"/>
        <ser>
          <idx val="0"/>
          <order val="0"/>
          <tx>
            <strRef>
              <f>'Dashboard'!B76</f>
            </strRef>
          </tx>
          <spPr>
            <a:ln xmlns:a="http://schemas.openxmlformats.org/drawingml/2006/main">
              <a:prstDash val="solid"/>
            </a:ln>
          </spPr>
          <cat>
            <numRef>
              <f>'Dashboard'!$A$77:$A$85</f>
            </numRef>
          </cat>
          <val>
            <numRef>
              <f>'Dashboard'!$B$77:$B$85</f>
            </numRef>
          </val>
        </ser>
        <ser>
          <idx val="1"/>
          <order val="1"/>
          <tx>
            <strRef>
              <f>'Dashboard'!C76</f>
            </strRef>
          </tx>
          <spPr>
            <a:ln xmlns:a="http://schemas.openxmlformats.org/drawingml/2006/main">
              <a:prstDash val="solid"/>
            </a:ln>
          </spPr>
          <cat>
            <numRef>
              <f>'Dashboard'!$A$77:$A$85</f>
            </numRef>
          </cat>
          <val>
            <numRef>
              <f>'Dashboard'!$C$77:$C$85</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Phase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Completion by epic</a:t>
            </a:r>
          </a:p>
        </rich>
      </tx>
    </title>
    <plotArea>
      <barChart>
        <barDir val="bar"/>
        <grouping val="clustered"/>
        <ser>
          <idx val="0"/>
          <order val="0"/>
          <tx>
            <strRef>
              <f>'Dashboard'!B88</f>
            </strRef>
          </tx>
          <spPr>
            <a:ln xmlns:a="http://schemas.openxmlformats.org/drawingml/2006/main">
              <a:prstDash val="solid"/>
            </a:ln>
          </spPr>
          <cat>
            <numRef>
              <f>'Dashboard'!$A$89:$A$112</f>
            </numRef>
          </cat>
          <val>
            <numRef>
              <f>'Dashboard'!$B$89:$B$112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E01 security findings by severity (all fixed)</a:t>
            </a:r>
          </a:p>
        </rich>
      </tx>
    </title>
    <plotArea>
      <barChart>
        <barDir val="col"/>
        <grouping val="clustered"/>
        <ser>
          <idx val="0"/>
          <order val="0"/>
          <spPr>
            <a:ln xmlns:a="http://schemas.openxmlformats.org/drawingml/2006/mai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Findings</a:t>
                </a:r>
              </a:p>
            </rich>
          </tx>
        </title>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E01 QA outcomes</a:t>
            </a:r>
          </a:p>
        </rich>
      </tx>
    </title>
    <plotArea>
      <pieChart>
        <varyColors val="1"/>
        <ser>
          <idx val="0"/>
          <order val="0"/>
          <tx>
            <strRef>
              <f>'QA Results'!J4</f>
            </strRef>
          </tx>
          <spPr>
            <a:ln xmlns:a="http://schemas.openxmlformats.org/drawingml/2006/mai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Findings by severity (all fixed)</a:t>
            </a:r>
          </a:p>
        </rich>
      </tx>
    </title>
    <plotArea>
      <barChart>
        <barDir val="col"/>
        <grouping val="clustered"/>
        <ser>
          <idx val="0"/>
          <order val="0"/>
          <tx>
            <strRef>
              <f>'Security Findings'!K4</f>
            </strRef>
          </tx>
          <spPr>
            <a:ln xmlns:a="http://schemas.openxmlformats.org/drawingml/2006/mai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_rels/drawing3.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3</col>
      <colOff>0</colOff>
      <row>59</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75</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87</row>
      <rowOff>0</rowOff>
    </from>
    <ext cx="5040000" cy="57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3</col>
      <colOff>0</colOff>
      <row>114</row>
      <rowOff>0</rowOff>
    </from>
    <ext cx="504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8</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9</col>
      <colOff>0</colOff>
      <row>9</row>
      <rowOff>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COUNTA(Backlog!$A$5:$A$197)</f>
        <v/>
      </c>
      <c r="F6" s="7" t="inlineStr">
        <is>
          <t>E00</t>
        </is>
      </c>
      <c r="G6" s="5" t="inlineStr">
        <is>
          <t>FOUNDATION</t>
        </is>
      </c>
      <c r="H6" s="8" t="inlineStr">
        <is>
          <t>0</t>
        </is>
      </c>
      <c r="I6" s="8">
        <f>COUNTIF(Backlog!$B$5:$B$197,$F6)</f>
        <v/>
      </c>
      <c r="J6" s="9">
        <f>SUMIF(Backlog!$B$5:$B$197,$F6,Backlog!$J$5:$J$197)</f>
        <v/>
      </c>
      <c r="K6" s="8">
        <f>COUNTIFS(Backlog!$B$5:$B$197,$F6,Backlog!$E$5:$E$197,"Closed")</f>
        <v/>
      </c>
      <c r="L6" s="10">
        <f>IFERROR($K6/$I6,0)</f>
        <v/>
      </c>
    </row>
    <row r="7">
      <c r="A7" s="5" t="inlineStr">
        <is>
          <t>Total estimated days</t>
        </is>
      </c>
      <c r="B7" s="11">
        <f>SUM(Backlog!$J$5:$J$197)</f>
        <v/>
      </c>
      <c r="F7" s="7" t="inlineStr">
        <is>
          <t>E01</t>
        </is>
      </c>
      <c r="G7" s="5" t="inlineStr">
        <is>
          <t>PERSISTENCE &amp; DATA LAYER</t>
        </is>
      </c>
      <c r="H7" s="8" t="inlineStr">
        <is>
          <t>1</t>
        </is>
      </c>
      <c r="I7" s="8">
        <f>COUNTIF(Backlog!$B$5:$B$197,$F7)</f>
        <v/>
      </c>
      <c r="J7" s="9">
        <f>SUMIF(Backlog!$B$5:$B$197,$F7,Backlog!$J$5:$J$197)</f>
        <v/>
      </c>
      <c r="K7" s="8">
        <f>COUNTIFS(Backlog!$B$5:$B$197,$F7,Backlog!$E$5:$E$197,"Closed")</f>
        <v/>
      </c>
      <c r="L7" s="10">
        <f>IFERROR($K7/$I7,0)</f>
        <v/>
      </c>
    </row>
    <row r="8">
      <c r="A8" s="5" t="inlineStr">
        <is>
          <t>Closed</t>
        </is>
      </c>
      <c r="B8" s="6">
        <f>COUNTIF(Backlog!$E$5:$E$197,"Closed")</f>
        <v/>
      </c>
      <c r="F8" s="7" t="inlineStr">
        <is>
          <t>E02</t>
        </is>
      </c>
      <c r="G8" s="5" t="inlineStr">
        <is>
          <t>BROKER INTEGRATION</t>
        </is>
      </c>
      <c r="H8" s="8" t="inlineStr">
        <is>
          <t>1</t>
        </is>
      </c>
      <c r="I8" s="8">
        <f>COUNTIF(Backlog!$B$5:$B$197,$F8)</f>
        <v/>
      </c>
      <c r="J8" s="9">
        <f>SUMIF(Backlog!$B$5:$B$197,$F8,Backlog!$J$5:$J$197)</f>
        <v/>
      </c>
      <c r="K8" s="8">
        <f>COUNTIFS(Backlog!$B$5:$B$197,$F8,Backlog!$E$5:$E$197,"Closed")</f>
        <v/>
      </c>
      <c r="L8" s="10">
        <f>IFERROR($K8/$I8,0)</f>
        <v/>
      </c>
    </row>
    <row r="9">
      <c r="A9" s="5" t="inlineStr">
        <is>
          <t>In flight (Active→QA)</t>
        </is>
      </c>
      <c r="B9" s="6">
        <f>SUMPRODUCT(COUNTIF(Backlog!$E$5:$E$197,{"Active","Development In-Progress","Development Completed","QA In-Progress","QA-Success"}))</f>
        <v/>
      </c>
      <c r="F9" s="7" t="inlineStr">
        <is>
          <t>E03</t>
        </is>
      </c>
      <c r="G9" s="5" t="inlineStr">
        <is>
          <t>HISTORICAL DATA</t>
        </is>
      </c>
      <c r="H9" s="8" t="inlineStr">
        <is>
          <t>1</t>
        </is>
      </c>
      <c r="I9" s="8">
        <f>COUNTIF(Backlog!$B$5:$B$197,$F9)</f>
        <v/>
      </c>
      <c r="J9" s="9">
        <f>SUMIF(Backlog!$B$5:$B$197,$F9,Backlog!$J$5:$J$197)</f>
        <v/>
      </c>
      <c r="K9" s="8">
        <f>COUNTIFS(Backlog!$B$5:$B$197,$F9,Backlog!$E$5:$E$197,"Closed")</f>
        <v/>
      </c>
      <c r="L9" s="10">
        <f>IFERROR($K9/$I9,0)</f>
        <v/>
      </c>
    </row>
    <row r="10">
      <c r="A10" s="5" t="inlineStr">
        <is>
          <t>Not started (New)</t>
        </is>
      </c>
      <c r="B10" s="6">
        <f>COUNTIF(Backlog!$E$5:$E$197,"New")</f>
        <v/>
      </c>
      <c r="F10" s="7" t="inlineStr">
        <is>
          <t>E04</t>
        </is>
      </c>
      <c r="G10" s="5" t="inlineStr">
        <is>
          <t>INDIA HAZARD LISTS</t>
        </is>
      </c>
      <c r="H10" s="8" t="inlineStr">
        <is>
          <t>1</t>
        </is>
      </c>
      <c r="I10" s="8">
        <f>COUNTIF(Backlog!$B$5:$B$197,$F10)</f>
        <v/>
      </c>
      <c r="J10" s="9">
        <f>SUMIF(Backlog!$B$5:$B$197,$F10,Backlog!$J$5:$J$197)</f>
        <v/>
      </c>
      <c r="K10" s="8">
        <f>COUNTIFS(Backlog!$B$5:$B$197,$F10,Backlog!$E$5:$E$197,"Closed")</f>
        <v/>
      </c>
      <c r="L10" s="10">
        <f>IFERROR($K10/$I10,0)</f>
        <v/>
      </c>
    </row>
    <row r="11">
      <c r="A11" s="5" t="inlineStr">
        <is>
          <t>Blocked / On Hold</t>
        </is>
      </c>
      <c r="B11" s="6">
        <f>COUNTIF(Backlog!$E$5:$E$197,"Blocked")+COUNTIF(Backlog!$E$5:$E$197,"On Hold")</f>
        <v/>
      </c>
      <c r="F11" s="7" t="inlineStr">
        <is>
          <t>E05</t>
        </is>
      </c>
      <c r="G11" s="5" t="inlineStr">
        <is>
          <t>MARKET DATA INGESTION</t>
        </is>
      </c>
      <c r="H11" s="8" t="inlineStr">
        <is>
          <t>1</t>
        </is>
      </c>
      <c r="I11" s="8">
        <f>COUNTIF(Backlog!$B$5:$B$197,$F11)</f>
        <v/>
      </c>
      <c r="J11" s="9">
        <f>SUMIF(Backlog!$B$5:$B$197,$F11,Backlog!$J$5:$J$197)</f>
        <v/>
      </c>
      <c r="K11" s="8">
        <f>COUNTIFS(Backlog!$B$5:$B$197,$F11,Backlog!$E$5:$E$197,"Closed")</f>
        <v/>
      </c>
      <c r="L11" s="10">
        <f>IFERROR($K11/$I11,0)</f>
        <v/>
      </c>
    </row>
    <row r="12">
      <c r="A12" s="5" t="inlineStr">
        <is>
          <t>% Complete</t>
        </is>
      </c>
      <c r="B12" s="12">
        <f>IFERROR(COUNTIF(Backlog!$E$5:$E$197,"Closed")/COUNTA(Backlog!$A$5:$A$197),0)</f>
        <v/>
      </c>
      <c r="F12" s="7" t="inlineStr">
        <is>
          <t>E06</t>
        </is>
      </c>
      <c r="G12" s="5" t="inlineStr">
        <is>
          <t>TECHNICAL ANALYSIS ENGINE</t>
        </is>
      </c>
      <c r="H12" s="8" t="inlineStr">
        <is>
          <t>2</t>
        </is>
      </c>
      <c r="I12" s="8">
        <f>COUNTIF(Backlog!$B$5:$B$197,$F12)</f>
        <v/>
      </c>
      <c r="J12" s="9">
        <f>SUMIF(Backlog!$B$5:$B$197,$F12,Backlog!$J$5:$J$197)</f>
        <v/>
      </c>
      <c r="K12" s="8">
        <f>COUNTIFS(Backlog!$B$5:$B$197,$F12,Backlog!$E$5:$E$197,"Closed")</f>
        <v/>
      </c>
      <c r="L12" s="10">
        <f>IFERROR($K12/$I12,0)</f>
        <v/>
      </c>
    </row>
    <row r="13">
      <c r="A13" s="5" t="inlineStr">
        <is>
          <t>Days closed</t>
        </is>
      </c>
      <c r="B13" s="11">
        <f>SUMIF(Backlog!$E$5:$E$197,"Closed",Backlog!$J$5:$J$197)</f>
        <v/>
      </c>
      <c r="F13" s="7" t="inlineStr">
        <is>
          <t>E07</t>
        </is>
      </c>
      <c r="G13" s="5" t="inlineStr">
        <is>
          <t>UNIVERSE &amp; SCORING</t>
        </is>
      </c>
      <c r="H13" s="8" t="inlineStr">
        <is>
          <t>2</t>
        </is>
      </c>
      <c r="I13" s="8">
        <f>COUNTIF(Backlog!$B$5:$B$197,$F13)</f>
        <v/>
      </c>
      <c r="J13" s="9">
        <f>SUMIF(Backlog!$B$5:$B$197,$F13,Backlog!$J$5:$J$197)</f>
        <v/>
      </c>
      <c r="K13" s="8">
        <f>COUNTIFS(Backlog!$B$5:$B$197,$F13,Backlog!$E$5:$E$197,"Closed")</f>
        <v/>
      </c>
      <c r="L13" s="10">
        <f>IFERROR($K13/$I13,0)</f>
        <v/>
      </c>
    </row>
    <row r="14">
      <c r="A14" s="5" t="inlineStr">
        <is>
          <t>Days remaining</t>
        </is>
      </c>
      <c r="B14" s="11">
        <f>SUM(Backlog!$J$5:$J$197)-SUMIF(Backlog!$E$5:$E$197,"Closed",Backlog!$J$5:$J$197)</f>
        <v/>
      </c>
      <c r="F14" s="7" t="inlineStr">
        <is>
          <t>E08</t>
        </is>
      </c>
      <c r="G14" s="5" t="inlineStr">
        <is>
          <t>NEWS INTELLIGENCE</t>
        </is>
      </c>
      <c r="H14" s="8" t="inlineStr">
        <is>
          <t>3</t>
        </is>
      </c>
      <c r="I14" s="8">
        <f>COUNTIF(Backlog!$B$5:$B$197,$F14)</f>
        <v/>
      </c>
      <c r="J14" s="9">
        <f>SUMIF(Backlog!$B$5:$B$197,$F14,Backlog!$J$5:$J$197)</f>
        <v/>
      </c>
      <c r="K14" s="8">
        <f>COUNTIFS(Backlog!$B$5:$B$197,$F14,Backlog!$E$5:$E$197,"Closed")</f>
        <v/>
      </c>
      <c r="L14" s="10">
        <f>IFERROR($K14/$I14,0)</f>
        <v/>
      </c>
    </row>
    <row r="15">
      <c r="F15" s="7" t="inlineStr">
        <is>
          <t>E09</t>
        </is>
      </c>
      <c r="G15" s="5" t="inlineStr">
        <is>
          <t>MACRO CONTEXT</t>
        </is>
      </c>
      <c r="H15" s="8" t="inlineStr">
        <is>
          <t>3</t>
        </is>
      </c>
      <c r="I15" s="8">
        <f>COUNTIF(Backlog!$B$5:$B$197,$F15)</f>
        <v/>
      </c>
      <c r="J15" s="9">
        <f>SUMIF(Backlog!$B$5:$B$197,$F15,Backlog!$J$5:$J$197)</f>
        <v/>
      </c>
      <c r="K15" s="8">
        <f>COUNTIFS(Backlog!$B$5:$B$197,$F15,Backlog!$E$5:$E$197,"Closed")</f>
        <v/>
      </c>
      <c r="L15" s="10">
        <f>IFERROR($K15/$I15,0)</f>
        <v/>
      </c>
    </row>
    <row r="16">
      <c r="A16" s="3" t="inlineStr">
        <is>
          <t>BY STATUS</t>
        </is>
      </c>
      <c r="F16" s="7" t="inlineStr">
        <is>
          <t>E10</t>
        </is>
      </c>
      <c r="G16" s="5" t="inlineStr">
        <is>
          <t>AI LAYER</t>
        </is>
      </c>
      <c r="H16" s="8" t="inlineStr">
        <is>
          <t>3</t>
        </is>
      </c>
      <c r="I16" s="8">
        <f>COUNTIF(Backlog!$B$5:$B$197,$F16)</f>
        <v/>
      </c>
      <c r="J16" s="9">
        <f>SUMIF(Backlog!$B$5:$B$197,$F16,Backlog!$J$5:$J$197)</f>
        <v/>
      </c>
      <c r="K16" s="8">
        <f>COUNTIFS(Backlog!$B$5:$B$197,$F16,Backlog!$E$5:$E$197,"Closed")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COUNTIF(Backlog!$B$5:$B$197,$F17)</f>
        <v/>
      </c>
      <c r="J17" s="9">
        <f>SUMIF(Backlog!$B$5:$B$197,$F17,Backlog!$J$5:$J$197)</f>
        <v/>
      </c>
      <c r="K17" s="8">
        <f>COUNTIFS(Backlog!$B$5:$B$197,$F17,Backlog!$E$5:$E$197,"Closed")</f>
        <v/>
      </c>
      <c r="L17" s="10">
        <f>IFERROR($K17/$I17,0)</f>
        <v/>
      </c>
    </row>
    <row r="18">
      <c r="A18" s="13" t="inlineStr">
        <is>
          <t>New</t>
        </is>
      </c>
      <c r="B18" s="8">
        <f>COUNTIF(Backlog!$E$5:$E$197,$A18)</f>
        <v/>
      </c>
      <c r="C18" s="14">
        <f>IFERROR($B18/COUNTA(Backlog!$A$5:$A$197),0)</f>
        <v/>
      </c>
      <c r="D18" s="9">
        <f>SUMIF(Backlog!$E$5:$E$197,$A18,Backlog!$J$5:$J$197)</f>
        <v/>
      </c>
      <c r="F18" s="7" t="inlineStr">
        <is>
          <t>E12</t>
        </is>
      </c>
      <c r="G18" s="5" t="inlineStr">
        <is>
          <t>STRATEGY ENGINE</t>
        </is>
      </c>
      <c r="H18" s="8" t="inlineStr">
        <is>
          <t>5</t>
        </is>
      </c>
      <c r="I18" s="8">
        <f>COUNTIF(Backlog!$B$5:$B$197,$F18)</f>
        <v/>
      </c>
      <c r="J18" s="9">
        <f>SUMIF(Backlog!$B$5:$B$197,$F18,Backlog!$J$5:$J$197)</f>
        <v/>
      </c>
      <c r="K18" s="8">
        <f>COUNTIFS(Backlog!$B$5:$B$197,$F18,Backlog!$E$5:$E$197,"Closed")</f>
        <v/>
      </c>
      <c r="L18" s="10">
        <f>IFERROR($K18/$I18,0)</f>
        <v/>
      </c>
    </row>
    <row r="19">
      <c r="A19" s="15" t="inlineStr">
        <is>
          <t>Business Review</t>
        </is>
      </c>
      <c r="B19" s="8">
        <f>COUNTIF(Backlog!$E$5:$E$197,$A19)</f>
        <v/>
      </c>
      <c r="C19" s="14">
        <f>IFERROR($B19/COUNTA(Backlog!$A$5:$A$197),0)</f>
        <v/>
      </c>
      <c r="D19" s="9">
        <f>SUMIF(Backlog!$E$5:$E$197,$A19,Backlog!$J$5:$J$197)</f>
        <v/>
      </c>
      <c r="F19" s="7" t="inlineStr">
        <is>
          <t>E13</t>
        </is>
      </c>
      <c r="G19" s="5" t="inlineStr">
        <is>
          <t>SIGNAL ENGINE</t>
        </is>
      </c>
      <c r="H19" s="8" t="inlineStr">
        <is>
          <t>4</t>
        </is>
      </c>
      <c r="I19" s="8">
        <f>COUNTIF(Backlog!$B$5:$B$197,$F19)</f>
        <v/>
      </c>
      <c r="J19" s="9">
        <f>SUMIF(Backlog!$B$5:$B$197,$F19,Backlog!$J$5:$J$197)</f>
        <v/>
      </c>
      <c r="K19" s="8">
        <f>COUNTIFS(Backlog!$B$5:$B$197,$F19,Backlog!$E$5:$E$197,"Closed")</f>
        <v/>
      </c>
      <c r="L19" s="10">
        <f>IFERROR($K19/$I19,0)</f>
        <v/>
      </c>
    </row>
    <row r="20">
      <c r="A20" s="16" t="inlineStr">
        <is>
          <t>Business Approved</t>
        </is>
      </c>
      <c r="B20" s="8">
        <f>COUNTIF(Backlog!$E$5:$E$197,$A20)</f>
        <v/>
      </c>
      <c r="C20" s="14">
        <f>IFERROR($B20/COUNTA(Backlog!$A$5:$A$197),0)</f>
        <v/>
      </c>
      <c r="D20" s="9">
        <f>SUMIF(Backlog!$E$5:$E$197,$A20,Backlog!$J$5:$J$197)</f>
        <v/>
      </c>
      <c r="F20" s="7" t="inlineStr">
        <is>
          <t>E14</t>
        </is>
      </c>
      <c r="G20" s="5" t="inlineStr">
        <is>
          <t>RISK ENGINE</t>
        </is>
      </c>
      <c r="H20" s="8" t="inlineStr">
        <is>
          <t>5</t>
        </is>
      </c>
      <c r="I20" s="8">
        <f>COUNTIF(Backlog!$B$5:$B$197,$F20)</f>
        <v/>
      </c>
      <c r="J20" s="9">
        <f>SUMIF(Backlog!$B$5:$B$197,$F20,Backlog!$J$5:$J$197)</f>
        <v/>
      </c>
      <c r="K20" s="8">
        <f>COUNTIFS(Backlog!$B$5:$B$197,$F20,Backlog!$E$5:$E$197,"Closed")</f>
        <v/>
      </c>
      <c r="L20" s="10">
        <f>IFERROR($K20/$I20,0)</f>
        <v/>
      </c>
    </row>
    <row r="21">
      <c r="A21" s="17" t="inlineStr">
        <is>
          <t>Active</t>
        </is>
      </c>
      <c r="B21" s="8">
        <f>COUNTIF(Backlog!$E$5:$E$197,$A21)</f>
        <v/>
      </c>
      <c r="C21" s="14">
        <f>IFERROR($B21/COUNTA(Backlog!$A$5:$A$197),0)</f>
        <v/>
      </c>
      <c r="D21" s="9">
        <f>SUMIF(Backlog!$E$5:$E$197,$A21,Backlog!$J$5:$J$197)</f>
        <v/>
      </c>
      <c r="F21" s="7" t="inlineStr">
        <is>
          <t>E15</t>
        </is>
      </c>
      <c r="G21" s="5" t="inlineStr">
        <is>
          <t>EXECUTION &amp; POSITIONS</t>
        </is>
      </c>
      <c r="H21" s="8" t="inlineStr">
        <is>
          <t>5</t>
        </is>
      </c>
      <c r="I21" s="8">
        <f>COUNTIF(Backlog!$B$5:$B$197,$F21)</f>
        <v/>
      </c>
      <c r="J21" s="9">
        <f>SUMIF(Backlog!$B$5:$B$197,$F21,Backlog!$J$5:$J$197)</f>
        <v/>
      </c>
      <c r="K21" s="8">
        <f>COUNTIFS(Backlog!$B$5:$B$197,$F21,Backlog!$E$5:$E$197,"Closed")</f>
        <v/>
      </c>
      <c r="L21" s="10">
        <f>IFERROR($K21/$I21,0)</f>
        <v/>
      </c>
    </row>
    <row r="22">
      <c r="A22" s="18" t="inlineStr">
        <is>
          <t>Development In-Progress</t>
        </is>
      </c>
      <c r="B22" s="8">
        <f>COUNTIF(Backlog!$E$5:$E$197,$A22)</f>
        <v/>
      </c>
      <c r="C22" s="14">
        <f>IFERROR($B22/COUNTA(Backlog!$A$5:$A$197),0)</f>
        <v/>
      </c>
      <c r="D22" s="9">
        <f>SUMIF(Backlog!$E$5:$E$197,$A22,Backlog!$J$5:$J$197)</f>
        <v/>
      </c>
      <c r="F22" s="7" t="inlineStr">
        <is>
          <t>E16</t>
        </is>
      </c>
      <c r="G22" s="5" t="inlineStr">
        <is>
          <t>AUTONOMY &amp; APPROVAL</t>
        </is>
      </c>
      <c r="H22" s="8" t="inlineStr">
        <is>
          <t>5</t>
        </is>
      </c>
      <c r="I22" s="8">
        <f>COUNTIF(Backlog!$B$5:$B$197,$F22)</f>
        <v/>
      </c>
      <c r="J22" s="9">
        <f>SUMIF(Backlog!$B$5:$B$197,$F22,Backlog!$J$5:$J$197)</f>
        <v/>
      </c>
      <c r="K22" s="8">
        <f>COUNTIFS(Backlog!$B$5:$B$197,$F22,Backlog!$E$5:$E$197,"Closed")</f>
        <v/>
      </c>
      <c r="L22" s="10">
        <f>IFERROR($K22/$I22,0)</f>
        <v/>
      </c>
    </row>
    <row r="23">
      <c r="A23" s="19" t="inlineStr">
        <is>
          <t>Development Completed</t>
        </is>
      </c>
      <c r="B23" s="8">
        <f>COUNTIF(Backlog!$E$5:$E$197,$A23)</f>
        <v/>
      </c>
      <c r="C23" s="14">
        <f>IFERROR($B23/COUNTA(Backlog!$A$5:$A$197),0)</f>
        <v/>
      </c>
      <c r="D23" s="9">
        <f>SUMIF(Backlog!$E$5:$E$197,$A23,Backlog!$J$5:$J$197)</f>
        <v/>
      </c>
      <c r="F23" s="7" t="inlineStr">
        <is>
          <t>E17</t>
        </is>
      </c>
      <c r="G23" s="5" t="inlineStr">
        <is>
          <t>DASHBOARD UI</t>
        </is>
      </c>
      <c r="H23" s="8" t="inlineStr">
        <is>
          <t>4/6</t>
        </is>
      </c>
      <c r="I23" s="8">
        <f>COUNTIF(Backlog!$B$5:$B$197,$F23)</f>
        <v/>
      </c>
      <c r="J23" s="9">
        <f>SUMIF(Backlog!$B$5:$B$197,$F23,Backlog!$J$5:$J$197)</f>
        <v/>
      </c>
      <c r="K23" s="8">
        <f>COUNTIFS(Backlog!$B$5:$B$197,$F23,Backlog!$E$5:$E$197,"Closed")</f>
        <v/>
      </c>
      <c r="L23" s="10">
        <f>IFERROR($K23/$I23,0)</f>
        <v/>
      </c>
    </row>
    <row r="24">
      <c r="A24" s="20" t="inlineStr">
        <is>
          <t>QA In-Progress</t>
        </is>
      </c>
      <c r="B24" s="8">
        <f>COUNTIF(Backlog!$E$5:$E$197,$A24)</f>
        <v/>
      </c>
      <c r="C24" s="14">
        <f>IFERROR($B24/COUNTA(Backlog!$A$5:$A$197),0)</f>
        <v/>
      </c>
      <c r="D24" s="9">
        <f>SUMIF(Backlog!$E$5:$E$197,$A24,Backlog!$J$5:$J$197)</f>
        <v/>
      </c>
      <c r="F24" s="7" t="inlineStr">
        <is>
          <t>E18</t>
        </is>
      </c>
      <c r="G24" s="5" t="inlineStr">
        <is>
          <t>ADMIN UI</t>
        </is>
      </c>
      <c r="H24" s="8" t="inlineStr">
        <is>
          <t>6</t>
        </is>
      </c>
      <c r="I24" s="8">
        <f>COUNTIF(Backlog!$B$5:$B$197,$F24)</f>
        <v/>
      </c>
      <c r="J24" s="9">
        <f>SUMIF(Backlog!$B$5:$B$197,$F24,Backlog!$J$5:$J$197)</f>
        <v/>
      </c>
      <c r="K24" s="8">
        <f>COUNTIFS(Backlog!$B$5:$B$197,$F24,Backlog!$E$5:$E$197,"Closed")</f>
        <v/>
      </c>
      <c r="L24" s="10">
        <f>IFERROR($K24/$I24,0)</f>
        <v/>
      </c>
    </row>
    <row r="25">
      <c r="A25" s="21" t="inlineStr">
        <is>
          <t>QA-Success</t>
        </is>
      </c>
      <c r="B25" s="8">
        <f>COUNTIF(Backlog!$E$5:$E$197,$A25)</f>
        <v/>
      </c>
      <c r="C25" s="14">
        <f>IFERROR($B25/COUNTA(Backlog!$A$5:$A$197),0)</f>
        <v/>
      </c>
      <c r="D25" s="9">
        <f>SUMIF(Backlog!$E$5:$E$197,$A25,Backlog!$J$5:$J$197)</f>
        <v/>
      </c>
      <c r="F25" s="7" t="inlineStr">
        <is>
          <t>E19</t>
        </is>
      </c>
      <c r="G25" s="5" t="inlineStr">
        <is>
          <t>NOTIFICATIONS</t>
        </is>
      </c>
      <c r="H25" s="8" t="inlineStr">
        <is>
          <t>3/4</t>
        </is>
      </c>
      <c r="I25" s="8">
        <f>COUNTIF(Backlog!$B$5:$B$197,$F25)</f>
        <v/>
      </c>
      <c r="J25" s="9">
        <f>SUMIF(Backlog!$B$5:$B$197,$F25,Backlog!$J$5:$J$197)</f>
        <v/>
      </c>
      <c r="K25" s="8">
        <f>COUNTIFS(Backlog!$B$5:$B$197,$F25,Backlog!$E$5:$E$197,"Closed")</f>
        <v/>
      </c>
      <c r="L25" s="10">
        <f>IFERROR($K25/$I25,0)</f>
        <v/>
      </c>
    </row>
    <row r="26">
      <c r="A26" s="22" t="inlineStr">
        <is>
          <t>QA-Fail</t>
        </is>
      </c>
      <c r="B26" s="8">
        <f>COUNTIF(Backlog!$E$5:$E$197,$A26)</f>
        <v/>
      </c>
      <c r="C26" s="14">
        <f>IFERROR($B26/COUNTA(Backlog!$A$5:$A$197),0)</f>
        <v/>
      </c>
      <c r="D26" s="9">
        <f>SUMIF(Backlog!$E$5:$E$197,$A26,Backlog!$J$5:$J$197)</f>
        <v/>
      </c>
      <c r="F26" s="7" t="inlineStr">
        <is>
          <t>E20</t>
        </is>
      </c>
      <c r="G26" s="5" t="inlineStr">
        <is>
          <t>OBSERVABILITY</t>
        </is>
      </c>
      <c r="H26" s="8" t="inlineStr">
        <is>
          <t>6</t>
        </is>
      </c>
      <c r="I26" s="8">
        <f>COUNTIF(Backlog!$B$5:$B$197,$F26)</f>
        <v/>
      </c>
      <c r="J26" s="9">
        <f>SUMIF(Backlog!$B$5:$B$197,$F26,Backlog!$J$5:$J$197)</f>
        <v/>
      </c>
      <c r="K26" s="8">
        <f>COUNTIFS(Backlog!$B$5:$B$197,$F26,Backlog!$E$5:$E$197,"Closed")</f>
        <v/>
      </c>
      <c r="L26" s="10">
        <f>IFERROR($K26/$I26,0)</f>
        <v/>
      </c>
    </row>
    <row r="27">
      <c r="A27" s="23" t="inlineStr">
        <is>
          <t>Closed</t>
        </is>
      </c>
      <c r="B27" s="8">
        <f>COUNTIF(Backlog!$E$5:$E$197,$A27)</f>
        <v/>
      </c>
      <c r="C27" s="14">
        <f>IFERROR($B27/COUNTA(Backlog!$A$5:$A$197),0)</f>
        <v/>
      </c>
      <c r="D27" s="9">
        <f>SUMIF(Backlog!$E$5:$E$197,$A27,Backlog!$J$5:$J$197)</f>
        <v/>
      </c>
      <c r="F27" s="7" t="inlineStr">
        <is>
          <t>E21</t>
        </is>
      </c>
      <c r="G27" s="5" t="inlineStr">
        <is>
          <t>COMPLIANCE &amp; TAX</t>
        </is>
      </c>
      <c r="H27" s="8" t="inlineStr">
        <is>
          <t>6</t>
        </is>
      </c>
      <c r="I27" s="8">
        <f>COUNTIF(Backlog!$B$5:$B$197,$F27)</f>
        <v/>
      </c>
      <c r="J27" s="9">
        <f>SUMIF(Backlog!$B$5:$B$197,$F27,Backlog!$J$5:$J$197)</f>
        <v/>
      </c>
      <c r="K27" s="8">
        <f>COUNTIFS(Backlog!$B$5:$B$197,$F27,Backlog!$E$5:$E$197,"Closed")</f>
        <v/>
      </c>
      <c r="L27" s="10">
        <f>IFERROR($K27/$I27,0)</f>
        <v/>
      </c>
    </row>
    <row r="28">
      <c r="A28" s="24" t="inlineStr">
        <is>
          <t>Removed</t>
        </is>
      </c>
      <c r="B28" s="8">
        <f>COUNTIF(Backlog!$E$5:$E$197,$A28)</f>
        <v/>
      </c>
      <c r="C28" s="14">
        <f>IFERROR($B28/COUNTA(Backlog!$A$5:$A$197),0)</f>
        <v/>
      </c>
      <c r="D28" s="9">
        <f>SUMIF(Backlog!$E$5:$E$197,$A28,Backlog!$J$5:$J$197)</f>
        <v/>
      </c>
      <c r="F28" s="7" t="inlineStr">
        <is>
          <t>E22</t>
        </is>
      </c>
      <c r="G28" s="5" t="inlineStr">
        <is>
          <t>TESTING &amp; VALIDATION</t>
        </is>
      </c>
      <c r="H28" s="8" t="inlineStr">
        <is>
          <t>7</t>
        </is>
      </c>
      <c r="I28" s="8">
        <f>COUNTIF(Backlog!$B$5:$B$197,$F28)</f>
        <v/>
      </c>
      <c r="J28" s="9">
        <f>SUMIF(Backlog!$B$5:$B$197,$F28,Backlog!$J$5:$J$197)</f>
        <v/>
      </c>
      <c r="K28" s="8">
        <f>COUNTIFS(Backlog!$B$5:$B$197,$F28,Backlog!$E$5:$E$197,"Closed")</f>
        <v/>
      </c>
      <c r="L28" s="10">
        <f>IFERROR($K28/$I28,0)</f>
        <v/>
      </c>
    </row>
    <row r="29">
      <c r="A29" s="25" t="inlineStr">
        <is>
          <t>Moved to Backlog</t>
        </is>
      </c>
      <c r="B29" s="8">
        <f>COUNTIF(Backlog!$E$5:$E$197,$A29)</f>
        <v/>
      </c>
      <c r="C29" s="14">
        <f>IFERROR($B29/COUNTA(Backlog!$A$5:$A$197),0)</f>
        <v/>
      </c>
      <c r="D29" s="9">
        <f>SUMIF(Backlog!$E$5:$E$197,$A29,Backlog!$J$5:$J$197)</f>
        <v/>
      </c>
      <c r="F29" s="7" t="inlineStr">
        <is>
          <t>E23</t>
        </is>
      </c>
      <c r="G29" s="5" t="inlineStr">
        <is>
          <t>DEPLOYMENT &amp; OPS</t>
        </is>
      </c>
      <c r="H29" s="8" t="inlineStr">
        <is>
          <t>7/8</t>
        </is>
      </c>
      <c r="I29" s="8">
        <f>COUNTIF(Backlog!$B$5:$B$197,$F29)</f>
        <v/>
      </c>
      <c r="J29" s="9">
        <f>SUMIF(Backlog!$B$5:$B$197,$F29,Backlog!$J$5:$J$197)</f>
        <v/>
      </c>
      <c r="K29" s="8">
        <f>COUNTIFS(Backlog!$B$5:$B$197,$F29,Backlog!$E$5:$E$197,"Closed")</f>
        <v/>
      </c>
      <c r="L29" s="10">
        <f>IFERROR($K29/$I29,0)</f>
        <v/>
      </c>
    </row>
    <row r="30">
      <c r="A30" s="26" t="inlineStr">
        <is>
          <t>Blocked</t>
        </is>
      </c>
      <c r="B30" s="8">
        <f>COUNTIF(Backlog!$E$5:$E$197,$A30)</f>
        <v/>
      </c>
      <c r="C30" s="14">
        <f>IFERROR($B30/COUNTA(Backlog!$A$5:$A$197),0)</f>
        <v/>
      </c>
      <c r="D30" s="9">
        <f>SUMIF(Backlog!$E$5:$E$197,$A30,Backlog!$J$5:$J$197)</f>
        <v/>
      </c>
      <c r="F30" s="7" t="inlineStr">
        <is>
          <t>TOTAL</t>
        </is>
      </c>
      <c r="G30" s="27" t="n"/>
      <c r="H30" s="27" t="n"/>
      <c r="I30" s="28">
        <f>SUM(I6:I29)</f>
        <v/>
      </c>
      <c r="J30" s="11">
        <f>SUM(J6:J29)</f>
        <v/>
      </c>
      <c r="K30" s="28">
        <f>SUM(K6:K29)</f>
        <v/>
      </c>
      <c r="L30" s="29">
        <f>IFERROR(K30/I30,0)</f>
        <v/>
      </c>
    </row>
    <row r="31">
      <c r="A31" s="30" t="inlineStr">
        <is>
          <t>On Hold</t>
        </is>
      </c>
      <c r="B31" s="8">
        <f>COUNTIF(Backlog!$E$5:$E$197,$A31)</f>
        <v/>
      </c>
      <c r="C31" s="14">
        <f>IFERROR($B31/COUNTA(Backlog!$A$5:$A$197),0)</f>
        <v/>
      </c>
      <c r="D31" s="9">
        <f>SUMIF(Backlog!$E$5:$E$197,$A31,Backlog!$J$5:$J$197)</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COUNTIF(Backlog!$F$5:$F$197,$A36)</f>
        <v/>
      </c>
      <c r="C36" s="9">
        <f>SUMIF(Backlog!$F$5:$F$197,$A36,Backlog!$J$5:$J$197)</f>
        <v/>
      </c>
      <c r="D36" s="31">
        <f>COUNTIFS(Backlog!$F$5:$F$197,$A36,Backlog!$E$5:$E$197,"Closed")</f>
        <v/>
      </c>
    </row>
    <row r="37">
      <c r="A37" s="15" t="inlineStr">
        <is>
          <t>P1</t>
        </is>
      </c>
      <c r="B37" s="31">
        <f>COUNTIF(Backlog!$F$5:$F$197,$A37)</f>
        <v/>
      </c>
      <c r="C37" s="9">
        <f>SUMIF(Backlog!$F$5:$F$197,$A37,Backlog!$J$5:$J$197)</f>
        <v/>
      </c>
      <c r="D37" s="31">
        <f>COUNTIFS(Backlog!$F$5:$F$197,$A37,Backlog!$E$5:$E$197,"Closed")</f>
        <v/>
      </c>
    </row>
    <row r="38">
      <c r="A38" s="21" t="inlineStr">
        <is>
          <t>P2</t>
        </is>
      </c>
      <c r="B38" s="31">
        <f>COUNTIF(Backlog!$F$5:$F$197,$A38)</f>
        <v/>
      </c>
      <c r="C38" s="9">
        <f>SUMIF(Backlog!$F$5:$F$197,$A38,Backlog!$J$5:$J$197)</f>
        <v/>
      </c>
      <c r="D38" s="31">
        <f>COUNTIFS(Backlog!$F$5:$F$197,$A38,Backlog!$E$5:$E$197,"Closed")</f>
        <v/>
      </c>
    </row>
    <row r="39">
      <c r="A39" s="32" t="inlineStr">
        <is>
          <t>P3</t>
        </is>
      </c>
      <c r="B39" s="31">
        <f>COUNTIF(Backlog!$F$5:$F$197,$A39)</f>
        <v/>
      </c>
      <c r="C39" s="9">
        <f>SUMIF(Backlog!$F$5:$F$197,$A39,Backlog!$J$5:$J$197)</f>
        <v/>
      </c>
      <c r="D39" s="31">
        <f>COUNTIFS(Backlog!$F$5:$F$197,$A39,Backlog!$E$5:$E$197,"Closed")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COUNTIF(Backlog!$H$5:$H$197,$A43)</f>
        <v/>
      </c>
      <c r="C43" s="9">
        <f>SUMIF(Backlog!$H$5:$H$197,$A43,Backlog!$J$5:$J$197)</f>
        <v/>
      </c>
      <c r="D43" s="31">
        <f>COUNTIFS(Backlog!$H$5:$H$197,$A43,Backlog!$E$5:$E$197,"Closed")</f>
        <v/>
      </c>
    </row>
    <row r="44">
      <c r="A44" s="34" t="inlineStr">
        <is>
          <t>Correctness-critical</t>
        </is>
      </c>
      <c r="B44" s="31">
        <f>COUNTIF(Backlog!$H$5:$H$197,$A44)</f>
        <v/>
      </c>
      <c r="C44" s="9">
        <f>SUMIF(Backlog!$H$5:$H$197,$A44,Backlog!$J$5:$J$197)</f>
        <v/>
      </c>
      <c r="D44" s="31">
        <f>COUNTIFS(Backlog!$H$5:$H$197,$A44,Backlog!$E$5:$E$197,"Closed")</f>
        <v/>
      </c>
    </row>
    <row r="45">
      <c r="A45" s="35" t="inlineStr">
        <is>
          <t>Low</t>
        </is>
      </c>
      <c r="B45" s="31">
        <f>COUNTIF(Backlog!$H$5:$H$197,$A45)</f>
        <v/>
      </c>
      <c r="C45" s="9">
        <f>SUMIF(Backlog!$H$5:$H$197,$A45,Backlog!$J$5:$J$197)</f>
        <v/>
      </c>
      <c r="D45" s="31">
        <f>COUNTIFS(Backlog!$H$5:$H$197,$A45,Backlog!$E$5:$E$197,"Closed")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COUNTIF(Backlog!$I$5:$I$197,$A49)</f>
        <v/>
      </c>
      <c r="C49" s="9">
        <f>SUMIF(Backlog!$I$5:$I$197,$A49,Backlog!$J$5:$J$197)</f>
        <v/>
      </c>
      <c r="D49" s="31">
        <f>COUNTIFS(Backlog!$I$5:$I$197,$A49,Backlog!$E$5:$E$197,"Closed")</f>
        <v/>
      </c>
    </row>
    <row r="50">
      <c r="A50" s="7" t="inlineStr">
        <is>
          <t>INFRA</t>
        </is>
      </c>
      <c r="B50" s="31">
        <f>COUNTIF(Backlog!$I$5:$I$197,$A50)</f>
        <v/>
      </c>
      <c r="C50" s="9">
        <f>SUMIF(Backlog!$I$5:$I$197,$A50,Backlog!$J$5:$J$197)</f>
        <v/>
      </c>
      <c r="D50" s="31">
        <f>COUNTIFS(Backlog!$I$5:$I$197,$A50,Backlog!$E$5:$E$197,"Closed")</f>
        <v/>
      </c>
    </row>
    <row r="51">
      <c r="A51" s="7" t="inlineStr">
        <is>
          <t>SEC</t>
        </is>
      </c>
      <c r="B51" s="31">
        <f>COUNTIF(Backlog!$I$5:$I$197,$A51)</f>
        <v/>
      </c>
      <c r="C51" s="9">
        <f>SUMIF(Backlog!$I$5:$I$197,$A51,Backlog!$J$5:$J$197)</f>
        <v/>
      </c>
      <c r="D51" s="31">
        <f>COUNTIFS(Backlog!$I$5:$I$197,$A51,Backlog!$E$5:$E$197,"Closed")</f>
        <v/>
      </c>
    </row>
    <row r="52">
      <c r="A52" s="7" t="inlineStr">
        <is>
          <t>TEST</t>
        </is>
      </c>
      <c r="B52" s="31">
        <f>COUNTIF(Backlog!$I$5:$I$197,$A52)</f>
        <v/>
      </c>
      <c r="C52" s="9">
        <f>SUMIF(Backlog!$I$5:$I$197,$A52,Backlog!$J$5:$J$197)</f>
        <v/>
      </c>
      <c r="D52" s="31">
        <f>COUNTIFS(Backlog!$I$5:$I$197,$A52,Backlog!$E$5:$E$197,"Closed")</f>
        <v/>
      </c>
    </row>
    <row r="53">
      <c r="A53" s="7" t="inlineStr">
        <is>
          <t>OPS</t>
        </is>
      </c>
      <c r="B53" s="31">
        <f>COUNTIF(Backlog!$I$5:$I$197,$A53)</f>
        <v/>
      </c>
      <c r="C53" s="9">
        <f>SUMIF(Backlog!$I$5:$I$197,$A53,Backlog!$J$5:$J$197)</f>
        <v/>
      </c>
      <c r="D53" s="31">
        <f>COUNTIFS(Backlog!$I$5:$I$197,$A53,Backlog!$E$5:$E$197,"Closed")</f>
        <v/>
      </c>
    </row>
    <row r="54">
      <c r="A54" s="7" t="inlineStr">
        <is>
          <t>DOC</t>
        </is>
      </c>
      <c r="B54" s="31">
        <f>COUNTIF(Backlog!$I$5:$I$197,$A54)</f>
        <v/>
      </c>
      <c r="C54" s="9">
        <f>SUMIF(Backlog!$I$5:$I$197,$A54,Backlog!$J$5:$J$197)</f>
        <v/>
      </c>
      <c r="D54" s="31">
        <f>COUNTIFS(Backlog!$I$5:$I$197,$A54,Backlog!$E$5:$E$197,"Closed")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COUNTIF(Backlog!$E$5:$E$197,$A$61)</f>
        <v/>
      </c>
    </row>
    <row r="62">
      <c r="A62" t="inlineStr">
        <is>
          <t>Business Review</t>
        </is>
      </c>
      <c r="B62">
        <f>COUNTIF(Backlog!$E$5:$E$197,$A$62)</f>
        <v/>
      </c>
    </row>
    <row r="63">
      <c r="A63" t="inlineStr">
        <is>
          <t>Business Approved</t>
        </is>
      </c>
      <c r="B63">
        <f>COUNTIF(Backlog!$E$5:$E$197,$A$63)</f>
        <v/>
      </c>
    </row>
    <row r="64">
      <c r="A64" t="inlineStr">
        <is>
          <t>Active</t>
        </is>
      </c>
      <c r="B64">
        <f>COUNTIF(Backlog!$E$5:$E$197,$A$64)</f>
        <v/>
      </c>
    </row>
    <row r="65">
      <c r="A65" t="inlineStr">
        <is>
          <t>Development In-Progress</t>
        </is>
      </c>
      <c r="B65">
        <f>COUNTIF(Backlog!$E$5:$E$197,$A$65)</f>
        <v/>
      </c>
    </row>
    <row r="66">
      <c r="A66" t="inlineStr">
        <is>
          <t>Development Completed</t>
        </is>
      </c>
      <c r="B66">
        <f>COUNTIF(Backlog!$E$5:$E$197,$A$66)</f>
        <v/>
      </c>
    </row>
    <row r="67">
      <c r="A67" t="inlineStr">
        <is>
          <t>QA In-Progress</t>
        </is>
      </c>
      <c r="B67">
        <f>COUNTIF(Backlog!$E$5:$E$197,$A$67)</f>
        <v/>
      </c>
    </row>
    <row r="68">
      <c r="A68" t="inlineStr">
        <is>
          <t>QA-Success</t>
        </is>
      </c>
      <c r="B68">
        <f>COUNTIF(Backlog!$E$5:$E$197,$A$68)</f>
        <v/>
      </c>
    </row>
    <row r="69">
      <c r="A69" t="inlineStr">
        <is>
          <t>QA-Fail</t>
        </is>
      </c>
      <c r="B69">
        <f>COUNTIF(Backlog!$E$5:$E$197,$A$69)</f>
        <v/>
      </c>
    </row>
    <row r="70">
      <c r="A70" t="inlineStr">
        <is>
          <t>Closed</t>
        </is>
      </c>
      <c r="B70">
        <f>COUNTIF(Backlog!$E$5:$E$197,$A$70)</f>
        <v/>
      </c>
    </row>
    <row r="71">
      <c r="A71" t="inlineStr">
        <is>
          <t>Blocked</t>
        </is>
      </c>
      <c r="B71">
        <f>COUNTIF(Backlog!$E$5:$E$197,$A$71)</f>
        <v/>
      </c>
    </row>
    <row r="72">
      <c r="A72" t="inlineStr">
        <is>
          <t>On Hold</t>
        </is>
      </c>
      <c r="B72">
        <f>COUNTIF(Backlog!$E$5:$E$197,$A$72)</f>
        <v/>
      </c>
    </row>
    <row r="73">
      <c r="A73" t="inlineStr">
        <is>
          <t>Moved to Backlog</t>
        </is>
      </c>
      <c r="B73">
        <f>COUNTIF(Backlog!$E$5:$E$197,$A$73)</f>
        <v/>
      </c>
    </row>
    <row r="75">
      <c r="A75" s="71" t="inlineStr">
        <is>
          <t>Effort by phase (days)</t>
        </is>
      </c>
    </row>
    <row r="76">
      <c r="A76" s="64" t="inlineStr">
        <is>
          <t>Phase</t>
        </is>
      </c>
      <c r="B76" s="64" t="inlineStr">
        <is>
          <t>Closed</t>
        </is>
      </c>
      <c r="C76" s="64" t="inlineStr">
        <is>
          <t>Remaining</t>
        </is>
      </c>
    </row>
    <row r="77">
      <c r="A77" t="inlineStr">
        <is>
          <t>0</t>
        </is>
      </c>
      <c r="B77">
        <f>SUMIFS(Backlog!$J$5:$J$197,Backlog!$G$5:$G$197,$A$77,Backlog!$E$5:$E$197,"Closed")</f>
        <v/>
      </c>
      <c r="C77">
        <f>SUMIF(Backlog!$G$5:$G$197,$A$77,Backlog!$J$5:$J$197)-$B$77</f>
        <v/>
      </c>
    </row>
    <row r="78">
      <c r="A78" t="inlineStr">
        <is>
          <t>1</t>
        </is>
      </c>
      <c r="B78">
        <f>SUMIFS(Backlog!$J$5:$J$197,Backlog!$G$5:$G$197,$A$78,Backlog!$E$5:$E$197,"Closed")</f>
        <v/>
      </c>
      <c r="C78">
        <f>SUMIF(Backlog!$G$5:$G$197,$A$78,Backlog!$J$5:$J$197)-$B$78</f>
        <v/>
      </c>
    </row>
    <row r="79">
      <c r="A79" t="inlineStr">
        <is>
          <t>2</t>
        </is>
      </c>
      <c r="B79">
        <f>SUMIFS(Backlog!$J$5:$J$197,Backlog!$G$5:$G$197,$A$79,Backlog!$E$5:$E$197,"Closed")</f>
        <v/>
      </c>
      <c r="C79">
        <f>SUMIF(Backlog!$G$5:$G$197,$A$79,Backlog!$J$5:$J$197)-$B$79</f>
        <v/>
      </c>
    </row>
    <row r="80">
      <c r="A80" t="inlineStr">
        <is>
          <t>3</t>
        </is>
      </c>
      <c r="B80">
        <f>SUMIFS(Backlog!$J$5:$J$197,Backlog!$G$5:$G$197,$A$80,Backlog!$E$5:$E$197,"Closed")</f>
        <v/>
      </c>
      <c r="C80">
        <f>SUMIF(Backlog!$G$5:$G$197,$A$80,Backlog!$J$5:$J$197)-$B$80</f>
        <v/>
      </c>
    </row>
    <row r="81">
      <c r="A81" t="inlineStr">
        <is>
          <t>4</t>
        </is>
      </c>
      <c r="B81">
        <f>SUMIFS(Backlog!$J$5:$J$197,Backlog!$G$5:$G$197,$A$81,Backlog!$E$5:$E$197,"Closed")</f>
        <v/>
      </c>
      <c r="C81">
        <f>SUMIF(Backlog!$G$5:$G$197,$A$81,Backlog!$J$5:$J$197)-$B$81</f>
        <v/>
      </c>
    </row>
    <row r="82">
      <c r="A82" t="inlineStr">
        <is>
          <t>5</t>
        </is>
      </c>
      <c r="B82">
        <f>SUMIFS(Backlog!$J$5:$J$197,Backlog!$G$5:$G$197,$A$82,Backlog!$E$5:$E$197,"Closed")</f>
        <v/>
      </c>
      <c r="C82">
        <f>SUMIF(Backlog!$G$5:$G$197,$A$82,Backlog!$J$5:$J$197)-$B$82</f>
        <v/>
      </c>
    </row>
    <row r="83">
      <c r="A83" t="inlineStr">
        <is>
          <t>6</t>
        </is>
      </c>
      <c r="B83">
        <f>SUMIFS(Backlog!$J$5:$J$197,Backlog!$G$5:$G$197,$A$83,Backlog!$E$5:$E$197,"Closed")</f>
        <v/>
      </c>
      <c r="C83">
        <f>SUMIF(Backlog!$G$5:$G$197,$A$83,Backlog!$J$5:$J$197)-$B$83</f>
        <v/>
      </c>
    </row>
    <row r="84">
      <c r="A84" t="inlineStr">
        <is>
          <t>7</t>
        </is>
      </c>
      <c r="B84">
        <f>SUMIFS(Backlog!$J$5:$J$197,Backlog!$G$5:$G$197,$A$84,Backlog!$E$5:$E$197,"Closed")</f>
        <v/>
      </c>
      <c r="C84">
        <f>SUMIF(Backlog!$G$5:$G$197,$A$84,Backlog!$J$5:$J$197)-$B$84</f>
        <v/>
      </c>
    </row>
    <row r="85">
      <c r="A85" t="inlineStr">
        <is>
          <t>8</t>
        </is>
      </c>
      <c r="B85">
        <f>SUMIFS(Backlog!$J$5:$J$197,Backlog!$G$5:$G$197,$A$85,Backlog!$E$5:$E$197,"Closed")</f>
        <v/>
      </c>
      <c r="C85">
        <f>SUMIF(Backlog!$G$5:$G$197,$A$85,Backlog!$J$5:$J$197)-$B$85</f>
        <v/>
      </c>
    </row>
    <row r="87">
      <c r="A87" s="71" t="inlineStr">
        <is>
          <t>Epic completion</t>
        </is>
      </c>
    </row>
    <row r="88">
      <c r="A88" s="64" t="inlineStr">
        <is>
          <t>Epic</t>
        </is>
      </c>
      <c r="B88" s="64" t="inlineStr">
        <is>
          <t>% complete</t>
        </is>
      </c>
    </row>
    <row r="89">
      <c r="A89">
        <f>$F$6</f>
        <v/>
      </c>
      <c r="B89" s="73">
        <f>IFERROR(SUMIFS(Backlog!$J$5:$J$197,Backlog!$B$5:$B$197,$A$89,Backlog!$E$5:$E$197,"Closed")/SUMIF(Backlog!$B$5:$B$197,$A$89,Backlog!$J$5:$J$197),0)</f>
        <v/>
      </c>
    </row>
    <row r="90">
      <c r="A90">
        <f>$F$7</f>
        <v/>
      </c>
      <c r="B90" s="73">
        <f>IFERROR(SUMIFS(Backlog!$J$5:$J$197,Backlog!$B$5:$B$197,$A$90,Backlog!$E$5:$E$197,"Closed")/SUMIF(Backlog!$B$5:$B$197,$A$90,Backlog!$J$5:$J$197),0)</f>
        <v/>
      </c>
    </row>
    <row r="91">
      <c r="A91">
        <f>$F$8</f>
        <v/>
      </c>
      <c r="B91" s="73">
        <f>IFERROR(SUMIFS(Backlog!$J$5:$J$197,Backlog!$B$5:$B$197,$A$91,Backlog!$E$5:$E$197,"Closed")/SUMIF(Backlog!$B$5:$B$197,$A$91,Backlog!$J$5:$J$197),0)</f>
        <v/>
      </c>
    </row>
    <row r="92">
      <c r="A92">
        <f>$F$9</f>
        <v/>
      </c>
      <c r="B92" s="73">
        <f>IFERROR(SUMIFS(Backlog!$J$5:$J$197,Backlog!$B$5:$B$197,$A$92,Backlog!$E$5:$E$197,"Closed")/SUMIF(Backlog!$B$5:$B$197,$A$92,Backlog!$J$5:$J$197),0)</f>
        <v/>
      </c>
    </row>
    <row r="93">
      <c r="A93">
        <f>$F$10</f>
        <v/>
      </c>
      <c r="B93" s="73">
        <f>IFERROR(SUMIFS(Backlog!$J$5:$J$197,Backlog!$B$5:$B$197,$A$93,Backlog!$E$5:$E$197,"Closed")/SUMIF(Backlog!$B$5:$B$197,$A$93,Backlog!$J$5:$J$197),0)</f>
        <v/>
      </c>
    </row>
    <row r="94">
      <c r="A94">
        <f>$F$11</f>
        <v/>
      </c>
      <c r="B94" s="73">
        <f>IFERROR(SUMIFS(Backlog!$J$5:$J$197,Backlog!$B$5:$B$197,$A$94,Backlog!$E$5:$E$197,"Closed")/SUMIF(Backlog!$B$5:$B$197,$A$94,Backlog!$J$5:$J$197),0)</f>
        <v/>
      </c>
    </row>
    <row r="95">
      <c r="A95">
        <f>$F$12</f>
        <v/>
      </c>
      <c r="B95" s="73">
        <f>IFERROR(SUMIFS(Backlog!$J$5:$J$197,Backlog!$B$5:$B$197,$A$95,Backlog!$E$5:$E$197,"Closed")/SUMIF(Backlog!$B$5:$B$197,$A$95,Backlog!$J$5:$J$197),0)</f>
        <v/>
      </c>
    </row>
    <row r="96">
      <c r="A96">
        <f>$F$13</f>
        <v/>
      </c>
      <c r="B96" s="73">
        <f>IFERROR(SUMIFS(Backlog!$J$5:$J$197,Backlog!$B$5:$B$197,$A$96,Backlog!$E$5:$E$197,"Closed")/SUMIF(Backlog!$B$5:$B$197,$A$96,Backlog!$J$5:$J$197),0)</f>
        <v/>
      </c>
    </row>
    <row r="97">
      <c r="A97">
        <f>$F$14</f>
        <v/>
      </c>
      <c r="B97" s="73">
        <f>IFERROR(SUMIFS(Backlog!$J$5:$J$197,Backlog!$B$5:$B$197,$A$97,Backlog!$E$5:$E$197,"Closed")/SUMIF(Backlog!$B$5:$B$197,$A$97,Backlog!$J$5:$J$197),0)</f>
        <v/>
      </c>
    </row>
    <row r="98">
      <c r="A98">
        <f>$F$15</f>
        <v/>
      </c>
      <c r="B98" s="73">
        <f>IFERROR(SUMIFS(Backlog!$J$5:$J$197,Backlog!$B$5:$B$197,$A$98,Backlog!$E$5:$E$197,"Closed")/SUMIF(Backlog!$B$5:$B$197,$A$98,Backlog!$J$5:$J$197),0)</f>
        <v/>
      </c>
    </row>
    <row r="99">
      <c r="A99">
        <f>$F$16</f>
        <v/>
      </c>
      <c r="B99" s="73">
        <f>IFERROR(SUMIFS(Backlog!$J$5:$J$197,Backlog!$B$5:$B$197,$A$99,Backlog!$E$5:$E$197,"Closed")/SUMIF(Backlog!$B$5:$B$197,$A$99,Backlog!$J$5:$J$197),0)</f>
        <v/>
      </c>
    </row>
    <row r="100">
      <c r="A100">
        <f>$F$17</f>
        <v/>
      </c>
      <c r="B100" s="73">
        <f>IFERROR(SUMIFS(Backlog!$J$5:$J$197,Backlog!$B$5:$B$197,$A$100,Backlog!$E$5:$E$197,"Closed")/SUMIF(Backlog!$B$5:$B$197,$A$100,Backlog!$J$5:$J$197),0)</f>
        <v/>
      </c>
    </row>
    <row r="101">
      <c r="A101">
        <f>$F$18</f>
        <v/>
      </c>
      <c r="B101" s="73">
        <f>IFERROR(SUMIFS(Backlog!$J$5:$J$197,Backlog!$B$5:$B$197,$A$101,Backlog!$E$5:$E$197,"Closed")/SUMIF(Backlog!$B$5:$B$197,$A$101,Backlog!$J$5:$J$197),0)</f>
        <v/>
      </c>
    </row>
    <row r="102">
      <c r="A102">
        <f>$F$19</f>
        <v/>
      </c>
      <c r="B102" s="73">
        <f>IFERROR(SUMIFS(Backlog!$J$5:$J$197,Backlog!$B$5:$B$197,$A$102,Backlog!$E$5:$E$197,"Closed")/SUMIF(Backlog!$B$5:$B$197,$A$102,Backlog!$J$5:$J$197),0)</f>
        <v/>
      </c>
    </row>
    <row r="103">
      <c r="A103">
        <f>$F$20</f>
        <v/>
      </c>
      <c r="B103" s="73">
        <f>IFERROR(SUMIFS(Backlog!$J$5:$J$197,Backlog!$B$5:$B$197,$A$103,Backlog!$E$5:$E$197,"Closed")/SUMIF(Backlog!$B$5:$B$197,$A$103,Backlog!$J$5:$J$197),0)</f>
        <v/>
      </c>
    </row>
    <row r="104">
      <c r="A104">
        <f>$F$21</f>
        <v/>
      </c>
      <c r="B104" s="73">
        <f>IFERROR(SUMIFS(Backlog!$J$5:$J$197,Backlog!$B$5:$B$197,$A$104,Backlog!$E$5:$E$197,"Closed")/SUMIF(Backlog!$B$5:$B$197,$A$104,Backlog!$J$5:$J$197),0)</f>
        <v/>
      </c>
    </row>
    <row r="105">
      <c r="A105">
        <f>$F$22</f>
        <v/>
      </c>
      <c r="B105" s="73">
        <f>IFERROR(SUMIFS(Backlog!$J$5:$J$197,Backlog!$B$5:$B$197,$A$105,Backlog!$E$5:$E$197,"Closed")/SUMIF(Backlog!$B$5:$B$197,$A$105,Backlog!$J$5:$J$197),0)</f>
        <v/>
      </c>
    </row>
    <row r="106">
      <c r="A106">
        <f>$F$23</f>
        <v/>
      </c>
      <c r="B106" s="73">
        <f>IFERROR(SUMIFS(Backlog!$J$5:$J$197,Backlog!$B$5:$B$197,$A$106,Backlog!$E$5:$E$197,"Closed")/SUMIF(Backlog!$B$5:$B$197,$A$106,Backlog!$J$5:$J$197),0)</f>
        <v/>
      </c>
    </row>
    <row r="107">
      <c r="A107">
        <f>$F$24</f>
        <v/>
      </c>
      <c r="B107" s="73">
        <f>IFERROR(SUMIFS(Backlog!$J$5:$J$197,Backlog!$B$5:$B$197,$A$107,Backlog!$E$5:$E$197,"Closed")/SUMIF(Backlog!$B$5:$B$197,$A$107,Backlog!$J$5:$J$197),0)</f>
        <v/>
      </c>
    </row>
    <row r="108">
      <c r="A108">
        <f>$F$25</f>
        <v/>
      </c>
      <c r="B108" s="73">
        <f>IFERROR(SUMIFS(Backlog!$J$5:$J$197,Backlog!$B$5:$B$197,$A$108,Backlog!$E$5:$E$197,"Closed")/SUMIF(Backlog!$B$5:$B$197,$A$108,Backlog!$J$5:$J$197),0)</f>
        <v/>
      </c>
    </row>
    <row r="109">
      <c r="A109">
        <f>$F$26</f>
        <v/>
      </c>
      <c r="B109" s="73">
        <f>IFERROR(SUMIFS(Backlog!$J$5:$J$197,Backlog!$B$5:$B$197,$A$109,Backlog!$E$5:$E$197,"Closed")/SUMIF(Backlog!$B$5:$B$197,$A$109,Backlog!$J$5:$J$197),0)</f>
        <v/>
      </c>
    </row>
    <row r="110">
      <c r="A110">
        <f>$F$27</f>
        <v/>
      </c>
      <c r="B110" s="73">
        <f>IFERROR(SUMIFS(Backlog!$J$5:$J$197,Backlog!$B$5:$B$197,$A$110,Backlog!$E$5:$E$197,"Closed")/SUMIF(Backlog!$B$5:$B$197,$A$110,Backlog!$J$5:$J$197),0)</f>
        <v/>
      </c>
    </row>
    <row r="111">
      <c r="A111">
        <f>$F$28</f>
        <v/>
      </c>
      <c r="B111" s="73">
        <f>IFERROR(SUMIFS(Backlog!$J$5:$J$197,Backlog!$B$5:$B$197,$A$111,Backlog!$E$5:$E$197,"Closed")/SUMIF(Backlog!$B$5:$B$197,$A$111,Backlog!$J$5:$J$197),0)</f>
        <v/>
      </c>
    </row>
    <row r="112">
      <c r="A112">
        <f>$F$29</f>
        <v/>
      </c>
      <c r="B112" s="73">
        <f>IFERROR(SUMIFS(Backlog!$J$5:$J$197,Backlog!$B$5:$B$197,$A$112,Backlog!$E$5:$E$197,"Closed")/SUMIF(Backlog!$B$5:$B$197,$A$112,Backlog!$J$5:$J$197),0)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197"/>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In-Progress</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0.8</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and the login-URL builder are built and tested (38 security tests). SECURITY CHANGE from the original tasks: the re-auth notice carries NO login link. ReauthNotice has no url/link field at all, so the phishing reflex cannot be re-introduced by a future edit - a test asserts the absence. Remaining 20%: the request_token -&gt; access_token HTTP exchange needs live credentials to verify end to end, and the callback endpoint belongs with E17-S01's dashboard (see the E17-S01 concern about localhost vs phone access - same network decision).</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In-Progress</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Development Completed</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Development Completed</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client_order_id is 8-64 chars, but the only carrier the broker offers is Kite's `tag` parameter, which is length-limited (verify the current limit in the developer console — historically 20 chars). If the tag cannot hold the full id, E15-S02's recovery path 'query by client_order_id' cannot round-trip and the idempotency guarantee is decorative. Decide the truncation or mapping scheme HERE, not in E15.</t>
        </is>
      </c>
    </row>
    <row r="27" ht="30" customHeight="1" s="59">
      <c r="A27" s="38" t="inlineStr">
        <is>
          <t>E02-S05</t>
        </is>
      </c>
      <c r="B27" s="39" t="inlineStr">
        <is>
          <t>E02</t>
        </is>
      </c>
      <c r="C27" s="40" t="inlineStr">
        <is>
          <t>BROKER INTEGRATION</t>
        </is>
      </c>
      <c r="D27" s="40" t="inlineStr">
        <is>
          <t>Order rate limiting</t>
        </is>
      </c>
      <c r="E27" s="40" t="inlineStr">
        <is>
          <t>Development Completed</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Zerodha's 10/sec is enforced ACCOUNT-WIDE, not per app or per connection. A Redis bucket covers this system's processes but not orders you place manually in the Kite app at the same time. Running at 3/sec leaves headroom, but either accept that or document that manual trading during a session is prohibited.</t>
        </is>
      </c>
    </row>
    <row r="28" ht="30" customHeight="1" s="59">
      <c r="A28" s="38" t="inlineStr">
        <is>
          <t>E02-S06</t>
        </is>
      </c>
      <c r="B28" s="39" t="inlineStr">
        <is>
          <t>E02</t>
        </is>
      </c>
      <c r="C28" s="40" t="inlineStr">
        <is>
          <t>BROKER INTEGRATION</t>
        </is>
      </c>
      <c r="D28" s="40" t="inlineStr">
        <is>
          <t>Instrument master synchronisation</t>
        </is>
      </c>
      <c r="E28" s="40" t="inlineStr">
        <is>
          <t>Development Completed</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Tick rounding direction is not neutral. Rounding a BUY limit up and a SELL limit down crosses the spread and pays it; rounding both the same way biases fills systematically. Specify direction per side and prove it against a real instrument with a non-0.05 tick.</t>
        </is>
      </c>
    </row>
    <row r="29" ht="30" customHeight="1" s="59">
      <c r="A29" s="38" t="inlineStr">
        <is>
          <t>E02-S07</t>
        </is>
      </c>
      <c r="B29" s="39" t="inlineStr">
        <is>
          <t>E02</t>
        </is>
      </c>
      <c r="C29" s="40" t="inlineStr">
        <is>
          <t>BROKER INTEGRATION</t>
        </is>
      </c>
      <c r="D29" s="40" t="inlineStr">
        <is>
          <t>Live margin retrieval</t>
        </is>
      </c>
      <c r="E29" s="40" t="inlineStr">
        <is>
          <t>Development Completed</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Caching margin then sizing on it is a time-of-check/time-of-use gap — margin can fall between the fetch and the order, especially right after another fill. A staleness guard bounds AGE but not CHANGE. Re-verify immediately before submission for the first position of the day and after any fill.</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Development Completed</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The unmapped-error path is the one that matters. A new Kite error code arriving mid-session must fail closed — treat as ambiguous, query by id, never retry — rather than falling through to a generic retry. 'Log loudly' is not a behaviour; specify the default disposition for unknown codes.</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In-Progress</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Three constraints collide. Kite's historical endpoint is rate-limited, caps the date range per request by interval, and is a PAID add-on — so this cannot start until blocker B4 is resolved and the subscription exists. Also, a multi-hour backfill during market hours competes with live data against the same account-wide limit.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New</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n"/>
      <c r="W45" s="49" t="n"/>
      <c r="X45" s="75" t="inlineStr">
        <is>
          <t>KiteTicker is Twisted/autobahn-based and thread-oriented, not asyncio-native, so the bridge needs a deliberate boundary. autobahn is also the component carrying CVE-2020-35678 (blocker B7). Separately: Kite caps concurrent WebSocket connections (3) and instruments per connection. A 200-symbol universe fits, but the reconnect path must not leak connections or you hit the cap after a few reconnects and the feed dies for good.</t>
        </is>
      </c>
    </row>
    <row r="46" ht="30" customHeight="1" s="59">
      <c r="A46" s="38" t="inlineStr">
        <is>
          <t>E05-S02</t>
        </is>
      </c>
      <c r="B46" s="39" t="inlineStr">
        <is>
          <t>E05</t>
        </is>
      </c>
      <c r="C46" s="40" t="inlineStr">
        <is>
          <t>MARKET DATA INGESTION</t>
        </is>
      </c>
      <c r="D46" s="40" t="inlineStr">
        <is>
          <t>Tick validation</t>
        </is>
      </c>
      <c r="E46" s="40" t="inlineStr">
        <is>
          <t>New</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n"/>
      <c r="W46" s="49" t="n"/>
    </row>
    <row r="47" ht="30" customHeight="1" s="59">
      <c r="A47" s="38" t="inlineStr">
        <is>
          <t>E05-S03</t>
        </is>
      </c>
      <c r="B47" s="39" t="inlineStr">
        <is>
          <t>E05</t>
        </is>
      </c>
      <c r="C47" s="40" t="inlineStr">
        <is>
          <t>MARKET DATA INGESTION</t>
        </is>
      </c>
      <c r="D47" s="40" t="inlineStr">
        <is>
          <t>Deduplication</t>
        </is>
      </c>
      <c r="E47" s="40" t="inlineStr">
        <is>
          <t>New</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n"/>
      <c r="W47" s="49" t="n"/>
    </row>
    <row r="48" ht="30" customHeight="1" s="59">
      <c r="A48" s="38" t="inlineStr">
        <is>
          <t>E05-S04</t>
        </is>
      </c>
      <c r="B48" s="39" t="inlineStr">
        <is>
          <t>E05</t>
        </is>
      </c>
      <c r="C48" s="40" t="inlineStr">
        <is>
          <t>MARKET DATA INGESTION</t>
        </is>
      </c>
      <c r="D48" s="40" t="inlineStr">
        <is>
          <t>Outlier filtering</t>
        </is>
      </c>
      <c r="E48" s="40" t="inlineStr">
        <is>
          <t>New</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n"/>
      <c r="W48" s="49" t="n"/>
      <c r="X48" s="75" t="inlineStr">
        <is>
          <t>The filter is max(5 x ATR%, 2%) — but ATR comes from the indicator engine, which is NOT ready at session start. At 09:15, exactly when prints are most erratic, the ATR term is unavailable. Define cold-start behaviour explicitly: the 2% floor must apply on its own until ATR is ready, and must not silently evaluate to 'no limit'.</t>
        </is>
      </c>
    </row>
    <row r="49" ht="30" customHeight="1" s="59">
      <c r="A49" s="38" t="inlineStr">
        <is>
          <t>E05-S05</t>
        </is>
      </c>
      <c r="B49" s="39" t="inlineStr">
        <is>
          <t>E05</t>
        </is>
      </c>
      <c r="C49" s="40" t="inlineStr">
        <is>
          <t>MARKET DATA INGESTION</t>
        </is>
      </c>
      <c r="D49" s="40" t="inlineStr">
        <is>
          <t>Normalisation</t>
        </is>
      </c>
      <c r="E49" s="40" t="inlineStr">
        <is>
          <t>New</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n"/>
      <c r="W49" s="49" t="n"/>
    </row>
    <row r="50" ht="30" customHeight="1" s="59">
      <c r="A50" s="38" t="inlineStr">
        <is>
          <t>E05-S06</t>
        </is>
      </c>
      <c r="B50" s="39" t="inlineStr">
        <is>
          <t>E05</t>
        </is>
      </c>
      <c r="C50" s="40" t="inlineStr">
        <is>
          <t>MARKET DATA INGESTION</t>
        </is>
      </c>
      <c r="D50" s="40" t="inlineStr">
        <is>
          <t>Bar builder with session alignment</t>
        </is>
      </c>
      <c r="E50" s="40" t="inlineStr">
        <is>
          <t>New</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n"/>
      <c r="W50" s="49" t="n"/>
      <c r="X50" s="75" t="inlineStr">
        <is>
          <t>Cascading 1m-&gt;5m-&gt;15m-&gt;1h means one bad 1m bar propagates silently into every higher timeframe with no independent check. Also the CAS window (15:15-15:30 for CAS stocks) is a call auction, not continuous trading — bars built from it are not comparable to intraday bars and should be flagged or excluded.</t>
        </is>
      </c>
    </row>
    <row r="51" ht="30" customHeight="1" s="59">
      <c r="A51" s="38" t="inlineStr">
        <is>
          <t>E05-S07</t>
        </is>
      </c>
      <c r="B51" s="39" t="inlineStr">
        <is>
          <t>E05</t>
        </is>
      </c>
      <c r="C51" s="40" t="inlineStr">
        <is>
          <t>MARKET DATA INGESTION</t>
        </is>
      </c>
      <c r="D51" s="40" t="inlineStr">
        <is>
          <t>Synthetic bar handling</t>
        </is>
      </c>
      <c r="E51" s="40" t="inlineStr">
        <is>
          <t>New</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n"/>
      <c r="W51" s="49" t="n"/>
    </row>
    <row r="52" ht="30" customHeight="1" s="59">
      <c r="A52" s="38" t="inlineStr">
        <is>
          <t>E05-S08</t>
        </is>
      </c>
      <c r="B52" s="39" t="inlineStr">
        <is>
          <t>E05</t>
        </is>
      </c>
      <c r="C52" s="40" t="inlineStr">
        <is>
          <t>MARKET DATA INGESTION</t>
        </is>
      </c>
      <c r="D52" s="40" t="inlineStr">
        <is>
          <t>Quote state publishing</t>
        </is>
      </c>
      <c r="E52" s="40" t="inlineStr">
        <is>
          <t>New</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n"/>
      <c r="W52" s="49" t="n"/>
    </row>
    <row r="53" ht="30" customHeight="1" s="59">
      <c r="A53" s="38" t="inlineStr">
        <is>
          <t>E06-S01</t>
        </is>
      </c>
      <c r="B53" s="39" t="inlineStr">
        <is>
          <t>E06</t>
        </is>
      </c>
      <c r="C53" s="40" t="inlineStr">
        <is>
          <t>TECHNICAL ANALYSIS ENGINE</t>
        </is>
      </c>
      <c r="D53" s="40" t="inlineStr">
        <is>
          <t>Incremental indicator framework</t>
        </is>
      </c>
      <c r="E53" s="40" t="inlineStr">
        <is>
          <t>New</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n"/>
      <c r="W53" s="49" t="n"/>
      <c r="X53" s="75" t="inlineStr">
        <is>
          <t>'Incremental matches batch to 4dp' is only well-defined once the SEEDING convention is fixed. TA-Lib's EMA seeds from an SMA of the first N periods; a naive streaming EMA seeds from the first value, and the two never converge exactly. Pick one, document it, and make warm-up AND state-restore use the same one — otherwise a restart silently changes indicator values, and therefore signals.</t>
        </is>
      </c>
    </row>
    <row r="54" ht="30" customHeight="1" s="59">
      <c r="A54" s="38" t="inlineStr">
        <is>
          <t>E06-S02</t>
        </is>
      </c>
      <c r="B54" s="39" t="inlineStr">
        <is>
          <t>E06</t>
        </is>
      </c>
      <c r="C54" s="40" t="inlineStr">
        <is>
          <t>TECHNICAL ANALYSIS ENGINE</t>
        </is>
      </c>
      <c r="D54" s="40" t="inlineStr">
        <is>
          <t>Core indicator implementations</t>
        </is>
      </c>
      <c r="E54" s="40" t="inlineStr">
        <is>
          <t>New</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n"/>
      <c r="W54" s="49" t="n"/>
    </row>
    <row r="55" ht="30" customHeight="1" s="59">
      <c r="A55" s="38" t="inlineStr">
        <is>
          <t>E06-S03</t>
        </is>
      </c>
      <c r="B55" s="39" t="inlineStr">
        <is>
          <t>E06</t>
        </is>
      </c>
      <c r="C55" s="40" t="inlineStr">
        <is>
          <t>TECHNICAL ANALYSIS ENGINE</t>
        </is>
      </c>
      <c r="D55" s="40" t="inlineStr">
        <is>
          <t>Warm-up orchestration</t>
        </is>
      </c>
      <c r="E55" s="40" t="inlineStr">
        <is>
          <t>New</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n"/>
      <c r="W55" s="49" t="n"/>
      <c r="X55" s="75" t="inlineStr">
        <is>
          <t>Restoring indicator state from Redis must produce identical values to a full re-warm from history. If they differ, a mid-session restart changes signals with nothing visible to show for it. Test that specifically: warm from history, snapshot, restore, compare — do not assume.</t>
        </is>
      </c>
    </row>
    <row r="56" ht="30" customHeight="1" s="59">
      <c r="A56" s="38" t="inlineStr">
        <is>
          <t>E06-S04</t>
        </is>
      </c>
      <c r="B56" s="39" t="inlineStr">
        <is>
          <t>E06</t>
        </is>
      </c>
      <c r="C56" s="40" t="inlineStr">
        <is>
          <t>TECHNICAL ANALYSIS ENGINE</t>
        </is>
      </c>
      <c r="D56" s="40" t="inlineStr">
        <is>
          <t>Multi-timeframe snapshot assembly</t>
        </is>
      </c>
      <c r="E56" s="40" t="inlineStr">
        <is>
          <t>New</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c r="R56" s="39" t="n">
        <v>3</v>
      </c>
      <c r="S56" s="48" t="n"/>
      <c r="T56" s="48" t="inlineStr">
        <is>
          <t>1. Assemble `MultiTimeframeSnapshot` from per-timeframe state
2. `all_ready` gate
3. Publish to Redis for `signal-engine` to read without IPC</t>
        </is>
      </c>
      <c r="U56" s="48" t="n"/>
      <c r="V56" s="48" t="n"/>
      <c r="W56" s="49" t="n"/>
    </row>
    <row r="57" ht="30" customHeight="1" s="59">
      <c r="A57" s="38" t="inlineStr">
        <is>
          <t>E06-S05</t>
        </is>
      </c>
      <c r="B57" s="39" t="inlineStr">
        <is>
          <t>E06</t>
        </is>
      </c>
      <c r="C57" s="40" t="inlineStr">
        <is>
          <t>TECHNICAL ANALYSIS ENGINE</t>
        </is>
      </c>
      <c r="D57" s="40" t="inlineStr">
        <is>
          <t>Support/resistance and pivot detection</t>
        </is>
      </c>
      <c r="E57" s="40" t="inlineStr">
        <is>
          <t>New</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n"/>
      <c r="W57" s="49" t="n"/>
    </row>
    <row r="58" ht="30" customHeight="1" s="59">
      <c r="A58" s="38" t="inlineStr">
        <is>
          <t>E06-S06</t>
        </is>
      </c>
      <c r="B58" s="39" t="inlineStr">
        <is>
          <t>E06</t>
        </is>
      </c>
      <c r="C58" s="40" t="inlineStr">
        <is>
          <t>TECHNICAL ANALYSIS ENGINE</t>
        </is>
      </c>
      <c r="D58" s="40" t="inlineStr">
        <is>
          <t>Opening range computation</t>
        </is>
      </c>
      <c r="E58" s="40" t="inlineStr">
        <is>
          <t>New</t>
        </is>
      </c>
      <c r="F58" s="41" t="inlineStr">
        <is>
          <t>P0</t>
        </is>
      </c>
      <c r="G58" s="39" t="inlineStr">
        <is>
          <t>2</t>
        </is>
      </c>
      <c r="H58" s="51" t="inlineStr">
        <is>
          <t>Safety-critical</t>
        </is>
      </c>
      <c r="I58" s="39" t="inlineStr">
        <is>
          <t>FEAT</t>
        </is>
      </c>
      <c r="J58" s="43" t="n">
        <v>1</v>
      </c>
      <c r="K58" s="40" t="inlineStr">
        <is>
          <t>E06-S02</t>
        </is>
      </c>
      <c r="L58" s="40" t="n"/>
      <c r="M58" s="44" t="n"/>
      <c r="N58" s="45" t="n"/>
      <c r="O58" s="46" t="n"/>
      <c r="P58" s="46" t="n"/>
      <c r="Q58" s="47" t="n"/>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n"/>
      <c r="W58" s="49" t="n"/>
      <c r="X58" s="75" t="inlineStr">
        <is>
          <t>'Sealed at 09:30 and never mutates' needs an explicit rule for a late tick whose exchange timestamp falls inside the window but which ARRIVES after the seal. Drop it, or the range mutates and every level derived from it shifts underneath positions already sized against it.</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n"/>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Flags, triangles, double tops/bottoms; TA-Lib candlestick recognition.</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30" customHeight="1" s="59">
      <c r="A118" s="38" t="inlineStr">
        <is>
          <t>E14-S01</t>
        </is>
      </c>
      <c r="B118" s="39" t="inlineStr">
        <is>
          <t>E14</t>
        </is>
      </c>
      <c r="C118" s="40" t="inlineStr">
        <is>
          <t>RISK ENGINE</t>
        </is>
      </c>
      <c r="D118" s="40" t="inlineStr">
        <is>
          <t>Risk check framework</t>
        </is>
      </c>
      <c r="E118" s="40" t="inlineStr">
        <is>
          <t>New</t>
        </is>
      </c>
      <c r="F118" s="41" t="inlineStr">
        <is>
          <t>P0</t>
        </is>
      </c>
      <c r="G118" s="39" t="inlineStr">
        <is>
          <t>5</t>
        </is>
      </c>
      <c r="H118" s="51" t="inlineStr">
        <is>
          <t>Safety-critical</t>
        </is>
      </c>
      <c r="I118" s="39" t="inlineStr">
        <is>
          <t>FEAT</t>
        </is>
      </c>
      <c r="J118" s="43" t="n">
        <v>1.5</v>
      </c>
      <c r="K118" s="40" t="inlineStr">
        <is>
          <t>E13-S04</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n"/>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2"/>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30" customHeight="1" s="59">
      <c r="A5" s="38" t="inlineStr">
        <is>
          <t>B1</t>
        </is>
      </c>
      <c r="B5" s="48" t="inlineStr">
        <is>
          <t>Algo-ID attachment mechanic unconfirmed</t>
        </is>
      </c>
      <c r="C5" s="48" t="inlineStr">
        <is>
          <t>E02-S04, E21-S01</t>
        </is>
      </c>
      <c r="D5" s="48" t="inlineStr">
        <is>
          <t>Ask Zerodha: tag field or broker-injected?</t>
        </is>
      </c>
      <c r="E5" s="40" t="inlineStr">
        <is>
          <t>Active</t>
        </is>
      </c>
      <c r="F5" s="44" t="inlineStr">
        <is>
          <t>Self</t>
        </is>
      </c>
      <c r="G5" s="46" t="n"/>
      <c r="H5" s="49" t="inlineStr">
        <is>
          <t>PARTIALLY RESOLVED 7 Aug 2026 — the MECHANIC is confirmed, the VALUE is not.
ANSWERED: the Algo-ID is CLIENT-SUPPLIED PER ORDER, not injected server-side by the broker. kiteconnect 5.2.1's place_order() takes an `algo_id` parameter, documented as "an optional algo ID to associate with the order". Verified against the installed SDK signature, not from docs. doctor now asserts this at runtime.
This settles the architectural question: the system must carry an Algo-ID in config and attach it to every order — which is what BrokerConfig.algo_id and the live-mode validator in common/config.py already assume. No design change needed.
STILL OPEN: WHICH value to send. For self-developed personal algos under 10 orders/sec, a GENERIC exchange-issued Algo-ID applies rather than a per-strategy registered one — that needs confirming with Zerodha, and is the remaining content of the Day-1 email.
Downgraded from a design blocker to a paperwork question. It no longer blocks E02-S04 from being BUILT, only from going live.
[YOUR ORIGINAL NOTE: "Research on this topic, and arrive at a relevant answer"]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30" customHeight="1" s="59">
      <c r="A7" s="38" t="inlineStr">
        <is>
          <t>B3</t>
        </is>
      </c>
      <c r="B7" s="48" t="inlineStr">
        <is>
          <t>NSE holiday list incomplete</t>
        </is>
      </c>
      <c r="C7" s="48" t="inlineStr">
        <is>
          <t>E04-S07, all scheduling</t>
        </is>
      </c>
      <c r="D7" s="48" t="inlineStr">
        <is>
          <t>Transcribe the circular</t>
        </is>
      </c>
      <c r="E7" s="40" t="inlineStr">
        <is>
          <t>Active</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Active</t>
        </is>
      </c>
      <c r="F8" s="44" t="inlineStr">
        <is>
          <t>Self</t>
        </is>
      </c>
      <c r="G8" s="46" t="n"/>
      <c r="H8" s="49" t="inlineStr">
        <is>
          <t>SPRINT 1 — DAY 1. Ask in the SAME email as B1; one round trip instead of two.
Working figure is ~Rs.500/month for the historical data add-on on top of the Kite Connect subscription. Affects the E03-S03 budget only — it does not block any code being written, so it should never hold up the sprint. User has confirmed they will handle pricing themselves; this is a confirm-the-number task, not a decision.</t>
        </is>
      </c>
    </row>
    <row r="9" ht="30" customHeight="1" s="59">
      <c r="A9" s="38" t="inlineStr">
        <is>
          <t>B5</t>
        </is>
      </c>
      <c r="B9" s="48" t="inlineStr">
        <is>
          <t>Daily login mechanism untested</t>
        </is>
      </c>
      <c r="C9" s="48" t="inlineStr">
        <is>
          <t>E02-S01</t>
        </is>
      </c>
      <c r="D9" s="48" t="inlineStr">
        <is>
          <t>Prototype the phone→callback flow</t>
        </is>
      </c>
      <c r="E9" s="40" t="inlineStr">
        <is>
          <t>New</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30" customHeight="1" s="59">
      <c r="A10" s="38" t="inlineStr">
        <is>
          <t>B6</t>
        </is>
      </c>
      <c r="B10" s="48" t="inlineStr">
        <is>
          <t>Static IP not procured</t>
        </is>
      </c>
      <c r="C10" s="48" t="inlineStr">
        <is>
          <t>E23-S02, all live trading</t>
        </is>
      </c>
      <c r="D10" s="48" t="inlineStr">
        <is>
          <t>Select provider, procure</t>
        </is>
      </c>
      <c r="E10" s="40" t="inlineStr">
        <is>
          <t>Active</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t>
        </is>
      </c>
    </row>
    <row r="11" ht="409.6" customHeight="1" s="59">
      <c r="A11" s="38" t="inlineStr">
        <is>
          <t>B7</t>
        </is>
      </c>
      <c r="B11" s="48" t="inlineStr">
        <is>
          <t>kiteconnect pins a vulnerable autobahn (CVE-2020-35678)</t>
        </is>
      </c>
      <c r="C11" s="48" t="inlineStr">
        <is>
          <t>E02-S03 WebSocket ticker, all live market data</t>
        </is>
      </c>
      <c r="D11" s="48" t="inlineStr">
        <is>
          <t>Confirm exposure at E02; ask Zerodha to bump the pin</t>
        </is>
      </c>
      <c r="E11" s="40" t="inlineStr">
        <is>
          <t>On Hold</t>
        </is>
      </c>
      <c r="F11" s="44" t="inlineStr">
        <is>
          <t>Self</t>
        </is>
      </c>
      <c r="G11" s="46" t="inlineStr">
        <is>
          <t>None</t>
        </is>
      </c>
      <c r="H11" s="49" t="inlineStr">
        <is>
          <t>FOUND 7 Aug 2026 by pip-audit during the Sprint 1 security pass.
kiteconnect 5.2.1 declares `autobahn[twisted]==19.11.2` — an EXACT pin to a 2019 release carrying CVE-2020-35678 (redirect header injection, fixed in 20.12.3). autobahn is the WebSocket transport behind KiteTicker, i.e. the live market-data path.
CANNOT BE FIXED LOCALLY. pip will install autobahn 26.7.1 if asked, but that violates kiteconnect's declared pin and is a 7-year API jump in the exact layer KiteTicker is built on. Doing that blind to the market-data path is a worse risk than the CVE. NOT ATTEMPTED — deliberately.
EXPOSURE ASSESSMENT (why this is On Hold rather than Active): the flaw needs an attacker able to influence a redirect response. This client connects to one known endpoint (wss://ws.kite.trade) over TLS, and the compose design already puts the core network on `internal: true` with egress filtered to broker hosts. That is not a fix, but it means the practical exposure is small and does not block development.
ACTIONS: (1) add to the Zerodha email alongside B1/B4 — ask when the autobahn pin will be updated; (2) at E02-S03, verify TLS cert validation is ON and the endpoint is not permitted to redirect; (3) re-run pip-audit each sprint; (4) re-evaluate before live trading — this belongs on PRE_LIVE_CHECKLIST.
Same family as B2: both are the broker SDK holding the system back.</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1"/>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63" t="inlineStr">
        <is>
          <t>QA ID</t>
        </is>
      </c>
      <c r="B4" s="63" t="inlineStr">
        <is>
          <t>Story</t>
        </is>
      </c>
      <c r="C4" s="63" t="inlineStr">
        <is>
          <t>Area</t>
        </is>
      </c>
      <c r="D4" s="63" t="inlineStr">
        <is>
          <t>Result</t>
        </is>
      </c>
      <c r="E4" s="63" t="inlineStr">
        <is>
          <t>What was verified</t>
        </is>
      </c>
      <c r="F4" s="63" t="inlineStr">
        <is>
          <t>Evidence</t>
        </is>
      </c>
      <c r="G4" s="63" t="inlineStr">
        <is>
          <t>Test file</t>
        </is>
      </c>
      <c r="I4" s="64" t="inlineStr">
        <is>
          <t>Result</t>
        </is>
      </c>
      <c r="J4" s="64"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29</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9</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18"/>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5</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2026-08-05T16:21:12Z</dcterms:created>
  <dcterms:modified xmlns:dcterms="http://purl.org/dc/terms/" xmlns:xsi="http://www.w3.org/2001/XMLSchema-instance" xsi:type="dcterms:W3CDTF">2026-08-20T06:15:53Z</dcterms:modified>
  <cp:lastModifiedBy>Gopikrishnan Sreekumar</cp:lastModifiedBy>
  <cp:revision>0</cp:revision>
</cp:coreProperties>
</file>